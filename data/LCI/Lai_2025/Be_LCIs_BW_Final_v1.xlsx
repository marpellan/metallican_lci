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Be_Beryllium/"/>
    </mc:Choice>
  </mc:AlternateContent>
  <xr:revisionPtr revIDLastSave="80" documentId="8_{54905A94-70FB-454D-941F-94017EA23DD7}" xr6:coauthVersionLast="47" xr6:coauthVersionMax="47" xr10:uidLastSave="{5DBE6BBA-1A8A-4311-933B-A651A9F88FB5}"/>
  <bookViews>
    <workbookView xWindow="-23148" yWindow="-108" windowWidth="23256" windowHeight="12576" activeTab="2" xr2:uid="{00000000-000D-0000-FFFF-FFFF00000000}"/>
  </bookViews>
  <sheets>
    <sheet name="Note" sheetId="1" r:id="rId1"/>
    <sheet name="Be_Market_GLO" sheetId="3" r:id="rId2"/>
    <sheet name="PR1_Be_U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C12" i="3"/>
  <c r="D12" i="3"/>
  <c r="E12" i="3"/>
  <c r="F12" i="3"/>
  <c r="A12" i="3"/>
  <c r="E59" i="2"/>
  <c r="E58" i="2"/>
  <c r="C57" i="2"/>
  <c r="B57" i="2"/>
  <c r="A57" i="2"/>
  <c r="C35" i="2"/>
  <c r="C58" i="2" s="1"/>
  <c r="B35" i="2"/>
  <c r="B58" i="2" s="1"/>
  <c r="A35" i="2"/>
  <c r="A58" i="2" s="1"/>
  <c r="F9" i="2" l="1"/>
  <c r="C9" i="2"/>
  <c r="C59" i="2" s="1"/>
  <c r="B9" i="2"/>
  <c r="B59" i="2" s="1"/>
  <c r="A9" i="2"/>
  <c r="A59" i="2" s="1"/>
  <c r="F11" i="3"/>
  <c r="E11" i="3"/>
  <c r="D11" i="3"/>
  <c r="C11" i="3"/>
  <c r="B11" i="3"/>
  <c r="A11" i="3"/>
  <c r="F35" i="2" l="1"/>
  <c r="F59" i="2"/>
  <c r="F57" i="2" l="1"/>
  <c r="F58" i="2"/>
</calcChain>
</file>

<file path=xl/sharedStrings.xml><?xml version="1.0" encoding="utf-8"?>
<sst xmlns="http://schemas.openxmlformats.org/spreadsheetml/2006/main" count="310" uniqueCount="93">
  <si>
    <t>Activity</t>
  </si>
  <si>
    <t>[M+C+P] Bertrandite ore mining and Beryllium hydroxide (Be(OH)2) production</t>
  </si>
  <si>
    <t>reference product</t>
  </si>
  <si>
    <t>Be(OH)2</t>
  </si>
  <si>
    <t>location</t>
  </si>
  <si>
    <t>US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</si>
  <si>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</si>
  <si>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</si>
  <si>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</si>
  <si>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</si>
  <si>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</si>
  <si>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</si>
  <si>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</si>
  <si>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</si>
  <si>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</si>
  <si>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</si>
  <si>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</si>
  <si>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</si>
  <si>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</si>
  <si>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</si>
  <si>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</si>
  <si>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</si>
  <si>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</si>
  <si>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market for ammonia, anhydrous, liquid</t>
  </si>
  <si>
    <t>ammonia, anhydrous, liquid</t>
  </si>
  <si>
    <t>RNA</t>
  </si>
  <si>
    <t>ecoinvent 3.10 cutoff</t>
  </si>
  <si>
    <t>technosphere</t>
  </si>
  <si>
    <t>(3.0,2.0,4.0,3.0,1.0)</t>
  </si>
  <si>
    <t>market for sulfuric acid</t>
  </si>
  <si>
    <t>sulfuric acid</t>
  </si>
  <si>
    <t>RoW</t>
  </si>
  <si>
    <t>market for diesel, burned in diesel-electric generating set, 18.5kW</t>
  </si>
  <si>
    <t>diesel, burned in diesel-electric generating set, 18.5kW</t>
  </si>
  <si>
    <t>GLO</t>
  </si>
  <si>
    <t>megajoule</t>
  </si>
  <si>
    <t>market for natural gas, high pressure</t>
  </si>
  <si>
    <t>natural gas, high pressure</t>
  </si>
  <si>
    <t>cubic meter</t>
  </si>
  <si>
    <t>market group for electricity, medium voltage</t>
  </si>
  <si>
    <t>electricity, medium voltage</t>
  </si>
  <si>
    <t>kilowatt hour</t>
  </si>
  <si>
    <t>market for transport, freight, lorry &gt;32 metric ton, EURO3</t>
  </si>
  <si>
    <t>transport, freight, lorry &gt;32 metric ton, EURO3</t>
  </si>
  <si>
    <t>ton kilometer</t>
  </si>
  <si>
    <t>market for conveyor belt</t>
  </si>
  <si>
    <t>conveyor belt</t>
  </si>
  <si>
    <t>meter</t>
  </si>
  <si>
    <t>(2.0,4.0,5.0,5.0,4.0)</t>
  </si>
  <si>
    <t>mine construction, open cast, non-ferrous metal</t>
  </si>
  <si>
    <t>mine infrastructure, open cast, non-ferrous metal</t>
  </si>
  <si>
    <t>(nan,nan,nan,nan,nan)</t>
  </si>
  <si>
    <t>market for sulfidic tailings, generic</t>
  </si>
  <si>
    <t>sulfidic tailings, generic</t>
  </si>
  <si>
    <t>market for non-sulfidic overburden, off-site</t>
  </si>
  <si>
    <t>non-sulfidic overburden, off-site</t>
  </si>
  <si>
    <t>Beryllium</t>
  </si>
  <si>
    <t>biosphere3</t>
  </si>
  <si>
    <t>biosphere</t>
  </si>
  <si>
    <t>natural resource::in ground</t>
  </si>
  <si>
    <t>Water, unspecified natural origin</t>
  </si>
  <si>
    <t>Transformation, from unspecified</t>
  </si>
  <si>
    <t>square meter</t>
  </si>
  <si>
    <t>natural resource</t>
  </si>
  <si>
    <t>Transformation, to mineral extraction site</t>
  </si>
  <si>
    <t>Transformation, to unspecified</t>
  </si>
  <si>
    <t>Occupation, mineral extraction site</t>
  </si>
  <si>
    <t>square meter-year</t>
  </si>
  <si>
    <t>[R] Be metal production</t>
  </si>
  <si>
    <t>Be metal</t>
  </si>
  <si>
    <t>(3.0,2.0,1.0,3.0,1.0)</t>
  </si>
  <si>
    <t>market for hydrogen fluoride</t>
  </si>
  <si>
    <t>hydrogen fluoride</t>
  </si>
  <si>
    <t>market for sodium hydroxide, without water, in 50% solution state</t>
  </si>
  <si>
    <t>sodium hydroxide, without water, in 50% solution state</t>
  </si>
  <si>
    <t>market for magnesium</t>
  </si>
  <si>
    <t>magnesium</t>
  </si>
  <si>
    <t>market for chemical factory, organics</t>
  </si>
  <si>
    <t>chemical factory, organics</t>
  </si>
  <si>
    <t>process-specific burdens, residual material landfill</t>
  </si>
  <si>
    <t>Beryllium II</t>
  </si>
  <si>
    <t>air</t>
  </si>
  <si>
    <t>Nitrogen oxides</t>
  </si>
  <si>
    <t>Particulate Matter, &gt; 2.5 um and &lt; 10um</t>
  </si>
  <si>
    <t>Bertrandite ore mining and Be metal production in the US</t>
  </si>
  <si>
    <t>Beryllium (Be) global market</t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</si>
  <si>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</si>
  <si>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</si>
  <si>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</si>
  <si>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Beryllium (Be)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</si>
  <si>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Be global market</t>
  </si>
  <si>
    <t>Be_Market_GLO</t>
  </si>
  <si>
    <t>PR1_Be_US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</si>
</sst>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left"/>
    </xf>
    <xf numFmtId="0" fontId="0" fillId="2" borderId="0" xfId="0" applyFill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4" xfId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4" fillId="0" borderId="6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35"/>
  <sheetViews>
    <sheetView showGridLines="0" topLeftCell="A13" zoomScaleNormal="100" workbookViewId="0">
      <selection activeCell="B35" sqref="B35"/>
    </sheetView>
  </sheetViews>
  <sheetFormatPr baseColWidth="10" defaultRowHeight="14.5" x14ac:dyDescent="0.35"/>
  <cols>
    <col min="1" max="1" width="1.81640625" customWidth="1"/>
    <col min="2" max="2" width="31.81640625" bestFit="1" customWidth="1"/>
    <col min="3" max="3" width="11.453125" customWidth="1"/>
  </cols>
  <sheetData>
    <row r="1" spans="1:17" ht="15" thickBot="1" x14ac:dyDescent="0.4">
      <c r="A1" t="s">
        <v>86</v>
      </c>
    </row>
    <row r="2" spans="1:17" ht="15" customHeight="1" x14ac:dyDescent="0.35">
      <c r="B2" s="14" t="s">
        <v>89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6"/>
    </row>
    <row r="3" spans="1:17" x14ac:dyDescent="0.35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9"/>
    </row>
    <row r="4" spans="1:17" x14ac:dyDescent="0.35"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9"/>
    </row>
    <row r="5" spans="1:17" x14ac:dyDescent="0.35"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9"/>
    </row>
    <row r="6" spans="1:17" x14ac:dyDescent="0.35"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</row>
    <row r="7" spans="1:17" x14ac:dyDescent="0.35"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9"/>
    </row>
    <row r="8" spans="1:17" x14ac:dyDescent="0.35"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9"/>
    </row>
    <row r="9" spans="1:17" x14ac:dyDescent="0.35"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9"/>
    </row>
    <row r="10" spans="1:17" x14ac:dyDescent="0.35"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9"/>
    </row>
    <row r="11" spans="1:17" x14ac:dyDescent="0.35"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9"/>
    </row>
    <row r="12" spans="1:17" x14ac:dyDescent="0.35"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9"/>
    </row>
    <row r="13" spans="1:17" x14ac:dyDescent="0.35"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9"/>
    </row>
    <row r="14" spans="1:17" x14ac:dyDescent="0.35"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9"/>
    </row>
    <row r="15" spans="1:17" x14ac:dyDescent="0.35"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9"/>
    </row>
    <row r="16" spans="1:17" x14ac:dyDescent="0.35"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9"/>
    </row>
    <row r="17" spans="2:17" x14ac:dyDescent="0.35"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9"/>
    </row>
    <row r="18" spans="2:17" x14ac:dyDescent="0.35"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9"/>
    </row>
    <row r="19" spans="2:17" x14ac:dyDescent="0.35"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9"/>
    </row>
    <row r="20" spans="2:17" x14ac:dyDescent="0.35"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9"/>
    </row>
    <row r="21" spans="2:17" x14ac:dyDescent="0.35"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9"/>
    </row>
    <row r="22" spans="2:17" x14ac:dyDescent="0.35"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9"/>
    </row>
    <row r="23" spans="2:17" x14ac:dyDescent="0.3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9"/>
    </row>
    <row r="24" spans="2:17" ht="15" customHeight="1" x14ac:dyDescent="0.35"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9"/>
    </row>
    <row r="25" spans="2:17" x14ac:dyDescent="0.35"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9"/>
    </row>
    <row r="26" spans="2:17" x14ac:dyDescent="0.35"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9"/>
    </row>
    <row r="27" spans="2:17" x14ac:dyDescent="0.35"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9"/>
    </row>
    <row r="28" spans="2:17" x14ac:dyDescent="0.3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9"/>
    </row>
    <row r="29" spans="2:17" x14ac:dyDescent="0.35"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9"/>
    </row>
    <row r="30" spans="2:17" x14ac:dyDescent="0.35"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9"/>
    </row>
    <row r="31" spans="2:17" ht="15" thickBot="1" x14ac:dyDescent="0.4"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2"/>
    </row>
    <row r="32" spans="2:17" ht="15" thickBot="1" x14ac:dyDescent="0.4"/>
    <row r="33" spans="2:10" x14ac:dyDescent="0.35">
      <c r="B33" s="23" t="s">
        <v>87</v>
      </c>
      <c r="C33" s="24" t="s">
        <v>88</v>
      </c>
      <c r="D33" s="25"/>
      <c r="E33" s="25"/>
      <c r="F33" s="25"/>
      <c r="G33" s="26"/>
      <c r="H33" s="34"/>
      <c r="I33" s="27"/>
      <c r="J33" s="27"/>
    </row>
    <row r="34" spans="2:10" x14ac:dyDescent="0.35">
      <c r="B34" s="28" t="s">
        <v>91</v>
      </c>
      <c r="C34" s="8" t="s">
        <v>90</v>
      </c>
      <c r="D34" s="34"/>
      <c r="E34" s="34"/>
      <c r="F34" s="34"/>
      <c r="G34" s="29"/>
      <c r="H34" s="34"/>
      <c r="I34" s="27"/>
      <c r="J34" s="27"/>
    </row>
    <row r="35" spans="2:10" ht="15" thickBot="1" x14ac:dyDescent="0.4">
      <c r="B35" s="30" t="s">
        <v>92</v>
      </c>
      <c r="C35" s="31" t="s">
        <v>84</v>
      </c>
      <c r="D35" s="32"/>
      <c r="E35" s="32"/>
      <c r="F35" s="32"/>
      <c r="G35" s="33"/>
      <c r="H35" s="34"/>
      <c r="I35" s="27"/>
      <c r="J35" s="27"/>
    </row>
  </sheetData>
  <mergeCells count="1">
    <mergeCell ref="B2:Q31"/>
  </mergeCells>
  <hyperlinks>
    <hyperlink ref="B34" location="Be_Market_GLO!A1" display="Be_Market_GLO" xr:uid="{F283FC66-976E-4AB1-9CAE-8677ADA339BB}"/>
    <hyperlink ref="B35" location="PR1_Be_US!A1" display="PR1_Be_US" xr:uid="{22FD303E-A957-482E-A669-F4B52AD6AE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B05ED-DD6B-435F-9C0D-83A9F3EB6CCB}">
  <sheetPr>
    <tabColor theme="8" tint="0.39997558519241921"/>
  </sheetPr>
  <dimension ref="A1:N22"/>
  <sheetViews>
    <sheetView workbookViewId="0"/>
  </sheetViews>
  <sheetFormatPr baseColWidth="10" defaultRowHeight="14.5" x14ac:dyDescent="0.35"/>
  <cols>
    <col min="1" max="1" width="49.08984375" bestFit="1" customWidth="1"/>
    <col min="2" max="2" width="24.6328125" bestFit="1" customWidth="1"/>
    <col min="3" max="3" width="7.6328125" bestFit="1" customWidth="1"/>
    <col min="4" max="4" width="7.54296875" bestFit="1" customWidth="1"/>
    <col min="5" max="5" width="8" bestFit="1" customWidth="1"/>
    <col min="6" max="6" width="8.6328125" bestFit="1" customWidth="1"/>
    <col min="7" max="7" width="12.26953125" bestFit="1" customWidth="1"/>
    <col min="8" max="8" width="9.36328125" bestFit="1" customWidth="1"/>
    <col min="9" max="9" width="14.6328125" bestFit="1" customWidth="1"/>
    <col min="10" max="10" width="8.1796875" bestFit="1" customWidth="1"/>
    <col min="11" max="11" width="3.36328125" bestFit="1" customWidth="1"/>
    <col min="12" max="12" width="5" bestFit="1" customWidth="1"/>
    <col min="13" max="13" width="8.90625" bestFit="1" customWidth="1"/>
    <col min="14" max="14" width="9.26953125" bestFit="1" customWidth="1"/>
  </cols>
  <sheetData>
    <row r="1" spans="1:14" x14ac:dyDescent="0.35">
      <c r="A1" t="s">
        <v>13</v>
      </c>
      <c r="B1" s="1" t="s">
        <v>56</v>
      </c>
    </row>
    <row r="2" spans="1:14" s="2" customFormat="1" x14ac:dyDescent="0.35"/>
    <row r="3" spans="1:14" x14ac:dyDescent="0.35">
      <c r="A3" s="3" t="s">
        <v>0</v>
      </c>
      <c r="B3" s="3" t="s">
        <v>85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35">
      <c r="A4" s="5" t="s">
        <v>2</v>
      </c>
      <c r="B4" s="4" t="s">
        <v>69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35">
      <c r="A5" s="5" t="s">
        <v>4</v>
      </c>
      <c r="B5" s="4" t="s">
        <v>34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35">
      <c r="A6" s="5" t="s">
        <v>6</v>
      </c>
      <c r="B6" s="4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35">
      <c r="A7" s="5" t="s">
        <v>7</v>
      </c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35">
      <c r="A8" s="5" t="s">
        <v>9</v>
      </c>
      <c r="B8" s="4" t="s">
        <v>10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35">
      <c r="A9" s="5" t="s">
        <v>11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5">
      <c r="A10" s="3" t="s">
        <v>12</v>
      </c>
      <c r="B10" s="3" t="s">
        <v>2</v>
      </c>
      <c r="C10" s="3" t="s">
        <v>4</v>
      </c>
      <c r="D10" s="3" t="s">
        <v>6</v>
      </c>
      <c r="E10" s="3" t="s">
        <v>7</v>
      </c>
      <c r="F10" s="3" t="s">
        <v>13</v>
      </c>
      <c r="G10" s="3" t="s">
        <v>14</v>
      </c>
      <c r="H10" s="3" t="s">
        <v>15</v>
      </c>
      <c r="I10" s="3" t="s">
        <v>16</v>
      </c>
      <c r="J10" s="3" t="s">
        <v>17</v>
      </c>
      <c r="K10" s="3" t="s">
        <v>18</v>
      </c>
      <c r="L10" s="3" t="s">
        <v>19</v>
      </c>
      <c r="M10" s="3" t="s">
        <v>20</v>
      </c>
      <c r="N10" s="3" t="s">
        <v>21</v>
      </c>
    </row>
    <row r="11" spans="1:14" x14ac:dyDescent="0.35">
      <c r="A11" t="str">
        <f>B3</f>
        <v>Beryllium (Be) global market</v>
      </c>
      <c r="B11" t="str">
        <f>B4</f>
        <v>Be metal</v>
      </c>
      <c r="C11" t="str">
        <f>B5</f>
        <v>GLO</v>
      </c>
      <c r="D11" s="4">
        <f>B6</f>
        <v>1</v>
      </c>
      <c r="E11" s="4" t="str">
        <f>B7</f>
        <v>kilogram</v>
      </c>
      <c r="F11" s="1" t="str">
        <f>B1</f>
        <v>Beryllium</v>
      </c>
      <c r="G11" s="4" t="s">
        <v>22</v>
      </c>
    </row>
    <row r="12" spans="1:14" s="4" customFormat="1" x14ac:dyDescent="0.35">
      <c r="A12" s="4" t="str">
        <f>PR1_Be_US!A57</f>
        <v>Bertrandite ore mining and Be metal production in the US</v>
      </c>
      <c r="B12" s="4" t="str">
        <f>PR1_Be_US!B57</f>
        <v>Be metal</v>
      </c>
      <c r="C12" s="4" t="str">
        <f>PR1_Be_US!C57</f>
        <v>US</v>
      </c>
      <c r="D12" s="4">
        <f>PR1_Be_US!D57</f>
        <v>1</v>
      </c>
      <c r="E12" s="4" t="str">
        <f>PR1_Be_US!E57</f>
        <v>kilogram</v>
      </c>
      <c r="F12" s="1" t="str">
        <f>PR1_Be_US!F57</f>
        <v>Beryllium</v>
      </c>
      <c r="G12" s="6" t="s">
        <v>27</v>
      </c>
    </row>
    <row r="13" spans="1:14" s="4" customFormat="1" x14ac:dyDescent="0.35">
      <c r="F13" s="1"/>
    </row>
    <row r="14" spans="1:14" s="4" customFormat="1" x14ac:dyDescent="0.35">
      <c r="F14" s="1"/>
    </row>
    <row r="15" spans="1:14" s="4" customFormat="1" x14ac:dyDescent="0.35">
      <c r="F15" s="1"/>
    </row>
    <row r="16" spans="1:14" s="4" customFormat="1" x14ac:dyDescent="0.35">
      <c r="F16" s="1"/>
    </row>
    <row r="17" spans="6:6" s="4" customFormat="1" x14ac:dyDescent="0.35">
      <c r="F17" s="1"/>
    </row>
    <row r="18" spans="6:6" s="4" customFormat="1" x14ac:dyDescent="0.35">
      <c r="F18" s="1"/>
    </row>
    <row r="19" spans="6:6" s="4" customFormat="1" x14ac:dyDescent="0.35">
      <c r="F19" s="1"/>
    </row>
    <row r="20" spans="6:6" s="4" customFormat="1" x14ac:dyDescent="0.35">
      <c r="F20" s="1"/>
    </row>
    <row r="21" spans="6:6" s="4" customFormat="1" x14ac:dyDescent="0.35">
      <c r="F21" s="1"/>
    </row>
    <row r="22" spans="6:6" s="4" customFormat="1" x14ac:dyDescent="0.35">
      <c r="F2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N59"/>
  <sheetViews>
    <sheetView tabSelected="1" workbookViewId="0"/>
  </sheetViews>
  <sheetFormatPr baseColWidth="10" defaultColWidth="8.7265625" defaultRowHeight="14.5" x14ac:dyDescent="0.35"/>
  <cols>
    <col min="1" max="1" width="67.26953125" style="8" bestFit="1" customWidth="1"/>
    <col min="2" max="2" width="67.6328125" style="8" bestFit="1" customWidth="1"/>
    <col min="3" max="3" width="7.6328125" style="8" bestFit="1" customWidth="1"/>
    <col min="4" max="4" width="12.453125" style="8" bestFit="1" customWidth="1"/>
    <col min="5" max="5" width="16.36328125" style="8" bestFit="1" customWidth="1"/>
    <col min="6" max="6" width="18.36328125" style="8" bestFit="1" customWidth="1"/>
    <col min="7" max="7" width="12.26953125" style="8" bestFit="1" customWidth="1"/>
    <col min="8" max="8" width="23.81640625" style="8" bestFit="1" customWidth="1"/>
    <col min="9" max="9" width="14.6328125" style="8" bestFit="1" customWidth="1"/>
    <col min="10" max="10" width="19.90625" style="8" bestFit="1" customWidth="1"/>
    <col min="11" max="11" width="3.36328125" style="8" bestFit="1" customWidth="1"/>
    <col min="12" max="12" width="5" style="8" bestFit="1" customWidth="1"/>
    <col min="13" max="13" width="8.90625" style="8" bestFit="1" customWidth="1"/>
    <col min="14" max="14" width="9.26953125" style="8" bestFit="1" customWidth="1"/>
    <col min="15" max="16384" width="8.7265625" style="8"/>
  </cols>
  <sheetData>
    <row r="1" spans="1:14" x14ac:dyDescent="0.35">
      <c r="A1" s="7" t="s">
        <v>0</v>
      </c>
      <c r="B1" s="7" t="s">
        <v>1</v>
      </c>
    </row>
    <row r="2" spans="1:14" x14ac:dyDescent="0.35">
      <c r="A2" s="9" t="s">
        <v>2</v>
      </c>
      <c r="B2" s="8" t="s">
        <v>3</v>
      </c>
    </row>
    <row r="3" spans="1:14" x14ac:dyDescent="0.35">
      <c r="A3" s="9" t="s">
        <v>4</v>
      </c>
      <c r="B3" s="8" t="s">
        <v>5</v>
      </c>
    </row>
    <row r="4" spans="1:14" x14ac:dyDescent="0.35">
      <c r="A4" s="9" t="s">
        <v>6</v>
      </c>
      <c r="B4" s="10">
        <v>1</v>
      </c>
    </row>
    <row r="5" spans="1:14" x14ac:dyDescent="0.35">
      <c r="A5" s="9" t="s">
        <v>7</v>
      </c>
      <c r="B5" s="8" t="s">
        <v>8</v>
      </c>
    </row>
    <row r="6" spans="1:14" x14ac:dyDescent="0.35">
      <c r="A6" s="9" t="s">
        <v>9</v>
      </c>
      <c r="B6" s="8" t="s">
        <v>10</v>
      </c>
    </row>
    <row r="7" spans="1:14" x14ac:dyDescent="0.35">
      <c r="A7" s="9" t="s">
        <v>11</v>
      </c>
    </row>
    <row r="8" spans="1:14" x14ac:dyDescent="0.35">
      <c r="A8" s="7" t="s">
        <v>12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</row>
    <row r="9" spans="1:14" x14ac:dyDescent="0.35">
      <c r="A9" s="8" t="str">
        <f>B1</f>
        <v>[M+C+P] Bertrandite ore mining and Beryllium hydroxide (Be(OH)2) production</v>
      </c>
      <c r="B9" s="8" t="str">
        <f>B2</f>
        <v>Be(OH)2</v>
      </c>
      <c r="C9" s="8" t="str">
        <f>B3</f>
        <v>US</v>
      </c>
      <c r="D9" s="10">
        <v>1</v>
      </c>
      <c r="E9" s="8" t="s">
        <v>8</v>
      </c>
      <c r="F9" s="11" t="str">
        <f>Be_Market_GLO!B1</f>
        <v>Beryllium</v>
      </c>
      <c r="G9" s="8" t="s">
        <v>22</v>
      </c>
    </row>
    <row r="10" spans="1:14" x14ac:dyDescent="0.35">
      <c r="A10" s="8" t="s">
        <v>23</v>
      </c>
      <c r="B10" s="8" t="s">
        <v>24</v>
      </c>
      <c r="C10" s="8" t="s">
        <v>25</v>
      </c>
      <c r="D10" s="8">
        <v>3.1236897274633129</v>
      </c>
      <c r="E10" s="8" t="s">
        <v>8</v>
      </c>
      <c r="F10" s="8" t="s">
        <v>26</v>
      </c>
      <c r="G10" s="8" t="s">
        <v>27</v>
      </c>
      <c r="J10" s="8" t="s">
        <v>28</v>
      </c>
    </row>
    <row r="11" spans="1:14" x14ac:dyDescent="0.35">
      <c r="A11" s="8" t="s">
        <v>29</v>
      </c>
      <c r="B11" s="8" t="s">
        <v>30</v>
      </c>
      <c r="C11" s="8" t="s">
        <v>31</v>
      </c>
      <c r="D11" s="8">
        <v>1.5513626834381551</v>
      </c>
      <c r="E11" s="8" t="s">
        <v>8</v>
      </c>
      <c r="F11" s="8" t="s">
        <v>26</v>
      </c>
      <c r="G11" s="8" t="s">
        <v>27</v>
      </c>
      <c r="J11" s="8" t="s">
        <v>28</v>
      </c>
    </row>
    <row r="12" spans="1:14" x14ac:dyDescent="0.35">
      <c r="A12" s="8" t="s">
        <v>32</v>
      </c>
      <c r="B12" s="8" t="s">
        <v>33</v>
      </c>
      <c r="C12" s="8" t="s">
        <v>34</v>
      </c>
      <c r="D12" s="8">
        <v>22.012578616352201</v>
      </c>
      <c r="E12" s="8" t="s">
        <v>35</v>
      </c>
      <c r="F12" s="8" t="s">
        <v>26</v>
      </c>
      <c r="G12" s="8" t="s">
        <v>27</v>
      </c>
      <c r="J12" s="8" t="s">
        <v>28</v>
      </c>
    </row>
    <row r="13" spans="1:14" x14ac:dyDescent="0.35">
      <c r="A13" s="8" t="s">
        <v>36</v>
      </c>
      <c r="B13" s="8" t="s">
        <v>37</v>
      </c>
      <c r="C13" s="8" t="s">
        <v>5</v>
      </c>
      <c r="D13" s="8">
        <v>0.41928721174004202</v>
      </c>
      <c r="E13" s="8" t="s">
        <v>38</v>
      </c>
      <c r="F13" s="8" t="s">
        <v>26</v>
      </c>
      <c r="G13" s="8" t="s">
        <v>27</v>
      </c>
      <c r="J13" s="8" t="s">
        <v>28</v>
      </c>
    </row>
    <row r="14" spans="1:14" x14ac:dyDescent="0.35">
      <c r="A14" s="8" t="s">
        <v>39</v>
      </c>
      <c r="B14" s="8" t="s">
        <v>40</v>
      </c>
      <c r="C14" s="8" t="s">
        <v>5</v>
      </c>
      <c r="D14" s="8">
        <v>4.4258129979035647</v>
      </c>
      <c r="E14" s="8" t="s">
        <v>41</v>
      </c>
      <c r="F14" s="8" t="s">
        <v>26</v>
      </c>
      <c r="G14" s="8" t="s">
        <v>27</v>
      </c>
      <c r="J14" s="8" t="s">
        <v>28</v>
      </c>
    </row>
    <row r="15" spans="1:14" x14ac:dyDescent="0.35">
      <c r="A15" s="8" t="s">
        <v>42</v>
      </c>
      <c r="B15" s="8" t="s">
        <v>43</v>
      </c>
      <c r="C15" s="8" t="s">
        <v>31</v>
      </c>
      <c r="D15" s="8">
        <v>1.6771488469601682E-2</v>
      </c>
      <c r="E15" s="8" t="s">
        <v>44</v>
      </c>
      <c r="F15" s="8" t="s">
        <v>26</v>
      </c>
      <c r="G15" s="8" t="s">
        <v>27</v>
      </c>
      <c r="J15" s="8" t="s">
        <v>28</v>
      </c>
    </row>
    <row r="16" spans="1:14" x14ac:dyDescent="0.35">
      <c r="A16" s="8" t="s">
        <v>45</v>
      </c>
      <c r="B16" s="8" t="s">
        <v>46</v>
      </c>
      <c r="C16" s="8" t="s">
        <v>34</v>
      </c>
      <c r="D16" s="8">
        <v>6.9392033542976936E-6</v>
      </c>
      <c r="E16" s="8" t="s">
        <v>47</v>
      </c>
      <c r="F16" s="8" t="s">
        <v>26</v>
      </c>
      <c r="G16" s="8" t="s">
        <v>27</v>
      </c>
      <c r="J16" s="8" t="s">
        <v>48</v>
      </c>
    </row>
    <row r="17" spans="1:10" x14ac:dyDescent="0.35">
      <c r="A17" s="8" t="s">
        <v>49</v>
      </c>
      <c r="B17" s="8" t="s">
        <v>50</v>
      </c>
      <c r="C17" s="8" t="s">
        <v>34</v>
      </c>
      <c r="D17" s="8">
        <v>4.5702306079664578E-9</v>
      </c>
      <c r="E17" s="8" t="s">
        <v>7</v>
      </c>
      <c r="F17" s="8" t="s">
        <v>26</v>
      </c>
      <c r="G17" s="8" t="s">
        <v>27</v>
      </c>
      <c r="J17" s="8" t="s">
        <v>48</v>
      </c>
    </row>
    <row r="18" spans="1:10" x14ac:dyDescent="0.35">
      <c r="A18" s="8" t="s">
        <v>52</v>
      </c>
      <c r="B18" s="8" t="s">
        <v>53</v>
      </c>
      <c r="C18" s="8" t="s">
        <v>34</v>
      </c>
      <c r="D18" s="8">
        <v>-47.798742138364787</v>
      </c>
      <c r="E18" s="8" t="s">
        <v>8</v>
      </c>
      <c r="F18" s="8" t="s">
        <v>26</v>
      </c>
      <c r="G18" s="8" t="s">
        <v>27</v>
      </c>
      <c r="J18" s="8" t="s">
        <v>51</v>
      </c>
    </row>
    <row r="19" spans="1:10" x14ac:dyDescent="0.35">
      <c r="A19" s="8" t="s">
        <v>54</v>
      </c>
      <c r="B19" s="8" t="s">
        <v>55</v>
      </c>
      <c r="C19" s="8" t="s">
        <v>34</v>
      </c>
      <c r="D19" s="8">
        <v>-43.186582809224319</v>
      </c>
      <c r="E19" s="8" t="s">
        <v>8</v>
      </c>
      <c r="F19" s="8" t="s">
        <v>26</v>
      </c>
      <c r="G19" s="8" t="s">
        <v>27</v>
      </c>
      <c r="J19" s="8" t="s">
        <v>51</v>
      </c>
    </row>
    <row r="20" spans="1:10" x14ac:dyDescent="0.35">
      <c r="A20" s="8" t="s">
        <v>56</v>
      </c>
      <c r="D20" s="8">
        <v>3.1236897274633129</v>
      </c>
      <c r="E20" s="8" t="s">
        <v>8</v>
      </c>
      <c r="F20" s="8" t="s">
        <v>57</v>
      </c>
      <c r="G20" s="8" t="s">
        <v>58</v>
      </c>
      <c r="H20" s="8" t="s">
        <v>59</v>
      </c>
      <c r="J20" s="8" t="s">
        <v>28</v>
      </c>
    </row>
    <row r="21" spans="1:10" x14ac:dyDescent="0.35">
      <c r="A21" s="8" t="s">
        <v>60</v>
      </c>
      <c r="D21" s="8">
        <v>0.77568134171907765</v>
      </c>
      <c r="E21" s="8" t="s">
        <v>38</v>
      </c>
      <c r="F21" s="8" t="s">
        <v>57</v>
      </c>
      <c r="G21" s="8" t="s">
        <v>58</v>
      </c>
      <c r="H21" s="8" t="s">
        <v>59</v>
      </c>
      <c r="J21" s="8" t="s">
        <v>28</v>
      </c>
    </row>
    <row r="22" spans="1:10" x14ac:dyDescent="0.35">
      <c r="A22" s="8" t="s">
        <v>61</v>
      </c>
      <c r="D22" s="8">
        <v>7.840670859538784E-4</v>
      </c>
      <c r="E22" s="8" t="s">
        <v>62</v>
      </c>
      <c r="F22" s="8" t="s">
        <v>57</v>
      </c>
      <c r="G22" s="8" t="s">
        <v>58</v>
      </c>
      <c r="H22" s="8" t="s">
        <v>63</v>
      </c>
      <c r="J22" s="8" t="s">
        <v>48</v>
      </c>
    </row>
    <row r="23" spans="1:10" x14ac:dyDescent="0.35">
      <c r="A23" s="8" t="s">
        <v>64</v>
      </c>
      <c r="D23" s="8">
        <v>7.840670859538784E-4</v>
      </c>
      <c r="E23" s="8" t="s">
        <v>62</v>
      </c>
      <c r="F23" s="8" t="s">
        <v>57</v>
      </c>
      <c r="G23" s="8" t="s">
        <v>58</v>
      </c>
      <c r="H23" s="8" t="s">
        <v>63</v>
      </c>
      <c r="J23" s="8" t="s">
        <v>48</v>
      </c>
    </row>
    <row r="24" spans="1:10" x14ac:dyDescent="0.35">
      <c r="A24" s="8" t="s">
        <v>65</v>
      </c>
      <c r="D24" s="8">
        <v>7.840670859538784E-4</v>
      </c>
      <c r="E24" s="8" t="s">
        <v>62</v>
      </c>
      <c r="F24" s="8" t="s">
        <v>57</v>
      </c>
      <c r="G24" s="8" t="s">
        <v>58</v>
      </c>
      <c r="H24" s="8" t="s">
        <v>63</v>
      </c>
      <c r="J24" s="8" t="s">
        <v>48</v>
      </c>
    </row>
    <row r="25" spans="1:10" x14ac:dyDescent="0.35">
      <c r="A25" s="8" t="s">
        <v>66</v>
      </c>
      <c r="D25" s="8">
        <v>3.4591194968553472E-2</v>
      </c>
      <c r="E25" s="8" t="s">
        <v>67</v>
      </c>
      <c r="F25" s="8" t="s">
        <v>57</v>
      </c>
      <c r="G25" s="8" t="s">
        <v>58</v>
      </c>
      <c r="H25" s="8" t="s">
        <v>63</v>
      </c>
      <c r="J25" s="8" t="s">
        <v>48</v>
      </c>
    </row>
    <row r="26" spans="1:10" s="12" customFormat="1" x14ac:dyDescent="0.35"/>
    <row r="27" spans="1:10" x14ac:dyDescent="0.35">
      <c r="A27" s="7" t="s">
        <v>0</v>
      </c>
      <c r="B27" s="7" t="s">
        <v>68</v>
      </c>
    </row>
    <row r="28" spans="1:10" x14ac:dyDescent="0.35">
      <c r="A28" s="9" t="s">
        <v>2</v>
      </c>
      <c r="B28" s="8" t="s">
        <v>69</v>
      </c>
    </row>
    <row r="29" spans="1:10" x14ac:dyDescent="0.35">
      <c r="A29" s="9" t="s">
        <v>4</v>
      </c>
      <c r="B29" s="8" t="s">
        <v>5</v>
      </c>
    </row>
    <row r="30" spans="1:10" x14ac:dyDescent="0.35">
      <c r="A30" s="9" t="s">
        <v>6</v>
      </c>
      <c r="B30" s="10">
        <v>1</v>
      </c>
    </row>
    <row r="31" spans="1:10" x14ac:dyDescent="0.35">
      <c r="A31" s="9" t="s">
        <v>7</v>
      </c>
      <c r="B31" s="8" t="s">
        <v>8</v>
      </c>
    </row>
    <row r="32" spans="1:10" x14ac:dyDescent="0.35">
      <c r="A32" s="9" t="s">
        <v>9</v>
      </c>
      <c r="B32" s="8" t="s">
        <v>10</v>
      </c>
    </row>
    <row r="33" spans="1:14" x14ac:dyDescent="0.35">
      <c r="A33" s="9" t="s">
        <v>11</v>
      </c>
    </row>
    <row r="34" spans="1:14" x14ac:dyDescent="0.35">
      <c r="A34" s="7" t="s">
        <v>12</v>
      </c>
      <c r="B34" s="7" t="s">
        <v>2</v>
      </c>
      <c r="C34" s="7" t="s">
        <v>4</v>
      </c>
      <c r="D34" s="7" t="s">
        <v>6</v>
      </c>
      <c r="E34" s="7" t="s">
        <v>7</v>
      </c>
      <c r="F34" s="7" t="s">
        <v>13</v>
      </c>
      <c r="G34" s="7" t="s">
        <v>14</v>
      </c>
      <c r="H34" s="7" t="s">
        <v>15</v>
      </c>
      <c r="I34" s="7" t="s">
        <v>16</v>
      </c>
      <c r="J34" s="7" t="s">
        <v>17</v>
      </c>
      <c r="K34" s="7" t="s">
        <v>18</v>
      </c>
      <c r="L34" s="7" t="s">
        <v>19</v>
      </c>
      <c r="M34" s="7" t="s">
        <v>20</v>
      </c>
      <c r="N34" s="7" t="s">
        <v>21</v>
      </c>
    </row>
    <row r="35" spans="1:14" x14ac:dyDescent="0.35">
      <c r="A35" s="8" t="str">
        <f>B27</f>
        <v>[R] Be metal production</v>
      </c>
      <c r="B35" s="8" t="str">
        <f>B28</f>
        <v>Be metal</v>
      </c>
      <c r="C35" s="8" t="str">
        <f>B29</f>
        <v>US</v>
      </c>
      <c r="D35" s="10">
        <v>1</v>
      </c>
      <c r="E35" s="8" t="s">
        <v>8</v>
      </c>
      <c r="F35" s="11" t="str">
        <f>F9</f>
        <v>Beryllium</v>
      </c>
      <c r="G35" s="8" t="s">
        <v>22</v>
      </c>
    </row>
    <row r="36" spans="1:14" x14ac:dyDescent="0.35">
      <c r="A36" s="8" t="s">
        <v>36</v>
      </c>
      <c r="B36" s="8" t="s">
        <v>37</v>
      </c>
      <c r="C36" s="8" t="s">
        <v>5</v>
      </c>
      <c r="D36" s="8">
        <v>48.55263157894737</v>
      </c>
      <c r="E36" s="8" t="s">
        <v>38</v>
      </c>
      <c r="F36" s="8" t="s">
        <v>26</v>
      </c>
      <c r="G36" s="8" t="s">
        <v>27</v>
      </c>
      <c r="J36" s="8" t="s">
        <v>70</v>
      </c>
    </row>
    <row r="37" spans="1:14" x14ac:dyDescent="0.35">
      <c r="A37" s="8" t="s">
        <v>39</v>
      </c>
      <c r="B37" s="8" t="s">
        <v>40</v>
      </c>
      <c r="C37" s="8" t="s">
        <v>5</v>
      </c>
      <c r="D37" s="8">
        <v>512.5004100000001</v>
      </c>
      <c r="E37" s="8" t="s">
        <v>41</v>
      </c>
      <c r="F37" s="8" t="s">
        <v>26</v>
      </c>
      <c r="G37" s="8" t="s">
        <v>27</v>
      </c>
      <c r="J37" s="8" t="s">
        <v>70</v>
      </c>
    </row>
    <row r="38" spans="1:14" x14ac:dyDescent="0.35">
      <c r="A38" s="8" t="s">
        <v>23</v>
      </c>
      <c r="B38" s="8" t="s">
        <v>24</v>
      </c>
      <c r="C38" s="8" t="s">
        <v>25</v>
      </c>
      <c r="D38" s="8">
        <v>4.4000000000000004</v>
      </c>
      <c r="E38" s="8" t="s">
        <v>8</v>
      </c>
      <c r="F38" s="8" t="s">
        <v>26</v>
      </c>
      <c r="G38" s="8" t="s">
        <v>27</v>
      </c>
      <c r="J38" s="8" t="s">
        <v>70</v>
      </c>
    </row>
    <row r="39" spans="1:14" x14ac:dyDescent="0.35">
      <c r="A39" s="8" t="s">
        <v>71</v>
      </c>
      <c r="B39" s="8" t="s">
        <v>72</v>
      </c>
      <c r="C39" s="8" t="s">
        <v>31</v>
      </c>
      <c r="D39" s="8">
        <v>4.9000000000000004</v>
      </c>
      <c r="E39" s="8" t="s">
        <v>8</v>
      </c>
      <c r="F39" s="8" t="s">
        <v>26</v>
      </c>
      <c r="G39" s="8" t="s">
        <v>27</v>
      </c>
      <c r="J39" s="8" t="s">
        <v>70</v>
      </c>
    </row>
    <row r="40" spans="1:14" x14ac:dyDescent="0.35">
      <c r="A40" s="8" t="s">
        <v>73</v>
      </c>
      <c r="B40" s="8" t="s">
        <v>74</v>
      </c>
      <c r="C40" s="8" t="s">
        <v>31</v>
      </c>
      <c r="D40" s="8">
        <v>14.2</v>
      </c>
      <c r="E40" s="8" t="s">
        <v>8</v>
      </c>
      <c r="F40" s="8" t="s">
        <v>26</v>
      </c>
      <c r="G40" s="8" t="s">
        <v>27</v>
      </c>
      <c r="J40" s="8" t="s">
        <v>70</v>
      </c>
    </row>
    <row r="41" spans="1:14" x14ac:dyDescent="0.35">
      <c r="A41" s="8" t="s">
        <v>75</v>
      </c>
      <c r="B41" s="8" t="s">
        <v>76</v>
      </c>
      <c r="C41" s="8" t="s">
        <v>34</v>
      </c>
      <c r="D41" s="8">
        <v>3</v>
      </c>
      <c r="E41" s="8" t="s">
        <v>8</v>
      </c>
      <c r="F41" s="8" t="s">
        <v>26</v>
      </c>
      <c r="G41" s="8" t="s">
        <v>27</v>
      </c>
      <c r="J41" s="8" t="s">
        <v>70</v>
      </c>
    </row>
    <row r="42" spans="1:14" x14ac:dyDescent="0.35">
      <c r="A42" s="8" t="s">
        <v>77</v>
      </c>
      <c r="B42" s="8" t="s">
        <v>78</v>
      </c>
      <c r="C42" s="8" t="s">
        <v>34</v>
      </c>
      <c r="D42" s="8">
        <v>8.0000000000000003E-10</v>
      </c>
      <c r="E42" s="8" t="s">
        <v>7</v>
      </c>
      <c r="F42" s="8" t="s">
        <v>26</v>
      </c>
      <c r="G42" s="8" t="s">
        <v>27</v>
      </c>
      <c r="J42" s="8" t="s">
        <v>70</v>
      </c>
    </row>
    <row r="43" spans="1:14" x14ac:dyDescent="0.35">
      <c r="A43" s="8" t="s">
        <v>79</v>
      </c>
      <c r="B43" s="8" t="s">
        <v>79</v>
      </c>
      <c r="C43" s="8" t="s">
        <v>31</v>
      </c>
      <c r="D43" s="8">
        <v>-1.4</v>
      </c>
      <c r="E43" s="8" t="s">
        <v>8</v>
      </c>
      <c r="F43" s="8" t="s">
        <v>26</v>
      </c>
      <c r="G43" s="8" t="s">
        <v>27</v>
      </c>
      <c r="J43" s="8" t="s">
        <v>70</v>
      </c>
    </row>
    <row r="44" spans="1:14" x14ac:dyDescent="0.35">
      <c r="A44" s="8" t="s">
        <v>60</v>
      </c>
      <c r="D44" s="8">
        <v>3.7</v>
      </c>
      <c r="E44" s="8" t="s">
        <v>38</v>
      </c>
      <c r="F44" s="8" t="s">
        <v>57</v>
      </c>
      <c r="G44" s="8" t="s">
        <v>58</v>
      </c>
      <c r="H44" s="8" t="s">
        <v>59</v>
      </c>
      <c r="J44" s="8" t="s">
        <v>70</v>
      </c>
    </row>
    <row r="45" spans="1:14" x14ac:dyDescent="0.35">
      <c r="A45" s="8" t="s">
        <v>80</v>
      </c>
      <c r="D45" s="8">
        <v>4.5399999999999998E-4</v>
      </c>
      <c r="E45" s="8" t="s">
        <v>8</v>
      </c>
      <c r="F45" s="8" t="s">
        <v>57</v>
      </c>
      <c r="G45" s="8" t="s">
        <v>58</v>
      </c>
      <c r="H45" s="8" t="s">
        <v>81</v>
      </c>
      <c r="J45" s="8" t="s">
        <v>70</v>
      </c>
    </row>
    <row r="46" spans="1:14" x14ac:dyDescent="0.35">
      <c r="A46" s="8" t="s">
        <v>82</v>
      </c>
      <c r="D46" s="8">
        <v>0.40400000000000003</v>
      </c>
      <c r="E46" s="8" t="s">
        <v>8</v>
      </c>
      <c r="F46" s="8" t="s">
        <v>57</v>
      </c>
      <c r="G46" s="8" t="s">
        <v>58</v>
      </c>
      <c r="H46" s="8" t="s">
        <v>81</v>
      </c>
      <c r="J46" s="8" t="s">
        <v>70</v>
      </c>
    </row>
    <row r="47" spans="1:14" x14ac:dyDescent="0.35">
      <c r="A47" s="8" t="s">
        <v>83</v>
      </c>
      <c r="D47" s="8">
        <v>7.0999999999999994E-2</v>
      </c>
      <c r="E47" s="8" t="s">
        <v>8</v>
      </c>
      <c r="F47" s="8" t="s">
        <v>57</v>
      </c>
      <c r="G47" s="8" t="s">
        <v>58</v>
      </c>
      <c r="H47" s="8" t="s">
        <v>81</v>
      </c>
      <c r="J47" s="8" t="s">
        <v>70</v>
      </c>
    </row>
    <row r="48" spans="1:14" s="13" customFormat="1" x14ac:dyDescent="0.35"/>
    <row r="49" spans="1:14" x14ac:dyDescent="0.35">
      <c r="A49" s="7" t="s">
        <v>0</v>
      </c>
      <c r="B49" s="7" t="s">
        <v>84</v>
      </c>
    </row>
    <row r="50" spans="1:14" x14ac:dyDescent="0.35">
      <c r="A50" s="9" t="s">
        <v>2</v>
      </c>
      <c r="B50" s="8" t="s">
        <v>69</v>
      </c>
    </row>
    <row r="51" spans="1:14" x14ac:dyDescent="0.35">
      <c r="A51" s="9" t="s">
        <v>4</v>
      </c>
      <c r="B51" s="8" t="s">
        <v>5</v>
      </c>
    </row>
    <row r="52" spans="1:14" x14ac:dyDescent="0.35">
      <c r="A52" s="9" t="s">
        <v>6</v>
      </c>
      <c r="B52" s="10">
        <v>1</v>
      </c>
    </row>
    <row r="53" spans="1:14" x14ac:dyDescent="0.35">
      <c r="A53" s="9" t="s">
        <v>7</v>
      </c>
      <c r="B53" s="8" t="s">
        <v>8</v>
      </c>
    </row>
    <row r="54" spans="1:14" x14ac:dyDescent="0.35">
      <c r="A54" s="9" t="s">
        <v>9</v>
      </c>
      <c r="B54" s="8" t="s">
        <v>10</v>
      </c>
    </row>
    <row r="55" spans="1:14" x14ac:dyDescent="0.35">
      <c r="A55" s="9" t="s">
        <v>11</v>
      </c>
    </row>
    <row r="56" spans="1:14" x14ac:dyDescent="0.35">
      <c r="A56" s="7" t="s">
        <v>12</v>
      </c>
      <c r="B56" s="7" t="s">
        <v>2</v>
      </c>
      <c r="C56" s="7" t="s">
        <v>4</v>
      </c>
      <c r="D56" s="7" t="s">
        <v>6</v>
      </c>
      <c r="E56" s="7" t="s">
        <v>7</v>
      </c>
      <c r="F56" s="7" t="s">
        <v>13</v>
      </c>
      <c r="G56" s="7" t="s">
        <v>14</v>
      </c>
      <c r="H56" s="7" t="s">
        <v>15</v>
      </c>
      <c r="I56" s="7" t="s">
        <v>16</v>
      </c>
      <c r="J56" s="7" t="s">
        <v>17</v>
      </c>
      <c r="K56" s="7" t="s">
        <v>18</v>
      </c>
      <c r="L56" s="7" t="s">
        <v>19</v>
      </c>
      <c r="M56" s="7" t="s">
        <v>20</v>
      </c>
      <c r="N56" s="7" t="s">
        <v>21</v>
      </c>
    </row>
    <row r="57" spans="1:14" x14ac:dyDescent="0.35">
      <c r="A57" s="8" t="str">
        <f>B49</f>
        <v>Bertrandite ore mining and Be metal production in the US</v>
      </c>
      <c r="B57" s="8" t="str">
        <f>B50</f>
        <v>Be metal</v>
      </c>
      <c r="C57" s="8" t="str">
        <f>B51</f>
        <v>US</v>
      </c>
      <c r="D57" s="10">
        <v>1</v>
      </c>
      <c r="E57" s="8" t="s">
        <v>8</v>
      </c>
      <c r="F57" s="11" t="str">
        <f>F35</f>
        <v>Beryllium</v>
      </c>
      <c r="G57" s="8" t="s">
        <v>22</v>
      </c>
    </row>
    <row r="58" spans="1:14" x14ac:dyDescent="0.35">
      <c r="A58" s="8" t="str">
        <f>A35</f>
        <v>[R] Be metal production</v>
      </c>
      <c r="B58" s="8" t="str">
        <f>B35</f>
        <v>Be metal</v>
      </c>
      <c r="C58" s="8" t="str">
        <f>C35</f>
        <v>US</v>
      </c>
      <c r="D58" s="8">
        <v>1</v>
      </c>
      <c r="E58" s="8" t="str">
        <f>E35</f>
        <v>kilogram</v>
      </c>
      <c r="F58" s="11" t="str">
        <f>F35</f>
        <v>Beryllium</v>
      </c>
      <c r="G58" s="8" t="s">
        <v>27</v>
      </c>
    </row>
    <row r="59" spans="1:14" x14ac:dyDescent="0.35">
      <c r="A59" s="8" t="str">
        <f>A9</f>
        <v>[M+C+P] Bertrandite ore mining and Beryllium hydroxide (Be(OH)2) production</v>
      </c>
      <c r="B59" s="8" t="str">
        <f>B9</f>
        <v>Be(OH)2</v>
      </c>
      <c r="C59" s="8" t="str">
        <f>C9</f>
        <v>US</v>
      </c>
      <c r="D59" s="8">
        <v>4.7699999999999996</v>
      </c>
      <c r="E59" s="8" t="str">
        <f>E9</f>
        <v>kilogram</v>
      </c>
      <c r="F59" s="11" t="str">
        <f>F9</f>
        <v>Beryllium</v>
      </c>
      <c r="G59" s="8" t="s">
        <v>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Props1.xml><?xml version="1.0" encoding="utf-8"?>
<ds:datastoreItem xmlns:ds="http://schemas.openxmlformats.org/officeDocument/2006/customXml" ds:itemID="{ADF99582-912D-4EF1-A24A-7E9EF81B2A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42F858-24E6-4624-B6F0-8FC468F4D0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5B64D9-7B70-46B1-9841-8DF32565485F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Note</vt:lpstr>
      <vt:lpstr>Be_Market_GLO</vt:lpstr>
      <vt:lpstr>PR1_Be_US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2025-07-18T15:15:26Z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