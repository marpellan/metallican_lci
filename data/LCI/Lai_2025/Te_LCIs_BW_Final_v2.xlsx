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brgm365.sharepoint.com/sites/RPPEXIMPMET/Documents partages/General/P2/04_Data/04_Modelling/02_LCI modelling/Te_Tellurium/"/>
    </mc:Choice>
  </mc:AlternateContent>
  <xr:revisionPtr revIDLastSave="2" documentId="8_{B327E66D-D04E-4374-9FC8-0530FE635FF4}" xr6:coauthVersionLast="47" xr6:coauthVersionMax="47" xr10:uidLastSave="{178A239F-723E-4FCA-8B3E-2802A03C753C}"/>
  <bookViews>
    <workbookView xWindow="-23148" yWindow="-108" windowWidth="23256" windowHeight="12576" tabRatio="828" activeTab="3" xr2:uid="{00000000-000D-0000-FFFF-FFFF00000000}"/>
  </bookViews>
  <sheets>
    <sheet name="Note" sheetId="1" r:id="rId1"/>
    <sheet name="Te_Market_GLO" sheetId="15" r:id="rId2"/>
    <sheet name="PR1_Te_CN_CuSlime" sheetId="21" r:id="rId3"/>
    <sheet name="PR2_Te_SE_Pyro" sheetId="2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21" l="1"/>
  <c r="B25" i="15"/>
  <c r="C25" i="15"/>
  <c r="E25" i="15"/>
  <c r="F25" i="15"/>
  <c r="A25" i="15"/>
  <c r="E24" i="15"/>
  <c r="B13" i="15"/>
  <c r="C13" i="15"/>
  <c r="E13" i="15"/>
  <c r="F13" i="15"/>
  <c r="A13" i="15"/>
  <c r="E12" i="15"/>
  <c r="F23" i="15" l="1"/>
  <c r="C23" i="15"/>
  <c r="B23" i="15"/>
  <c r="A23" i="15"/>
  <c r="G156" i="27"/>
  <c r="G155" i="27"/>
  <c r="B154" i="27"/>
  <c r="A154" i="27"/>
  <c r="F9" i="27" l="1"/>
  <c r="F144" i="27" s="1"/>
  <c r="F156" i="27" s="1"/>
  <c r="E144" i="27"/>
  <c r="E156" i="27" s="1"/>
  <c r="C144" i="27"/>
  <c r="C156" i="27" s="1"/>
  <c r="E143" i="27"/>
  <c r="E155" i="27" s="1"/>
  <c r="C143" i="27"/>
  <c r="C155" i="27" s="1"/>
  <c r="B142" i="27"/>
  <c r="A142" i="27"/>
  <c r="B60" i="27"/>
  <c r="B143" i="27" s="1"/>
  <c r="B155" i="27" s="1"/>
  <c r="A60" i="27"/>
  <c r="A143" i="27" s="1"/>
  <c r="A155" i="27" s="1"/>
  <c r="B9" i="27"/>
  <c r="B144" i="27" s="1"/>
  <c r="B156" i="27" s="1"/>
  <c r="A9" i="27"/>
  <c r="A144" i="27" s="1"/>
  <c r="A156" i="27" s="1"/>
  <c r="F60" i="27" l="1"/>
  <c r="F142" i="27" l="1"/>
  <c r="F154" i="27" s="1"/>
  <c r="F143" i="27"/>
  <c r="F155" i="27" s="1"/>
  <c r="C43" i="21"/>
  <c r="C24" i="15" s="1"/>
  <c r="B43" i="21"/>
  <c r="B24" i="15" s="1"/>
  <c r="A43" i="21"/>
  <c r="A24" i="15" s="1"/>
  <c r="E32" i="21" l="1"/>
  <c r="E44" i="21" s="1"/>
  <c r="C31" i="21"/>
  <c r="C12" i="15" s="1"/>
  <c r="B31" i="21"/>
  <c r="B12" i="15" s="1"/>
  <c r="A31" i="21"/>
  <c r="A12" i="15" s="1"/>
  <c r="F31" i="21"/>
  <c r="C9" i="21"/>
  <c r="C32" i="21" s="1"/>
  <c r="C44" i="21" s="1"/>
  <c r="B9" i="21"/>
  <c r="B32" i="21" s="1"/>
  <c r="B44" i="21" s="1"/>
  <c r="A9" i="21"/>
  <c r="A32" i="21" s="1"/>
  <c r="A44" i="21" s="1"/>
  <c r="F43" i="21" l="1"/>
  <c r="F24" i="15" s="1"/>
  <c r="F12" i="15"/>
  <c r="F32" i="21"/>
  <c r="F44" i="21" s="1"/>
  <c r="F11" i="15" l="1"/>
  <c r="C11" i="15"/>
  <c r="B11" i="15"/>
  <c r="A11" i="15"/>
</calcChain>
</file>

<file path=xl/sharedStrings.xml><?xml version="1.0" encoding="utf-8"?>
<sst xmlns="http://schemas.openxmlformats.org/spreadsheetml/2006/main" count="1124" uniqueCount="213">
  <si>
    <t>Activity</t>
  </si>
  <si>
    <t>reference product</t>
  </si>
  <si>
    <t>location</t>
  </si>
  <si>
    <t>CN</t>
  </si>
  <si>
    <t>amount</t>
  </si>
  <si>
    <t>unit</t>
  </si>
  <si>
    <t>kilogram</t>
  </si>
  <si>
    <t>comment</t>
  </si>
  <si>
    <t>n/a</t>
  </si>
  <si>
    <t>Exchanges</t>
  </si>
  <si>
    <t>name</t>
  </si>
  <si>
    <t>database</t>
  </si>
  <si>
    <t>type</t>
  </si>
  <si>
    <t>categories</t>
  </si>
  <si>
    <t>uncertainty type</t>
  </si>
  <si>
    <t>pedigree</t>
  </si>
  <si>
    <t>loc</t>
  </si>
  <si>
    <t>scale</t>
  </si>
  <si>
    <t>minimum</t>
  </si>
  <si>
    <t>maximum</t>
  </si>
  <si>
    <t>production</t>
  </si>
  <si>
    <t>ecoinvent 3.10 cutoff</t>
  </si>
  <si>
    <t>technosphere</t>
  </si>
  <si>
    <t>GLO</t>
  </si>
  <si>
    <t>RoW</t>
  </si>
  <si>
    <t>market for limestone, crushed, washed</t>
  </si>
  <si>
    <t>limestone, crushed, washed</t>
  </si>
  <si>
    <t>market group for electricity, medium voltage</t>
  </si>
  <si>
    <t>electricity, medium voltage</t>
  </si>
  <si>
    <t>kilowatt hour</t>
  </si>
  <si>
    <t>market for light fuel oil</t>
  </si>
  <si>
    <t>light fuel oil</t>
  </si>
  <si>
    <t>market for diesel, burned in building machine</t>
  </si>
  <si>
    <t>diesel, burned in building machine</t>
  </si>
  <si>
    <t>megajoule</t>
  </si>
  <si>
    <t>market for hydrochloric acid, without water, in 30% solution state</t>
  </si>
  <si>
    <t>hydrochloric acid, without water, in 30% solution state</t>
  </si>
  <si>
    <t>hazardous waste, for incineration</t>
  </si>
  <si>
    <t>municipal solid waste</t>
  </si>
  <si>
    <t>cubic meter</t>
  </si>
  <si>
    <t>market for sulfuric acid</t>
  </si>
  <si>
    <t>sulfuric acid</t>
  </si>
  <si>
    <t>biosphere3</t>
  </si>
  <si>
    <t>biosphere</t>
  </si>
  <si>
    <t>natural resource::in ground</t>
  </si>
  <si>
    <t>natural resource::land</t>
  </si>
  <si>
    <t>Water, unspecified natural origin</t>
  </si>
  <si>
    <t>Sulfur dioxide</t>
  </si>
  <si>
    <t>air</t>
  </si>
  <si>
    <t>Arsenic ion</t>
  </si>
  <si>
    <t>Nitrogen oxides</t>
  </si>
  <si>
    <t>Carbon dioxide, fossil</t>
  </si>
  <si>
    <t>Water, river</t>
  </si>
  <si>
    <t>natural resource::in water</t>
  </si>
  <si>
    <t>Mercury II</t>
  </si>
  <si>
    <t>water</t>
  </si>
  <si>
    <t>market for compressed air, 800 kPa gauge</t>
  </si>
  <si>
    <t>compressed air, 800 kPa gauge</t>
  </si>
  <si>
    <t>market for non-sulfidic overburden, off-site</t>
  </si>
  <si>
    <t>non-sulfidic overburden, off-site</t>
  </si>
  <si>
    <t>market for liquefied petroleum gas</t>
  </si>
  <si>
    <t>liquefied petroleum gas</t>
  </si>
  <si>
    <t>market for explosive, tovex</t>
  </si>
  <si>
    <t>explosive, tovex</t>
  </si>
  <si>
    <t>market for sodium hydroxide, without water, in 50% solution state</t>
  </si>
  <si>
    <t>sodium hydroxide, without water, in 50% solution state</t>
  </si>
  <si>
    <t>market for lime, packed</t>
  </si>
  <si>
    <t>lime, packed</t>
  </si>
  <si>
    <t>market for chemical, organic</t>
  </si>
  <si>
    <t>chemical, organic</t>
  </si>
  <si>
    <t>market for hydrogen peroxide, without water, in 50% solution state</t>
  </si>
  <si>
    <t>hydrogen peroxide, without water, in 50% solution state</t>
  </si>
  <si>
    <t>market for polyacrylamide</t>
  </si>
  <si>
    <t>polyacrylamide</t>
  </si>
  <si>
    <t>market for borax, anhydrous, powder</t>
  </si>
  <si>
    <t>borax, anhydrous, powder</t>
  </si>
  <si>
    <t>market for soda ash, dense</t>
  </si>
  <si>
    <t>soda ash, dense</t>
  </si>
  <si>
    <t>market for chemical, inorganic</t>
  </si>
  <si>
    <t>chemical, inorganic</t>
  </si>
  <si>
    <t>market for tap water</t>
  </si>
  <si>
    <t>tap water</t>
  </si>
  <si>
    <t>(1,5,1,1,1)</t>
  </si>
  <si>
    <t>market for silica sand</t>
  </si>
  <si>
    <t>silica sand</t>
  </si>
  <si>
    <t>market for nitric acid, without water, in 50% solution state</t>
  </si>
  <si>
    <t>nitric acid, without water, in 50% solution state</t>
  </si>
  <si>
    <t>market for sodium chlorate, powder</t>
  </si>
  <si>
    <t>sodium chlorate, powder</t>
  </si>
  <si>
    <t>market for ammonium chloride</t>
  </si>
  <si>
    <t>ammonium chloride</t>
  </si>
  <si>
    <t>market for copper slag</t>
  </si>
  <si>
    <t>copper slag</t>
  </si>
  <si>
    <t>CuTe</t>
  </si>
  <si>
    <r>
      <t>Allocated unit process, considering as allocation factors (AF): 75.4% for Au (1 kg)</t>
    </r>
    <r>
      <rPr>
        <b/>
        <sz val="11"/>
        <color theme="5"/>
        <rFont val="Calibri"/>
        <family val="2"/>
        <scheme val="minor"/>
      </rPr>
      <t xml:space="preserve">, </t>
    </r>
    <r>
      <rPr>
        <sz val="11"/>
        <color theme="5"/>
        <rFont val="Calibri"/>
        <family val="2"/>
        <scheme val="minor"/>
      </rPr>
      <t xml:space="preserve">22.2% for Ag (23 kg), </t>
    </r>
    <r>
      <rPr>
        <b/>
        <sz val="11"/>
        <color theme="5"/>
        <rFont val="Calibri"/>
        <family val="2"/>
        <scheme val="minor"/>
      </rPr>
      <t>1.3% for Te (14 kg CuTe)</t>
    </r>
    <r>
      <rPr>
        <sz val="11"/>
        <color theme="5"/>
        <rFont val="Calibri"/>
        <family val="2"/>
        <scheme val="minor"/>
      </rPr>
      <t xml:space="preserve"> and 1.1% for Se (27 kg).</t>
    </r>
  </si>
  <si>
    <t>Te production in China through Cu anode slime processing</t>
  </si>
  <si>
    <t>SE</t>
  </si>
  <si>
    <t>Aluminium III</t>
  </si>
  <si>
    <t>Antimony ion</t>
  </si>
  <si>
    <t>Cadmium II</t>
  </si>
  <si>
    <t>Chromium III</t>
  </si>
  <si>
    <t>Copper ion</t>
  </si>
  <si>
    <t>Lead II</t>
  </si>
  <si>
    <t>Zinc II</t>
  </si>
  <si>
    <t>RER</t>
  </si>
  <si>
    <t>Dioxins, measured as 2,3,7,8-tetrachlorodibenzo-p-dioxin</t>
  </si>
  <si>
    <t>Europe without Switzerland</t>
  </si>
  <si>
    <t>Nickel II</t>
  </si>
  <si>
    <t>Tellurium</t>
  </si>
  <si>
    <t>Tellurium (Te) global market</t>
  </si>
  <si>
    <t>Te production in China through Cu anode slime processing (Te content)</t>
  </si>
  <si>
    <t>CuTe (Te content)</t>
  </si>
  <si>
    <t>[M+C] Copper (Cu) ore mining and concentration (Sweden)</t>
  </si>
  <si>
    <t>Cu concentrate</t>
  </si>
  <si>
    <t>(1,1,3,1,1)</t>
  </si>
  <si>
    <t>market for electricity, high voltage</t>
  </si>
  <si>
    <t>electricity, high voltage</t>
  </si>
  <si>
    <t>heat production, wood pellet, at furnace 25kW, state-of-the-art 2014</t>
  </si>
  <si>
    <t>heat, central or small-scale, other than natural gas</t>
  </si>
  <si>
    <t>market for sodium chloride, powder</t>
  </si>
  <si>
    <t>sodium chloride, powder</t>
  </si>
  <si>
    <t>market for sodium chloride, brine solution</t>
  </si>
  <si>
    <t>sodium chloride, brine solution</t>
  </si>
  <si>
    <t>market for aluminium hydroxide</t>
  </si>
  <si>
    <t>aluminium hydroxide</t>
  </si>
  <si>
    <t>transport, freight train, electricity</t>
  </si>
  <si>
    <t>transport, freight train</t>
  </si>
  <si>
    <t>ton kilometer</t>
  </si>
  <si>
    <t>treatment of hazardous waste, underground deposit</t>
  </si>
  <si>
    <t>hazardous waste, for underground deposit</t>
  </si>
  <si>
    <t>market for waste mineral oil</t>
  </si>
  <si>
    <t>waste mineral oil</t>
  </si>
  <si>
    <t>market for sewage sludge</t>
  </si>
  <si>
    <t>sewage sludge</t>
  </si>
  <si>
    <t>treatment of hazardous waste, hazardous waste incineration</t>
  </si>
  <si>
    <t>Occupation, mineral extraction site</t>
  </si>
  <si>
    <t>square meter-year</t>
  </si>
  <si>
    <t>Copper</t>
  </si>
  <si>
    <t>Water, well, in ground</t>
  </si>
  <si>
    <t>Nitrogen</t>
  </si>
  <si>
    <t>[P+R] Copper telluride (CuTe) production - Pyrometallurgy (Sweden)</t>
  </si>
  <si>
    <t>market for heavy fuel oil</t>
  </si>
  <si>
    <t>heavy fuel oil</t>
  </si>
  <si>
    <t>market for lime</t>
  </si>
  <si>
    <t>lime</t>
  </si>
  <si>
    <t>market for barite</t>
  </si>
  <si>
    <t>barite</t>
  </si>
  <si>
    <t>market for ammonia, anhydrous, liquid</t>
  </si>
  <si>
    <t>ammonia, anhydrous, liquid</t>
  </si>
  <si>
    <t>market for paraffin</t>
  </si>
  <si>
    <t>paraffin</t>
  </si>
  <si>
    <t>market for graphite</t>
  </si>
  <si>
    <t>graphite</t>
  </si>
  <si>
    <t>market for iron sulfate</t>
  </si>
  <si>
    <t>iron sulfate</t>
  </si>
  <si>
    <t>market for chlorine, gaseous</t>
  </si>
  <si>
    <t>chlorine, gaseous</t>
  </si>
  <si>
    <t>chemical production, inorganic</t>
  </si>
  <si>
    <t>market for sodium sulfide</t>
  </si>
  <si>
    <t>sodium sulfide</t>
  </si>
  <si>
    <t>market for sodium formate</t>
  </si>
  <si>
    <t>sodium formate</t>
  </si>
  <si>
    <t>market for dithiocarbamate-compound</t>
  </si>
  <si>
    <t>dithiocarbamate-compound</t>
  </si>
  <si>
    <t>market for sodium phosphate</t>
  </si>
  <si>
    <t>sodium phosphate</t>
  </si>
  <si>
    <t>market for wax, lost-wax casting</t>
  </si>
  <si>
    <t>wax, lost-wax casting</t>
  </si>
  <si>
    <t>market for inert waste, for final disposal</t>
  </si>
  <si>
    <t>inert waste, for final disposal</t>
  </si>
  <si>
    <t>treatment of waste paper, unsorted, sorting</t>
  </si>
  <si>
    <t>waste paper, sorted</t>
  </si>
  <si>
    <t>market for ferrous metal, in mixed metal scrap</t>
  </si>
  <si>
    <t>ferrous metal, in mixed metal scrap</t>
  </si>
  <si>
    <t>treatment of waste wood, untreated, municipal incineration</t>
  </si>
  <si>
    <t>waste wood, untreated</t>
  </si>
  <si>
    <t>treatment of waste mineral oil, hazardous waste incineration</t>
  </si>
  <si>
    <t>market for waste plastic, mixture</t>
  </si>
  <si>
    <t>waste plastic, mixture</t>
  </si>
  <si>
    <t>market for used Li-ion battery</t>
  </si>
  <si>
    <t>used Li-ion battery</t>
  </si>
  <si>
    <t>market for waste emulsion paint</t>
  </si>
  <si>
    <t>waste emulsion paint</t>
  </si>
  <si>
    <t>market for used fluorescent lamp</t>
  </si>
  <si>
    <t>used fluorescent lamp</t>
  </si>
  <si>
    <t>market for refinery sludge</t>
  </si>
  <si>
    <t>refinery sludge</t>
  </si>
  <si>
    <t>treatment of municipal solid waste, municipal incineration</t>
  </si>
  <si>
    <t>market for hazardous waste, for underground deposit</t>
  </si>
  <si>
    <t>market for sulfur dioxide, liquid</t>
  </si>
  <si>
    <t>sulfur dioxide, liquid</t>
  </si>
  <si>
    <t>Te recovery from Cu production in Sweden/Rönnskärsverken</t>
  </si>
  <si>
    <r>
      <t xml:space="preserve">Applied AF: "Cu concentrate" input = </t>
    </r>
    <r>
      <rPr>
        <b/>
        <sz val="11"/>
        <color theme="5"/>
        <rFont val="Calibri"/>
        <family val="2"/>
        <scheme val="minor"/>
      </rPr>
      <t>0.03%</t>
    </r>
    <r>
      <rPr>
        <sz val="11"/>
        <color theme="5"/>
        <rFont val="Calibri"/>
        <family val="2"/>
        <scheme val="minor"/>
      </rPr>
      <t>.</t>
    </r>
  </si>
  <si>
    <t>[P+R] Copper telluride (CuTe) production (from anode slime)</t>
  </si>
  <si>
    <r>
      <t xml:space="preserve">Allocated unit process, considering as allocation factors (AF): 45.7% for Cu (1 kg cathode), 0.02% for Cu (0.002 kg CuSO4), 0.5% for Ni (0.02 kg NiSO4), 30.6% for Au (0.00009 kg), 16.2% for Ag (0.004 kg), </t>
    </r>
    <r>
      <rPr>
        <b/>
        <sz val="11"/>
        <color theme="5"/>
        <rFont val="Calibri"/>
        <family val="2"/>
        <scheme val="minor"/>
      </rPr>
      <t>0.03% for Te (0.0002 kg CuTe)</t>
    </r>
    <r>
      <rPr>
        <sz val="11"/>
        <color theme="5"/>
        <rFont val="Calibri"/>
        <family val="2"/>
        <scheme val="minor"/>
      </rPr>
      <t xml:space="preserve">, 0.07% for Se (0.0004 kg), 4.3% for Zn (0.2 kg ZnO2), 2.4% for Pb (0.2 kg) and 0.06% for Fe (1.8 kg sand).
</t>
    </r>
    <r>
      <rPr>
        <sz val="11"/>
        <color rgb="FF7030A0"/>
        <rFont val="Calibri"/>
        <family val="2"/>
        <scheme val="minor"/>
      </rPr>
      <t>The co-produced sulfuric acid, sulfur dioxide, electricity and heat are dealt through substitution.</t>
    </r>
  </si>
  <si>
    <t>Te recovery from Cu production in Sweden/Rönnskärsverken (Te content)</t>
  </si>
  <si>
    <r>
      <t xml:space="preserve">Applied AF: "Cu concentrate" input = </t>
    </r>
    <r>
      <rPr>
        <b/>
        <sz val="11"/>
        <color theme="5"/>
        <rFont val="Calibri"/>
        <family val="2"/>
        <scheme val="minor"/>
      </rPr>
      <t>0.03%</t>
    </r>
    <r>
      <rPr>
        <sz val="11"/>
        <color theme="5"/>
        <rFont val="Calibri"/>
        <family val="2"/>
        <scheme val="minor"/>
      </rPr>
      <t xml:space="preserve">.
</t>
    </r>
    <r>
      <rPr>
        <sz val="11"/>
        <rFont val="Calibri"/>
        <family val="2"/>
        <scheme val="minor"/>
      </rPr>
      <t>Activity expressed for 1 kg Te contained.</t>
    </r>
  </si>
  <si>
    <t>Tellurium (Te) global market (Te content)</t>
  </si>
  <si>
    <t>Te content</t>
  </si>
  <si>
    <t>Activity expressed for 1 kg Te contained.</t>
  </si>
  <si>
    <t>skip</t>
  </si>
  <si>
    <t>Sheet</t>
  </si>
  <si>
    <t>Corresponding route</t>
  </si>
  <si>
    <t>Te global market</t>
  </si>
  <si>
    <r>
      <rPr>
        <b/>
        <sz val="14"/>
        <color theme="1"/>
        <rFont val="Calibri"/>
        <family val="2"/>
        <scheme val="minor"/>
      </rPr>
      <t xml:space="preserve">Life cycle inventories of global metal and mineral supply chains: a comprehensive data review, analysis and processing </t>
    </r>
    <r>
      <rPr>
        <b/>
        <sz val="16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Frédéric Lai</t>
    </r>
    <r>
      <rPr>
        <vertAlign val="superscript"/>
        <sz val="11"/>
        <color theme="1"/>
        <rFont val="Calibri"/>
        <family val="2"/>
        <scheme val="minor"/>
      </rPr>
      <t>a*</t>
    </r>
    <r>
      <rPr>
        <sz val="11"/>
        <color theme="1"/>
        <rFont val="Calibri"/>
        <family val="2"/>
        <scheme val="minor"/>
      </rPr>
      <t>, Stéphanie Muller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Audrey Philippe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Robert Istrate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Brenda Miranda Xicotencatl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Afsoon Mansouri Aski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Aina Mas Fons</t>
    </r>
    <r>
      <rPr>
        <vertAlign val="superscript"/>
        <sz val="11"/>
        <color theme="1"/>
        <rFont val="Calibri"/>
        <family val="2"/>
        <scheme val="minor"/>
      </rPr>
      <t>d,a</t>
    </r>
    <r>
      <rPr>
        <sz val="11"/>
        <color theme="1"/>
        <rFont val="Calibri"/>
        <family val="2"/>
        <scheme val="minor"/>
      </rPr>
      <t>, Juliana Segura-Salazar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Jair Santillán Saldivar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Alexander Cimprich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Stephen Northey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, Lígia da Silva Lima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Lieselot Boone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Ryosuke Yokoi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Kamrul Islam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Ioanna Paschalidou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Felipe Cerdas</t>
    </r>
    <r>
      <rPr>
        <vertAlign val="superscript"/>
        <sz val="11"/>
        <color theme="1"/>
        <rFont val="Calibri"/>
        <family val="2"/>
        <scheme val="minor"/>
      </rPr>
      <t>k,l</t>
    </r>
    <r>
      <rPr>
        <sz val="11"/>
        <color theme="1"/>
        <rFont val="Calibri"/>
        <family val="2"/>
        <scheme val="minor"/>
      </rPr>
      <t>, Victor Balboa-Espinoza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Anish Koyamparambath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Diae Hennioui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Victoire Collignon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Aurélien Reys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Gyslain Ngadi Sakatadi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, Jo Dewulf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Bernhard Steubing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Christoph Helbig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Gaétan Lefebvre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Gian Andrea Blengini</t>
    </r>
    <r>
      <rPr>
        <vertAlign val="superscript"/>
        <sz val="11"/>
        <color theme="1"/>
        <rFont val="Calibri"/>
        <family val="2"/>
        <scheme val="minor"/>
      </rPr>
      <t>n,m</t>
    </r>
    <r>
      <rPr>
        <sz val="11"/>
        <color theme="1"/>
        <rFont val="Calibri"/>
        <family val="2"/>
        <scheme val="minor"/>
      </rPr>
      <t>, Valeria Superti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, Masaharu Motoshita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Guido Sonnemann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Kwame Awuah-Offei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Steven B. Young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Shinsuke Murakami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, Antoine Beylot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
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BRGM, F-45060 Orléans, France
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Institute of Environmental Sciences (CML), Leiden University, Einsteinweg 2, 2333 CC Leiden, NL
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Ecological Resource Technology, University of Bayreuth, Universitätstr. 30, 95447 Bayreuth, Germany
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Univ. Bordeaux, CNRS, Bordeaux INP, ISM, UMR 5255, F-33400 Talence, France
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Sustainable Minerals Institute, The University of Queensland, QLD, 4072, Australia
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School of Environment, Enterprise and Development, University of Waterloo, 200 University Avenue West, Waterloo, Ontario N2L 3G1, Canada
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University of Technology Sydney, Institute for Sustainable Futures, Australia
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Sustainable Systems Engineering (STEN), Department of Green Chemistry and Technology, Faculty of Bioscience Engineering, Ghent University, Coupure Links 653, 9000 Ghent, Belgium
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AIST, 305-8569 Tsukuba, Japan
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Mining &amp; Explosives Engineering, Missouri University of Science &amp; Technology, Rolla, MO, USA 65409
</t>
    </r>
    <r>
      <rPr>
        <vertAlign val="superscript"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Institute for Sustainable Energy Systems (INSYS), Technical University of Applied Sciences Würzburg-Schweinfurt (THWS), Ignaz-Schön-Straße 11, Schweinfurt, Germany 
</t>
    </r>
    <r>
      <rPr>
        <vertAlign val="super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Fraunhofer Institute for Surface Engineering and Thin Films IST, Riedenkamp 2, Braunschweig 38108, Germany
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Department of Environment, Land and Infrastructure Engineering, Politecnico di Torino, Corso Duca degli Abruzzi, 24, 10129 Torino, Italy
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University of Turin, Earth Sciences Department (DST), Via Valperga Caluso, 35 – 10125 Torino, Italy
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ecoinvent association, Technopark, Technoparkstrasse 1, 8005 Zürich, Switzerland 
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Graduate School of Engineering, The University of Tokyo, Tokyo 113-8656, Japan
*Corresponding author: </t>
    </r>
    <r>
      <rPr>
        <u/>
        <sz val="11"/>
        <color theme="1"/>
        <rFont val="Calibri"/>
        <family val="2"/>
        <scheme val="minor"/>
      </rPr>
      <t xml:space="preserve">f.lai@brgm.fr
</t>
    </r>
    <r>
      <rPr>
        <sz val="11"/>
        <color theme="1"/>
        <rFont val="Calibri"/>
        <family val="2"/>
        <scheme val="minor"/>
      </rPr>
      <t>This file provides all LCI datasets developed for</t>
    </r>
    <r>
      <rPr>
        <b/>
        <sz val="11"/>
        <color theme="1"/>
        <rFont val="Calibri"/>
        <family val="2"/>
        <scheme val="minor"/>
      </rPr>
      <t xml:space="preserve"> Tellurium (Te)</t>
    </r>
    <r>
      <rPr>
        <sz val="11"/>
        <color theme="1"/>
        <rFont val="Calibri"/>
        <family val="2"/>
        <scheme val="minor"/>
      </rPr>
      <t>, with distinguishing its global market and each individual production route.</t>
    </r>
  </si>
  <si>
    <t>Te_Market_GLO</t>
  </si>
  <si>
    <t>PR1_Te_CN_CuSlime</t>
  </si>
  <si>
    <t>PR2_Te_SE_Pyro</t>
  </si>
  <si>
    <t>Water, salt, ocean</t>
  </si>
  <si>
    <r>
      <rPr>
        <sz val="11"/>
        <color theme="8"/>
        <rFont val="Calibri"/>
        <family val="2"/>
        <scheme val="minor"/>
      </rPr>
      <t>An ecoinvent activity is here included to model the upstream anode slime production.</t>
    </r>
    <r>
      <rPr>
        <sz val="11"/>
        <color theme="5"/>
        <rFont val="Calibri"/>
        <family val="2"/>
        <scheme val="minor"/>
      </rPr>
      <t xml:space="preserve">
Applied AF: "Anode slime" input = </t>
    </r>
    <r>
      <rPr>
        <b/>
        <sz val="11"/>
        <color theme="5"/>
        <rFont val="Calibri"/>
        <family val="2"/>
        <scheme val="minor"/>
      </rPr>
      <t>1.3%</t>
    </r>
    <r>
      <rPr>
        <sz val="11"/>
        <color theme="5"/>
        <rFont val="Calibri"/>
        <family val="2"/>
        <scheme val="minor"/>
      </rPr>
      <t>.</t>
    </r>
  </si>
  <si>
    <t>market for anode slime from electrorefining of copper, anode</t>
  </si>
  <si>
    <t>anode slime from electrorefining of copper, anode</t>
  </si>
  <si>
    <r>
      <rPr>
        <sz val="11"/>
        <color theme="8"/>
        <rFont val="Calibri"/>
        <family val="2"/>
        <scheme val="minor"/>
      </rPr>
      <t>An ecoinvent activity is here included to model the upstream anode slime production.</t>
    </r>
    <r>
      <rPr>
        <sz val="11"/>
        <color theme="5"/>
        <rFont val="Calibri"/>
        <family val="2"/>
        <scheme val="minor"/>
      </rPr>
      <t xml:space="preserve">
Applied AF: "Anode slime" input = </t>
    </r>
    <r>
      <rPr>
        <b/>
        <sz val="11"/>
        <color theme="5"/>
        <rFont val="Calibri"/>
        <family val="2"/>
        <scheme val="minor"/>
      </rPr>
      <t>1.3%</t>
    </r>
    <r>
      <rPr>
        <sz val="11"/>
        <color theme="5"/>
        <rFont val="Calibri"/>
        <family val="2"/>
        <scheme val="minor"/>
      </rPr>
      <t xml:space="preserve">.
</t>
    </r>
    <r>
      <rPr>
        <sz val="11"/>
        <rFont val="Calibri"/>
        <family val="2"/>
        <scheme val="minor"/>
      </rPr>
      <t>Activity expressed for 1 kg Te contained.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</si>
</sst>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7030A0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left"/>
    </xf>
    <xf numFmtId="0" fontId="0" fillId="2" borderId="0" xfId="0" applyFill="1"/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2" borderId="0" xfId="0" applyFill="1" applyAlignment="1">
      <alignment horizontal="left"/>
    </xf>
    <xf numFmtId="0" fontId="5" fillId="0" borderId="0" xfId="0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0" borderId="4" xfId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9" fillId="0" borderId="6" xfId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11" fontId="6" fillId="0" borderId="0" xfId="0" applyNumberFormat="1" applyFont="1" applyAlignment="1">
      <alignment horizontal="left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Q36"/>
  <sheetViews>
    <sheetView showGridLines="0" workbookViewId="0">
      <selection activeCell="B36" sqref="B36"/>
    </sheetView>
  </sheetViews>
  <sheetFormatPr baseColWidth="10" defaultRowHeight="14.5" x14ac:dyDescent="0.35"/>
  <cols>
    <col min="1" max="1" width="1.81640625" customWidth="1"/>
    <col min="2" max="2" width="31.81640625" bestFit="1" customWidth="1"/>
  </cols>
  <sheetData>
    <row r="1" spans="1:17" ht="15" thickBot="1" x14ac:dyDescent="0.4">
      <c r="A1" t="s">
        <v>200</v>
      </c>
    </row>
    <row r="2" spans="1:17" ht="15" customHeight="1" x14ac:dyDescent="0.35">
      <c r="B2" s="30" t="s">
        <v>204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2"/>
    </row>
    <row r="3" spans="1:17" x14ac:dyDescent="0.35">
      <c r="B3" s="33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5"/>
    </row>
    <row r="4" spans="1:17" x14ac:dyDescent="0.35">
      <c r="B4" s="33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5"/>
    </row>
    <row r="5" spans="1:17" x14ac:dyDescent="0.35">
      <c r="B5" s="33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5"/>
    </row>
    <row r="6" spans="1:17" x14ac:dyDescent="0.35">
      <c r="B6" s="33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5"/>
    </row>
    <row r="7" spans="1:17" x14ac:dyDescent="0.35">
      <c r="B7" s="33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5"/>
    </row>
    <row r="8" spans="1:17" x14ac:dyDescent="0.35">
      <c r="B8" s="33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5"/>
    </row>
    <row r="9" spans="1:17" x14ac:dyDescent="0.35">
      <c r="B9" s="33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5"/>
    </row>
    <row r="10" spans="1:17" x14ac:dyDescent="0.35">
      <c r="B10" s="33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5"/>
    </row>
    <row r="11" spans="1:17" x14ac:dyDescent="0.35"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5"/>
    </row>
    <row r="12" spans="1:17" x14ac:dyDescent="0.35">
      <c r="B12" s="33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5"/>
    </row>
    <row r="13" spans="1:17" x14ac:dyDescent="0.35">
      <c r="B13" s="33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5"/>
    </row>
    <row r="14" spans="1:17" x14ac:dyDescent="0.35">
      <c r="B14" s="33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5"/>
    </row>
    <row r="15" spans="1:17" x14ac:dyDescent="0.35">
      <c r="B15" s="33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5"/>
    </row>
    <row r="16" spans="1:17" x14ac:dyDescent="0.35">
      <c r="B16" s="33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5"/>
    </row>
    <row r="17" spans="2:17" x14ac:dyDescent="0.35">
      <c r="B17" s="33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5"/>
    </row>
    <row r="18" spans="2:17" x14ac:dyDescent="0.35">
      <c r="B18" s="33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5"/>
    </row>
    <row r="19" spans="2:17" x14ac:dyDescent="0.35">
      <c r="B19" s="33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5"/>
    </row>
    <row r="20" spans="2:17" x14ac:dyDescent="0.35">
      <c r="B20" s="33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5"/>
    </row>
    <row r="21" spans="2:17" x14ac:dyDescent="0.35"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5"/>
    </row>
    <row r="22" spans="2:17" x14ac:dyDescent="0.35">
      <c r="B22" s="33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5"/>
    </row>
    <row r="23" spans="2:17" x14ac:dyDescent="0.35"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5"/>
    </row>
    <row r="24" spans="2:17" ht="15" customHeight="1" x14ac:dyDescent="0.35">
      <c r="B24" s="33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5"/>
    </row>
    <row r="25" spans="2:17" x14ac:dyDescent="0.35"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5"/>
    </row>
    <row r="26" spans="2:17" x14ac:dyDescent="0.35">
      <c r="B26" s="33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5"/>
    </row>
    <row r="27" spans="2:17" x14ac:dyDescent="0.35"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5"/>
    </row>
    <row r="28" spans="2:17" x14ac:dyDescent="0.35">
      <c r="B28" s="33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5"/>
    </row>
    <row r="29" spans="2:17" x14ac:dyDescent="0.35"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5"/>
    </row>
    <row r="30" spans="2:17" x14ac:dyDescent="0.35">
      <c r="B30" s="33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5"/>
    </row>
    <row r="31" spans="2:17" ht="15" thickBot="1" x14ac:dyDescent="0.4"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8"/>
    </row>
    <row r="32" spans="2:17" ht="15" thickBot="1" x14ac:dyDescent="0.4"/>
    <row r="33" spans="2:10" x14ac:dyDescent="0.35">
      <c r="B33" s="18" t="s">
        <v>201</v>
      </c>
      <c r="C33" s="19" t="s">
        <v>202</v>
      </c>
      <c r="D33" s="20"/>
      <c r="E33" s="20"/>
      <c r="F33" s="20"/>
      <c r="G33" s="20"/>
      <c r="H33" s="20"/>
      <c r="I33" s="20"/>
      <c r="J33" s="21"/>
    </row>
    <row r="34" spans="2:10" x14ac:dyDescent="0.35">
      <c r="B34" s="22" t="s">
        <v>205</v>
      </c>
      <c r="C34" s="6" t="s">
        <v>203</v>
      </c>
      <c r="D34" s="23"/>
      <c r="E34" s="23"/>
      <c r="F34" s="23"/>
      <c r="G34" s="23"/>
      <c r="H34" s="23"/>
      <c r="I34" s="23"/>
      <c r="J34" s="24"/>
    </row>
    <row r="35" spans="2:10" x14ac:dyDescent="0.35">
      <c r="B35" s="22" t="s">
        <v>206</v>
      </c>
      <c r="C35" s="6" t="s">
        <v>95</v>
      </c>
      <c r="D35" s="23"/>
      <c r="E35" s="23"/>
      <c r="F35" s="23"/>
      <c r="G35" s="23"/>
      <c r="H35" s="23"/>
      <c r="I35" s="23"/>
      <c r="J35" s="24"/>
    </row>
    <row r="36" spans="2:10" ht="15" thickBot="1" x14ac:dyDescent="0.4">
      <c r="B36" s="25" t="s">
        <v>207</v>
      </c>
      <c r="C36" s="26" t="s">
        <v>191</v>
      </c>
      <c r="D36" s="27"/>
      <c r="E36" s="27"/>
      <c r="F36" s="27"/>
      <c r="G36" s="27"/>
      <c r="H36" s="27"/>
      <c r="I36" s="27"/>
      <c r="J36" s="28"/>
    </row>
  </sheetData>
  <mergeCells count="1">
    <mergeCell ref="B2:Q31"/>
  </mergeCells>
  <hyperlinks>
    <hyperlink ref="B34" location="Te_Market_GLO!A1" display="Te_Market_GLO" xr:uid="{60E03470-A936-4758-B252-8E527C45825D}"/>
    <hyperlink ref="B35" location="PR1_Te_CN_CuSlime!A1" display="PR1_Te_CN_CuSlime" xr:uid="{833603AC-A60E-47FF-B44D-F357D860C410}"/>
    <hyperlink ref="B36" location="PR2_Te_SE_Pyro!A1" display="PR2_Te_SE_Pyro" xr:uid="{F59FD2BA-040D-4959-ABA0-A83E1762F9B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D2E63-FCE2-436F-B368-2C3FCC3C4396}">
  <sheetPr>
    <tabColor theme="8" tint="0.39997558519241921"/>
  </sheetPr>
  <dimension ref="A1:N28"/>
  <sheetViews>
    <sheetView workbookViewId="0">
      <selection activeCell="B17" sqref="B17"/>
    </sheetView>
  </sheetViews>
  <sheetFormatPr baseColWidth="10" defaultRowHeight="14.5" x14ac:dyDescent="0.35"/>
  <cols>
    <col min="1" max="1" width="89.1796875" bestFit="1" customWidth="1"/>
    <col min="2" max="2" width="38.1796875" bestFit="1" customWidth="1"/>
    <col min="3" max="3" width="8.1796875" bestFit="1" customWidth="1"/>
    <col min="4" max="4" width="12" bestFit="1" customWidth="1"/>
    <col min="5" max="5" width="8.7265625" bestFit="1" customWidth="1"/>
    <col min="6" max="6" width="10.81640625" customWidth="1"/>
    <col min="7" max="7" width="13.26953125" bestFit="1" customWidth="1"/>
    <col min="8" max="8" width="10.1796875" bestFit="1" customWidth="1"/>
    <col min="9" max="9" width="15.54296875" bestFit="1" customWidth="1"/>
    <col min="10" max="10" width="9" bestFit="1" customWidth="1"/>
    <col min="11" max="11" width="3.54296875" bestFit="1" customWidth="1"/>
    <col min="12" max="12" width="5.453125" bestFit="1" customWidth="1"/>
    <col min="13" max="13" width="9.54296875" bestFit="1" customWidth="1"/>
    <col min="14" max="14" width="9.81640625" bestFit="1" customWidth="1"/>
  </cols>
  <sheetData>
    <row r="1" spans="1:14" x14ac:dyDescent="0.35">
      <c r="A1" t="s">
        <v>11</v>
      </c>
      <c r="B1" s="1" t="s">
        <v>108</v>
      </c>
    </row>
    <row r="2" spans="1:14" s="2" customFormat="1" x14ac:dyDescent="0.35"/>
    <row r="3" spans="1:14" x14ac:dyDescent="0.35">
      <c r="A3" s="3" t="s">
        <v>0</v>
      </c>
      <c r="B3" s="3" t="s">
        <v>109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35">
      <c r="A4" s="5" t="s">
        <v>1</v>
      </c>
      <c r="B4" s="4" t="s">
        <v>93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35">
      <c r="A5" s="5" t="s">
        <v>2</v>
      </c>
      <c r="B5" s="4" t="s">
        <v>23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35">
      <c r="A6" s="5" t="s">
        <v>4</v>
      </c>
      <c r="B6" s="4">
        <v>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35">
      <c r="A7" s="5" t="s">
        <v>5</v>
      </c>
      <c r="B7" s="4" t="s">
        <v>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35">
      <c r="A8" s="5" t="s">
        <v>7</v>
      </c>
      <c r="B8" s="4" t="s">
        <v>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35">
      <c r="A9" s="5" t="s">
        <v>9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35">
      <c r="A10" s="3" t="s">
        <v>10</v>
      </c>
      <c r="B10" s="3" t="s">
        <v>1</v>
      </c>
      <c r="C10" s="3" t="s">
        <v>2</v>
      </c>
      <c r="D10" s="3" t="s">
        <v>4</v>
      </c>
      <c r="E10" s="3" t="s">
        <v>5</v>
      </c>
      <c r="F10" s="3" t="s">
        <v>11</v>
      </c>
      <c r="G10" s="3" t="s">
        <v>12</v>
      </c>
      <c r="H10" s="3" t="s">
        <v>13</v>
      </c>
      <c r="I10" s="3" t="s">
        <v>14</v>
      </c>
      <c r="J10" s="3" t="s">
        <v>15</v>
      </c>
      <c r="K10" s="3" t="s">
        <v>16</v>
      </c>
      <c r="L10" s="3" t="s">
        <v>17</v>
      </c>
      <c r="M10" s="3" t="s">
        <v>18</v>
      </c>
      <c r="N10" s="3" t="s">
        <v>19</v>
      </c>
    </row>
    <row r="11" spans="1:14" x14ac:dyDescent="0.35">
      <c r="A11" t="str">
        <f>B3</f>
        <v>Tellurium (Te) global market</v>
      </c>
      <c r="B11" t="str">
        <f>B4</f>
        <v>CuTe</v>
      </c>
      <c r="C11" t="str">
        <f>B5</f>
        <v>GLO</v>
      </c>
      <c r="D11" s="4">
        <v>1</v>
      </c>
      <c r="E11" s="4" t="s">
        <v>6</v>
      </c>
      <c r="F11" s="1" t="str">
        <f>B1</f>
        <v>Tellurium</v>
      </c>
      <c r="G11" s="4" t="s">
        <v>20</v>
      </c>
    </row>
    <row r="12" spans="1:14" s="4" customFormat="1" x14ac:dyDescent="0.35">
      <c r="A12" s="4" t="str">
        <f>PR1_Te_CN_CuSlime!A31</f>
        <v>Te production in China through Cu anode slime processing</v>
      </c>
      <c r="B12" s="4" t="str">
        <f>PR1_Te_CN_CuSlime!B31</f>
        <v>CuTe</v>
      </c>
      <c r="C12" s="4" t="str">
        <f>PR1_Te_CN_CuSlime!C31</f>
        <v>CN</v>
      </c>
      <c r="D12" s="4">
        <v>0.92819614711033271</v>
      </c>
      <c r="E12" s="4" t="str">
        <f>PR1_Te_CN_CuSlime!E31</f>
        <v>kilogram</v>
      </c>
      <c r="F12" s="1" t="str">
        <f>PR1_Te_CN_CuSlime!F31</f>
        <v>Tellurium</v>
      </c>
      <c r="G12" s="6" t="s">
        <v>22</v>
      </c>
    </row>
    <row r="13" spans="1:14" s="4" customFormat="1" x14ac:dyDescent="0.35">
      <c r="A13" s="4" t="str">
        <f>PR2_Te_SE_Pyro!A142</f>
        <v>Te recovery from Cu production in Sweden/Rönnskärsverken</v>
      </c>
      <c r="B13" s="4" t="str">
        <f>PR2_Te_SE_Pyro!B142</f>
        <v>CuTe</v>
      </c>
      <c r="C13" s="4" t="str">
        <f>PR2_Te_SE_Pyro!C142</f>
        <v>SE</v>
      </c>
      <c r="D13" s="4">
        <v>7.1803852889667258E-2</v>
      </c>
      <c r="E13" s="4" t="str">
        <f>PR2_Te_SE_Pyro!E142</f>
        <v>kilogram</v>
      </c>
      <c r="F13" s="1" t="str">
        <f>PR2_Te_SE_Pyro!F142</f>
        <v>Tellurium</v>
      </c>
      <c r="G13" s="6" t="s">
        <v>22</v>
      </c>
    </row>
    <row r="14" spans="1:14" s="2" customFormat="1" x14ac:dyDescent="0.35"/>
    <row r="15" spans="1:14" x14ac:dyDescent="0.35">
      <c r="A15" s="3" t="s">
        <v>0</v>
      </c>
      <c r="B15" s="3" t="s">
        <v>197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x14ac:dyDescent="0.35">
      <c r="A16" s="5" t="s">
        <v>1</v>
      </c>
      <c r="B16" s="4" t="s">
        <v>198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x14ac:dyDescent="0.35">
      <c r="A17" s="5" t="s">
        <v>2</v>
      </c>
      <c r="B17" s="4" t="s">
        <v>23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x14ac:dyDescent="0.35">
      <c r="A18" s="5" t="s">
        <v>4</v>
      </c>
      <c r="B18" s="4">
        <v>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x14ac:dyDescent="0.35">
      <c r="A19" s="5" t="s">
        <v>5</v>
      </c>
      <c r="B19" s="4" t="s">
        <v>6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x14ac:dyDescent="0.35">
      <c r="A20" s="5" t="s">
        <v>7</v>
      </c>
      <c r="B20" s="4" t="s">
        <v>199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x14ac:dyDescent="0.35">
      <c r="A21" s="5" t="s">
        <v>9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x14ac:dyDescent="0.35">
      <c r="A22" s="3" t="s">
        <v>10</v>
      </c>
      <c r="B22" s="3" t="s">
        <v>1</v>
      </c>
      <c r="C22" s="3" t="s">
        <v>2</v>
      </c>
      <c r="D22" s="3" t="s">
        <v>4</v>
      </c>
      <c r="E22" s="3" t="s">
        <v>5</v>
      </c>
      <c r="F22" s="3" t="s">
        <v>11</v>
      </c>
      <c r="G22" s="3" t="s">
        <v>12</v>
      </c>
      <c r="H22" s="3" t="s">
        <v>13</v>
      </c>
      <c r="I22" s="3" t="s">
        <v>14</v>
      </c>
      <c r="J22" s="3" t="s">
        <v>15</v>
      </c>
      <c r="K22" s="3" t="s">
        <v>16</v>
      </c>
      <c r="L22" s="3" t="s">
        <v>17</v>
      </c>
      <c r="M22" s="3" t="s">
        <v>18</v>
      </c>
      <c r="N22" s="3" t="s">
        <v>19</v>
      </c>
    </row>
    <row r="23" spans="1:14" x14ac:dyDescent="0.35">
      <c r="A23" t="str">
        <f>B15</f>
        <v>Tellurium (Te) global market (Te content)</v>
      </c>
      <c r="B23" t="str">
        <f>B16</f>
        <v>Te content</v>
      </c>
      <c r="C23" t="str">
        <f>B17</f>
        <v>GLO</v>
      </c>
      <c r="D23" s="4">
        <v>1</v>
      </c>
      <c r="E23" s="4" t="s">
        <v>6</v>
      </c>
      <c r="F23" s="1" t="str">
        <f>F11</f>
        <v>Tellurium</v>
      </c>
      <c r="G23" s="4" t="s">
        <v>20</v>
      </c>
    </row>
    <row r="24" spans="1:14" s="4" customFormat="1" x14ac:dyDescent="0.35">
      <c r="A24" s="4" t="str">
        <f>PR1_Te_CN_CuSlime!A43</f>
        <v>Te production in China through Cu anode slime processing (Te content)</v>
      </c>
      <c r="B24" s="4" t="str">
        <f>PR1_Te_CN_CuSlime!B43</f>
        <v>CuTe (Te content)</v>
      </c>
      <c r="C24" s="4" t="str">
        <f>PR1_Te_CN_CuSlime!C43</f>
        <v>CN</v>
      </c>
      <c r="D24" s="4">
        <v>0.92819614711033271</v>
      </c>
      <c r="E24" s="4" t="str">
        <f>PR1_Te_CN_CuSlime!E43</f>
        <v>kilogram</v>
      </c>
      <c r="F24" s="1" t="str">
        <f>PR1_Te_CN_CuSlime!F43</f>
        <v>Tellurium</v>
      </c>
      <c r="G24" s="6" t="s">
        <v>22</v>
      </c>
    </row>
    <row r="25" spans="1:14" s="4" customFormat="1" x14ac:dyDescent="0.35">
      <c r="A25" s="4" t="str">
        <f>PR2_Te_SE_Pyro!A154</f>
        <v>Te recovery from Cu production in Sweden/Rönnskärsverken (Te content)</v>
      </c>
      <c r="B25" s="4" t="str">
        <f>PR2_Te_SE_Pyro!B154</f>
        <v>CuTe (Te content)</v>
      </c>
      <c r="C25" s="4" t="str">
        <f>PR2_Te_SE_Pyro!C154</f>
        <v>SE</v>
      </c>
      <c r="D25" s="4">
        <v>7.1803852889667258E-2</v>
      </c>
      <c r="E25" s="4" t="str">
        <f>PR2_Te_SE_Pyro!E154</f>
        <v>kilogram</v>
      </c>
      <c r="F25" s="1" t="str">
        <f>PR2_Te_SE_Pyro!F154</f>
        <v>Tellurium</v>
      </c>
      <c r="G25" s="6" t="s">
        <v>22</v>
      </c>
    </row>
    <row r="26" spans="1:14" s="4" customFormat="1" x14ac:dyDescent="0.35">
      <c r="F26" s="1"/>
    </row>
    <row r="27" spans="1:14" s="4" customFormat="1" x14ac:dyDescent="0.35">
      <c r="F27" s="1"/>
    </row>
    <row r="28" spans="1:14" s="4" customFormat="1" x14ac:dyDescent="0.35">
      <c r="F2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818A1-6CF6-4A6F-9F2B-FAFC00733AD0}">
  <sheetPr>
    <tabColor theme="8" tint="0.39997558519241921"/>
  </sheetPr>
  <dimension ref="A1:N45"/>
  <sheetViews>
    <sheetView workbookViewId="0">
      <selection activeCell="B8" sqref="B8"/>
    </sheetView>
  </sheetViews>
  <sheetFormatPr baseColWidth="10" defaultColWidth="9.1796875" defaultRowHeight="14.5" x14ac:dyDescent="0.35"/>
  <cols>
    <col min="1" max="1" width="65.81640625" style="6" customWidth="1"/>
    <col min="2" max="2" width="64" style="6" customWidth="1"/>
    <col min="3" max="3" width="8.1796875" style="6" bestFit="1" customWidth="1"/>
    <col min="4" max="4" width="12.7265625" style="6" bestFit="1" customWidth="1"/>
    <col min="5" max="5" width="12.81640625" style="6" bestFit="1" customWidth="1"/>
    <col min="6" max="6" width="19.7265625" style="6" bestFit="1" customWidth="1"/>
    <col min="7" max="7" width="13.26953125" style="6" bestFit="1" customWidth="1"/>
    <col min="8" max="8" width="25.26953125" style="6" bestFit="1" customWidth="1"/>
    <col min="9" max="9" width="15.54296875" style="6" bestFit="1" customWidth="1"/>
    <col min="10" max="10" width="9.7265625" style="6" bestFit="1" customWidth="1"/>
    <col min="11" max="11" width="3.54296875" style="6" bestFit="1" customWidth="1"/>
    <col min="12" max="12" width="5.453125" style="6" bestFit="1" customWidth="1"/>
    <col min="13" max="13" width="9.54296875" style="6" bestFit="1" customWidth="1"/>
    <col min="14" max="14" width="9.81640625" style="6" bestFit="1" customWidth="1"/>
    <col min="15" max="16384" width="9.1796875" style="6"/>
  </cols>
  <sheetData>
    <row r="1" spans="1:14" x14ac:dyDescent="0.35">
      <c r="A1" s="7" t="s">
        <v>0</v>
      </c>
      <c r="B1" s="15" t="s">
        <v>193</v>
      </c>
    </row>
    <row r="2" spans="1:14" x14ac:dyDescent="0.35">
      <c r="A2" s="8" t="s">
        <v>1</v>
      </c>
      <c r="B2" s="6" t="s">
        <v>93</v>
      </c>
    </row>
    <row r="3" spans="1:14" x14ac:dyDescent="0.35">
      <c r="A3" s="8" t="s">
        <v>2</v>
      </c>
      <c r="B3" s="6" t="s">
        <v>3</v>
      </c>
    </row>
    <row r="4" spans="1:14" x14ac:dyDescent="0.35">
      <c r="A4" s="8" t="s">
        <v>4</v>
      </c>
      <c r="B4" s="6">
        <v>1</v>
      </c>
    </row>
    <row r="5" spans="1:14" x14ac:dyDescent="0.35">
      <c r="A5" s="8" t="s">
        <v>5</v>
      </c>
      <c r="B5" s="6" t="s">
        <v>6</v>
      </c>
    </row>
    <row r="6" spans="1:14" ht="43.5" x14ac:dyDescent="0.35">
      <c r="A6" s="8" t="s">
        <v>7</v>
      </c>
      <c r="B6" s="13" t="s">
        <v>94</v>
      </c>
    </row>
    <row r="7" spans="1:14" x14ac:dyDescent="0.35">
      <c r="A7" s="8" t="s">
        <v>9</v>
      </c>
    </row>
    <row r="8" spans="1:14" x14ac:dyDescent="0.35">
      <c r="A8" s="7" t="s">
        <v>10</v>
      </c>
      <c r="B8" s="7" t="s">
        <v>1</v>
      </c>
      <c r="C8" s="7" t="s">
        <v>2</v>
      </c>
      <c r="D8" s="7" t="s">
        <v>4</v>
      </c>
      <c r="E8" s="7" t="s">
        <v>5</v>
      </c>
      <c r="F8" s="7" t="s">
        <v>11</v>
      </c>
      <c r="G8" s="7" t="s">
        <v>12</v>
      </c>
      <c r="H8" s="7" t="s">
        <v>13</v>
      </c>
      <c r="I8" s="7" t="s">
        <v>14</v>
      </c>
      <c r="J8" s="7" t="s">
        <v>15</v>
      </c>
      <c r="K8" s="7" t="s">
        <v>16</v>
      </c>
      <c r="L8" s="7" t="s">
        <v>17</v>
      </c>
      <c r="M8" s="7" t="s">
        <v>18</v>
      </c>
      <c r="N8" s="7" t="s">
        <v>19</v>
      </c>
    </row>
    <row r="9" spans="1:14" x14ac:dyDescent="0.35">
      <c r="A9" s="6" t="str">
        <f>B1</f>
        <v>[P+R] Copper telluride (CuTe) production (from anode slime)</v>
      </c>
      <c r="B9" s="6" t="str">
        <f>B2</f>
        <v>CuTe</v>
      </c>
      <c r="C9" s="6" t="str">
        <f>B3</f>
        <v>CN</v>
      </c>
      <c r="D9" s="6">
        <v>1</v>
      </c>
      <c r="E9" s="6" t="s">
        <v>6</v>
      </c>
      <c r="F9" s="9" t="str">
        <f>Te_Market_GLO!B1</f>
        <v>Tellurium</v>
      </c>
      <c r="G9" s="6" t="s">
        <v>20</v>
      </c>
    </row>
    <row r="10" spans="1:14" x14ac:dyDescent="0.35">
      <c r="A10" s="6" t="s">
        <v>40</v>
      </c>
      <c r="B10" s="6" t="s">
        <v>41</v>
      </c>
      <c r="C10" s="6" t="s">
        <v>24</v>
      </c>
      <c r="D10" s="14">
        <v>2.323231081274579E-2</v>
      </c>
      <c r="E10" s="6" t="s">
        <v>6</v>
      </c>
      <c r="F10" s="6" t="s">
        <v>21</v>
      </c>
      <c r="G10" s="6" t="s">
        <v>22</v>
      </c>
      <c r="J10" s="6" t="s">
        <v>82</v>
      </c>
    </row>
    <row r="11" spans="1:14" x14ac:dyDescent="0.35">
      <c r="A11" s="6" t="s">
        <v>83</v>
      </c>
      <c r="B11" s="6" t="s">
        <v>84</v>
      </c>
      <c r="C11" s="6" t="s">
        <v>23</v>
      </c>
      <c r="D11" s="14">
        <v>2.8720812307124914E-2</v>
      </c>
      <c r="E11" s="6" t="s">
        <v>6</v>
      </c>
      <c r="F11" s="6" t="s">
        <v>21</v>
      </c>
      <c r="G11" s="6" t="s">
        <v>22</v>
      </c>
      <c r="J11" s="6" t="s">
        <v>82</v>
      </c>
    </row>
    <row r="12" spans="1:14" x14ac:dyDescent="0.35">
      <c r="A12" s="6" t="s">
        <v>76</v>
      </c>
      <c r="B12" s="6" t="s">
        <v>77</v>
      </c>
      <c r="C12" s="6" t="s">
        <v>23</v>
      </c>
      <c r="D12" s="14">
        <v>3.283132464426141E-2</v>
      </c>
      <c r="E12" s="6" t="s">
        <v>6</v>
      </c>
      <c r="F12" s="6" t="s">
        <v>21</v>
      </c>
      <c r="G12" s="6" t="s">
        <v>22</v>
      </c>
      <c r="J12" s="6" t="s">
        <v>82</v>
      </c>
    </row>
    <row r="13" spans="1:14" x14ac:dyDescent="0.35">
      <c r="A13" s="6" t="s">
        <v>64</v>
      </c>
      <c r="B13" s="6" t="s">
        <v>65</v>
      </c>
      <c r="C13" s="6" t="s">
        <v>24</v>
      </c>
      <c r="D13" s="14">
        <v>0.42022805512252076</v>
      </c>
      <c r="E13" s="6" t="s">
        <v>6</v>
      </c>
      <c r="F13" s="6" t="s">
        <v>21</v>
      </c>
      <c r="G13" s="6" t="s">
        <v>22</v>
      </c>
      <c r="J13" s="6" t="s">
        <v>82</v>
      </c>
    </row>
    <row r="14" spans="1:14" x14ac:dyDescent="0.35">
      <c r="A14" s="6" t="s">
        <v>35</v>
      </c>
      <c r="B14" s="6" t="s">
        <v>36</v>
      </c>
      <c r="C14" s="6" t="s">
        <v>24</v>
      </c>
      <c r="D14" s="14">
        <v>1.8951748749821907E-2</v>
      </c>
      <c r="E14" s="6" t="s">
        <v>6</v>
      </c>
      <c r="F14" s="6" t="s">
        <v>21</v>
      </c>
      <c r="G14" s="6" t="s">
        <v>22</v>
      </c>
      <c r="J14" s="6" t="s">
        <v>82</v>
      </c>
    </row>
    <row r="15" spans="1:14" x14ac:dyDescent="0.35">
      <c r="A15" s="6" t="s">
        <v>85</v>
      </c>
      <c r="B15" s="6" t="s">
        <v>86</v>
      </c>
      <c r="C15" s="6" t="s">
        <v>24</v>
      </c>
      <c r="D15" s="14">
        <v>4.9900798843126376E-3</v>
      </c>
      <c r="E15" s="6" t="s">
        <v>6</v>
      </c>
      <c r="F15" s="6" t="s">
        <v>21</v>
      </c>
      <c r="G15" s="6" t="s">
        <v>22</v>
      </c>
      <c r="J15" s="6" t="s">
        <v>82</v>
      </c>
    </row>
    <row r="16" spans="1:14" x14ac:dyDescent="0.35">
      <c r="A16" s="6" t="s">
        <v>87</v>
      </c>
      <c r="B16" s="6" t="s">
        <v>88</v>
      </c>
      <c r="C16" s="6" t="s">
        <v>24</v>
      </c>
      <c r="D16" s="14">
        <v>9.9684322013295903E-4</v>
      </c>
      <c r="E16" s="6" t="s">
        <v>6</v>
      </c>
      <c r="F16" s="6" t="s">
        <v>21</v>
      </c>
      <c r="G16" s="6" t="s">
        <v>22</v>
      </c>
      <c r="J16" s="6" t="s">
        <v>82</v>
      </c>
    </row>
    <row r="17" spans="1:14" x14ac:dyDescent="0.35">
      <c r="A17" s="6" t="s">
        <v>89</v>
      </c>
      <c r="B17" s="6" t="s">
        <v>90</v>
      </c>
      <c r="C17" s="6" t="s">
        <v>23</v>
      </c>
      <c r="D17" s="14">
        <v>3.5182701887045625E-5</v>
      </c>
      <c r="E17" s="6" t="s">
        <v>6</v>
      </c>
      <c r="F17" s="6" t="s">
        <v>21</v>
      </c>
      <c r="G17" s="6" t="s">
        <v>22</v>
      </c>
      <c r="J17" s="6" t="s">
        <v>82</v>
      </c>
    </row>
    <row r="18" spans="1:14" x14ac:dyDescent="0.35">
      <c r="A18" s="6" t="s">
        <v>27</v>
      </c>
      <c r="B18" s="6" t="s">
        <v>28</v>
      </c>
      <c r="C18" s="6" t="s">
        <v>3</v>
      </c>
      <c r="D18" s="14">
        <v>1.8446290599378026</v>
      </c>
      <c r="E18" s="6" t="s">
        <v>29</v>
      </c>
      <c r="F18" s="6" t="s">
        <v>21</v>
      </c>
      <c r="G18" s="6" t="s">
        <v>22</v>
      </c>
      <c r="J18" s="6" t="s">
        <v>82</v>
      </c>
    </row>
    <row r="19" spans="1:14" x14ac:dyDescent="0.35">
      <c r="A19" s="6" t="s">
        <v>91</v>
      </c>
      <c r="B19" s="6" t="s">
        <v>92</v>
      </c>
      <c r="C19" s="6" t="s">
        <v>23</v>
      </c>
      <c r="D19" s="14">
        <v>-0.28166684752403948</v>
      </c>
      <c r="E19" s="6" t="s">
        <v>6</v>
      </c>
      <c r="F19" s="6" t="s">
        <v>21</v>
      </c>
      <c r="G19" s="6" t="s">
        <v>22</v>
      </c>
      <c r="J19" s="6" t="s">
        <v>82</v>
      </c>
    </row>
    <row r="20" spans="1:14" x14ac:dyDescent="0.35">
      <c r="A20" s="6" t="s">
        <v>46</v>
      </c>
      <c r="D20" s="14">
        <v>6.7187819415326247E-4</v>
      </c>
      <c r="E20" s="6" t="s">
        <v>39</v>
      </c>
      <c r="F20" s="6" t="s">
        <v>42</v>
      </c>
      <c r="G20" s="6" t="s">
        <v>43</v>
      </c>
      <c r="H20" s="6" t="s">
        <v>44</v>
      </c>
      <c r="J20" s="6" t="s">
        <v>82</v>
      </c>
    </row>
    <row r="21" spans="1:14" x14ac:dyDescent="0.35">
      <c r="A21" s="6" t="s">
        <v>51</v>
      </c>
      <c r="D21" s="14">
        <v>0.65673204099088933</v>
      </c>
      <c r="E21" s="6" t="s">
        <v>6</v>
      </c>
      <c r="F21" s="6" t="s">
        <v>42</v>
      </c>
      <c r="G21" s="6" t="s">
        <v>43</v>
      </c>
      <c r="H21" s="6" t="s">
        <v>48</v>
      </c>
      <c r="J21" s="6" t="s">
        <v>82</v>
      </c>
    </row>
    <row r="22" spans="1:14" s="10" customFormat="1" x14ac:dyDescent="0.35"/>
    <row r="23" spans="1:14" x14ac:dyDescent="0.35">
      <c r="A23" s="7" t="s">
        <v>0</v>
      </c>
      <c r="B23" s="7" t="s">
        <v>95</v>
      </c>
    </row>
    <row r="24" spans="1:14" x14ac:dyDescent="0.35">
      <c r="A24" s="8" t="s">
        <v>1</v>
      </c>
      <c r="B24" s="6" t="s">
        <v>93</v>
      </c>
    </row>
    <row r="25" spans="1:14" x14ac:dyDescent="0.35">
      <c r="A25" s="8" t="s">
        <v>2</v>
      </c>
      <c r="B25" s="6" t="s">
        <v>3</v>
      </c>
    </row>
    <row r="26" spans="1:14" x14ac:dyDescent="0.35">
      <c r="A26" s="8" t="s">
        <v>4</v>
      </c>
      <c r="B26" s="6">
        <v>1</v>
      </c>
    </row>
    <row r="27" spans="1:14" x14ac:dyDescent="0.35">
      <c r="A27" s="8" t="s">
        <v>5</v>
      </c>
      <c r="B27" s="6" t="s">
        <v>6</v>
      </c>
    </row>
    <row r="28" spans="1:14" ht="43.5" x14ac:dyDescent="0.35">
      <c r="A28" s="8" t="s">
        <v>7</v>
      </c>
      <c r="B28" s="13" t="s">
        <v>209</v>
      </c>
    </row>
    <row r="29" spans="1:14" x14ac:dyDescent="0.35">
      <c r="A29" s="8" t="s">
        <v>9</v>
      </c>
    </row>
    <row r="30" spans="1:14" x14ac:dyDescent="0.35">
      <c r="A30" s="7" t="s">
        <v>10</v>
      </c>
      <c r="B30" s="7" t="s">
        <v>1</v>
      </c>
      <c r="C30" s="7" t="s">
        <v>2</v>
      </c>
      <c r="D30" s="7" t="s">
        <v>4</v>
      </c>
      <c r="E30" s="7" t="s">
        <v>5</v>
      </c>
      <c r="F30" s="7" t="s">
        <v>11</v>
      </c>
      <c r="G30" s="7" t="s">
        <v>12</v>
      </c>
      <c r="H30" s="7" t="s">
        <v>13</v>
      </c>
      <c r="I30" s="7" t="s">
        <v>14</v>
      </c>
      <c r="J30" s="7" t="s">
        <v>15</v>
      </c>
      <c r="K30" s="7" t="s">
        <v>16</v>
      </c>
      <c r="L30" s="7" t="s">
        <v>17</v>
      </c>
      <c r="M30" s="7" t="s">
        <v>18</v>
      </c>
      <c r="N30" s="7" t="s">
        <v>19</v>
      </c>
    </row>
    <row r="31" spans="1:14" x14ac:dyDescent="0.35">
      <c r="A31" s="6" t="str">
        <f>B23</f>
        <v>Te production in China through Cu anode slime processing</v>
      </c>
      <c r="B31" s="6" t="str">
        <f>B24</f>
        <v>CuTe</v>
      </c>
      <c r="C31" s="6" t="str">
        <f>B25</f>
        <v>CN</v>
      </c>
      <c r="D31" s="6">
        <v>1</v>
      </c>
      <c r="E31" s="6" t="s">
        <v>6</v>
      </c>
      <c r="F31" s="9" t="str">
        <f>F9</f>
        <v>Tellurium</v>
      </c>
      <c r="G31" s="6" t="s">
        <v>20</v>
      </c>
    </row>
    <row r="32" spans="1:14" x14ac:dyDescent="0.35">
      <c r="A32" s="6" t="str">
        <f>A9</f>
        <v>[P+R] Copper telluride (CuTe) production (from anode slime)</v>
      </c>
      <c r="B32" s="6" t="str">
        <f>B9</f>
        <v>CuTe</v>
      </c>
      <c r="C32" s="6" t="str">
        <f>C9</f>
        <v>CN</v>
      </c>
      <c r="D32" s="6">
        <v>1</v>
      </c>
      <c r="E32" s="6" t="str">
        <f>E9</f>
        <v>kilogram</v>
      </c>
      <c r="F32" s="9" t="str">
        <f>F9</f>
        <v>Tellurium</v>
      </c>
      <c r="G32" s="6" t="s">
        <v>22</v>
      </c>
    </row>
    <row r="33" spans="1:14" x14ac:dyDescent="0.35">
      <c r="A33" s="29" t="s">
        <v>210</v>
      </c>
      <c r="B33" s="29" t="s">
        <v>211</v>
      </c>
      <c r="C33" s="29" t="s">
        <v>23</v>
      </c>
      <c r="D33" s="14">
        <v>0.58637836478409378</v>
      </c>
      <c r="E33" s="29" t="s">
        <v>6</v>
      </c>
      <c r="F33" s="29" t="s">
        <v>21</v>
      </c>
      <c r="G33" s="29" t="s">
        <v>22</v>
      </c>
    </row>
    <row r="34" spans="1:14" s="10" customFormat="1" x14ac:dyDescent="0.35"/>
    <row r="35" spans="1:14" x14ac:dyDescent="0.35">
      <c r="A35" s="7" t="s">
        <v>0</v>
      </c>
      <c r="B35" s="7" t="s">
        <v>110</v>
      </c>
    </row>
    <row r="36" spans="1:14" x14ac:dyDescent="0.35">
      <c r="A36" s="8" t="s">
        <v>1</v>
      </c>
      <c r="B36" s="6" t="s">
        <v>111</v>
      </c>
    </row>
    <row r="37" spans="1:14" x14ac:dyDescent="0.35">
      <c r="A37" s="8" t="s">
        <v>2</v>
      </c>
      <c r="B37" s="6" t="s">
        <v>3</v>
      </c>
    </row>
    <row r="38" spans="1:14" x14ac:dyDescent="0.35">
      <c r="A38" s="8" t="s">
        <v>4</v>
      </c>
      <c r="B38" s="6">
        <v>1</v>
      </c>
    </row>
    <row r="39" spans="1:14" x14ac:dyDescent="0.35">
      <c r="A39" s="8" t="s">
        <v>5</v>
      </c>
      <c r="B39" s="6" t="s">
        <v>6</v>
      </c>
    </row>
    <row r="40" spans="1:14" ht="58" x14ac:dyDescent="0.35">
      <c r="A40" s="8" t="s">
        <v>7</v>
      </c>
      <c r="B40" s="13" t="s">
        <v>212</v>
      </c>
    </row>
    <row r="41" spans="1:14" x14ac:dyDescent="0.35">
      <c r="A41" s="8" t="s">
        <v>9</v>
      </c>
    </row>
    <row r="42" spans="1:14" x14ac:dyDescent="0.35">
      <c r="A42" s="7" t="s">
        <v>10</v>
      </c>
      <c r="B42" s="7" t="s">
        <v>1</v>
      </c>
      <c r="C42" s="7" t="s">
        <v>2</v>
      </c>
      <c r="D42" s="7" t="s">
        <v>4</v>
      </c>
      <c r="E42" s="7" t="s">
        <v>5</v>
      </c>
      <c r="F42" s="7" t="s">
        <v>11</v>
      </c>
      <c r="G42" s="7" t="s">
        <v>12</v>
      </c>
      <c r="H42" s="7" t="s">
        <v>13</v>
      </c>
      <c r="I42" s="7" t="s">
        <v>14</v>
      </c>
      <c r="J42" s="7" t="s">
        <v>15</v>
      </c>
      <c r="K42" s="7" t="s">
        <v>16</v>
      </c>
      <c r="L42" s="7" t="s">
        <v>17</v>
      </c>
      <c r="M42" s="7" t="s">
        <v>18</v>
      </c>
      <c r="N42" s="7" t="s">
        <v>19</v>
      </c>
    </row>
    <row r="43" spans="1:14" x14ac:dyDescent="0.35">
      <c r="A43" s="6" t="str">
        <f>B35</f>
        <v>Te production in China through Cu anode slime processing (Te content)</v>
      </c>
      <c r="B43" s="6" t="str">
        <f>B36</f>
        <v>CuTe (Te content)</v>
      </c>
      <c r="C43" s="6" t="str">
        <f>B37</f>
        <v>CN</v>
      </c>
      <c r="D43" s="6">
        <v>1</v>
      </c>
      <c r="E43" s="6" t="s">
        <v>6</v>
      </c>
      <c r="F43" s="9" t="str">
        <f>F31</f>
        <v>Tellurium</v>
      </c>
      <c r="G43" s="6" t="s">
        <v>20</v>
      </c>
    </row>
    <row r="44" spans="1:14" x14ac:dyDescent="0.35">
      <c r="A44" s="6" t="str">
        <f>A32</f>
        <v>[P+R] Copper telluride (CuTe) production (from anode slime)</v>
      </c>
      <c r="B44" s="6" t="str">
        <f t="shared" ref="B44:C44" si="0">B32</f>
        <v>CuTe</v>
      </c>
      <c r="C44" s="6" t="str">
        <f t="shared" si="0"/>
        <v>CN</v>
      </c>
      <c r="D44" s="6">
        <v>1.4976489028213167</v>
      </c>
      <c r="E44" s="6" t="str">
        <f>E32</f>
        <v>kilogram</v>
      </c>
      <c r="F44" s="9" t="str">
        <f>F32</f>
        <v>Tellurium</v>
      </c>
      <c r="G44" s="6" t="s">
        <v>22</v>
      </c>
    </row>
    <row r="45" spans="1:14" x14ac:dyDescent="0.35">
      <c r="A45" s="29" t="s">
        <v>210</v>
      </c>
      <c r="B45" s="29" t="s">
        <v>211</v>
      </c>
      <c r="C45" s="29" t="s">
        <v>23</v>
      </c>
      <c r="D45" s="14">
        <v>0.87818891465705584</v>
      </c>
      <c r="E45" s="29" t="s">
        <v>6</v>
      </c>
      <c r="F45" s="29" t="s">
        <v>21</v>
      </c>
      <c r="G45" s="29" t="s">
        <v>22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D1100-6FAA-4379-BDD6-EE00210958C5}">
  <sheetPr>
    <tabColor theme="8" tint="0.39997558519241921"/>
  </sheetPr>
  <dimension ref="A1:N156"/>
  <sheetViews>
    <sheetView tabSelected="1" topLeftCell="A91" workbookViewId="0">
      <selection activeCell="D103" sqref="D103"/>
    </sheetView>
  </sheetViews>
  <sheetFormatPr baseColWidth="10" defaultColWidth="8.54296875" defaultRowHeight="14.5" x14ac:dyDescent="0.35"/>
  <cols>
    <col min="1" max="2" width="71.81640625" style="6" bestFit="1" customWidth="1"/>
    <col min="3" max="3" width="25.81640625" style="6" bestFit="1" customWidth="1"/>
    <col min="4" max="4" width="12.7265625" style="6" bestFit="1" customWidth="1"/>
    <col min="5" max="5" width="17.54296875" style="6" bestFit="1" customWidth="1"/>
    <col min="6" max="6" width="19.7265625" style="6" bestFit="1" customWidth="1"/>
    <col min="7" max="7" width="13.26953125" style="6" bestFit="1" customWidth="1"/>
    <col min="8" max="8" width="25.26953125" style="6" bestFit="1" customWidth="1"/>
    <col min="9" max="9" width="15.54296875" style="6" bestFit="1" customWidth="1"/>
    <col min="10" max="10" width="9.7265625" style="6" bestFit="1" customWidth="1"/>
    <col min="11" max="11" width="3.54296875" style="6" bestFit="1" customWidth="1"/>
    <col min="12" max="12" width="5.453125" style="6" bestFit="1" customWidth="1"/>
    <col min="13" max="13" width="9.54296875" style="6" bestFit="1" customWidth="1"/>
    <col min="14" max="14" width="9.81640625" style="6" bestFit="1" customWidth="1"/>
    <col min="15" max="16384" width="8.54296875" style="6"/>
  </cols>
  <sheetData>
    <row r="1" spans="1:14" x14ac:dyDescent="0.35">
      <c r="A1" s="15" t="s">
        <v>0</v>
      </c>
      <c r="B1" s="15" t="s">
        <v>112</v>
      </c>
    </row>
    <row r="2" spans="1:14" x14ac:dyDescent="0.35">
      <c r="A2" s="8" t="s">
        <v>1</v>
      </c>
      <c r="B2" s="6" t="s">
        <v>113</v>
      </c>
    </row>
    <row r="3" spans="1:14" x14ac:dyDescent="0.35">
      <c r="A3" s="8" t="s">
        <v>2</v>
      </c>
      <c r="B3" s="6" t="s">
        <v>96</v>
      </c>
    </row>
    <row r="4" spans="1:14" x14ac:dyDescent="0.35">
      <c r="A4" s="8" t="s">
        <v>4</v>
      </c>
      <c r="B4" s="6">
        <v>1</v>
      </c>
    </row>
    <row r="5" spans="1:14" x14ac:dyDescent="0.35">
      <c r="A5" s="8" t="s">
        <v>5</v>
      </c>
      <c r="B5" s="6" t="s">
        <v>6</v>
      </c>
    </row>
    <row r="6" spans="1:14" x14ac:dyDescent="0.35">
      <c r="A6" s="8" t="s">
        <v>7</v>
      </c>
      <c r="B6" s="17" t="s">
        <v>8</v>
      </c>
    </row>
    <row r="7" spans="1:14" x14ac:dyDescent="0.35">
      <c r="A7" s="8" t="s">
        <v>9</v>
      </c>
    </row>
    <row r="8" spans="1:14" x14ac:dyDescent="0.35">
      <c r="A8" s="15" t="s">
        <v>10</v>
      </c>
      <c r="B8" s="15" t="s">
        <v>1</v>
      </c>
      <c r="C8" s="15" t="s">
        <v>2</v>
      </c>
      <c r="D8" s="15" t="s">
        <v>4</v>
      </c>
      <c r="E8" s="15" t="s">
        <v>5</v>
      </c>
      <c r="F8" s="15" t="s">
        <v>11</v>
      </c>
      <c r="G8" s="15" t="s">
        <v>12</v>
      </c>
      <c r="H8" s="15" t="s">
        <v>13</v>
      </c>
      <c r="I8" s="15" t="s">
        <v>14</v>
      </c>
      <c r="J8" s="15" t="s">
        <v>15</v>
      </c>
      <c r="K8" s="15" t="s">
        <v>16</v>
      </c>
      <c r="L8" s="15" t="s">
        <v>17</v>
      </c>
      <c r="M8" s="15" t="s">
        <v>18</v>
      </c>
      <c r="N8" s="15" t="s">
        <v>19</v>
      </c>
    </row>
    <row r="9" spans="1:14" x14ac:dyDescent="0.35">
      <c r="A9" s="6" t="str">
        <f>B1</f>
        <v>[M+C] Copper (Cu) ore mining and concentration (Sweden)</v>
      </c>
      <c r="B9" s="6" t="str">
        <f>B2</f>
        <v>Cu concentrate</v>
      </c>
      <c r="C9" s="6" t="s">
        <v>96</v>
      </c>
      <c r="D9" s="6">
        <v>1</v>
      </c>
      <c r="E9" s="6" t="s">
        <v>6</v>
      </c>
      <c r="F9" s="9" t="str">
        <f>Te_Market_GLO!B1</f>
        <v>Tellurium</v>
      </c>
      <c r="G9" s="6" t="s">
        <v>20</v>
      </c>
    </row>
    <row r="10" spans="1:14" x14ac:dyDescent="0.35">
      <c r="A10" s="6" t="s">
        <v>32</v>
      </c>
      <c r="B10" s="6" t="s">
        <v>33</v>
      </c>
      <c r="C10" s="6" t="s">
        <v>23</v>
      </c>
      <c r="D10" s="6">
        <v>4.0289823311875042</v>
      </c>
      <c r="E10" s="6" t="s">
        <v>34</v>
      </c>
      <c r="F10" s="6" t="s">
        <v>21</v>
      </c>
      <c r="G10" s="6" t="s">
        <v>22</v>
      </c>
      <c r="J10" s="6" t="s">
        <v>114</v>
      </c>
    </row>
    <row r="11" spans="1:14" x14ac:dyDescent="0.35">
      <c r="A11" s="6" t="s">
        <v>115</v>
      </c>
      <c r="B11" s="6" t="s">
        <v>116</v>
      </c>
      <c r="C11" s="6" t="s">
        <v>96</v>
      </c>
      <c r="D11" s="6">
        <v>0.2417770559805896</v>
      </c>
      <c r="E11" s="6" t="s">
        <v>29</v>
      </c>
      <c r="F11" s="6" t="s">
        <v>21</v>
      </c>
      <c r="G11" s="6" t="s">
        <v>22</v>
      </c>
      <c r="J11" s="6" t="s">
        <v>114</v>
      </c>
    </row>
    <row r="12" spans="1:14" x14ac:dyDescent="0.35">
      <c r="A12" s="6" t="s">
        <v>117</v>
      </c>
      <c r="B12" s="6" t="s">
        <v>118</v>
      </c>
      <c r="C12" s="6" t="s">
        <v>24</v>
      </c>
      <c r="D12" s="6">
        <v>2.5828164439313569E-2</v>
      </c>
      <c r="E12" s="6" t="s">
        <v>34</v>
      </c>
      <c r="F12" s="6" t="s">
        <v>21</v>
      </c>
      <c r="G12" s="6" t="s">
        <v>22</v>
      </c>
      <c r="J12" s="6" t="s">
        <v>114</v>
      </c>
    </row>
    <row r="13" spans="1:14" x14ac:dyDescent="0.35">
      <c r="A13" s="6" t="s">
        <v>62</v>
      </c>
      <c r="B13" s="6" t="s">
        <v>63</v>
      </c>
      <c r="C13" s="6" t="s">
        <v>23</v>
      </c>
      <c r="D13" s="6">
        <v>8.2326295810749892E-2</v>
      </c>
      <c r="E13" s="6" t="s">
        <v>6</v>
      </c>
      <c r="F13" s="6" t="s">
        <v>21</v>
      </c>
      <c r="G13" s="6" t="s">
        <v>22</v>
      </c>
      <c r="J13" s="6" t="s">
        <v>114</v>
      </c>
    </row>
    <row r="14" spans="1:14" x14ac:dyDescent="0.35">
      <c r="A14" s="6" t="s">
        <v>66</v>
      </c>
      <c r="B14" s="6" t="s">
        <v>67</v>
      </c>
      <c r="C14" s="6" t="s">
        <v>106</v>
      </c>
      <c r="D14" s="6">
        <v>2.582490330743992E-2</v>
      </c>
      <c r="E14" s="6" t="s">
        <v>6</v>
      </c>
      <c r="F14" s="6" t="s">
        <v>21</v>
      </c>
      <c r="G14" s="6" t="s">
        <v>22</v>
      </c>
      <c r="J14" s="6" t="s">
        <v>114</v>
      </c>
    </row>
    <row r="15" spans="1:14" x14ac:dyDescent="0.35">
      <c r="A15" s="6" t="s">
        <v>119</v>
      </c>
      <c r="B15" s="6" t="s">
        <v>120</v>
      </c>
      <c r="C15" s="6" t="s">
        <v>23</v>
      </c>
      <c r="D15" s="6">
        <v>4.5916736781001924E-3</v>
      </c>
      <c r="E15" s="6" t="s">
        <v>6</v>
      </c>
      <c r="F15" s="6" t="s">
        <v>21</v>
      </c>
      <c r="G15" s="6" t="s">
        <v>22</v>
      </c>
      <c r="J15" s="6" t="s">
        <v>114</v>
      </c>
    </row>
    <row r="16" spans="1:14" x14ac:dyDescent="0.35">
      <c r="A16" s="6" t="s">
        <v>121</v>
      </c>
      <c r="B16" s="6" t="s">
        <v>122</v>
      </c>
      <c r="C16" s="6" t="s">
        <v>23</v>
      </c>
      <c r="D16" s="6">
        <v>1.9155888625824229E-4</v>
      </c>
      <c r="E16" s="6" t="s">
        <v>6</v>
      </c>
      <c r="F16" s="6" t="s">
        <v>21</v>
      </c>
      <c r="G16" s="6" t="s">
        <v>22</v>
      </c>
      <c r="J16" s="6" t="s">
        <v>114</v>
      </c>
    </row>
    <row r="17" spans="1:10" x14ac:dyDescent="0.35">
      <c r="A17" s="6" t="s">
        <v>115</v>
      </c>
      <c r="B17" s="6" t="s">
        <v>116</v>
      </c>
      <c r="C17" s="6" t="s">
        <v>96</v>
      </c>
      <c r="D17" s="6">
        <v>2.2461111002406691</v>
      </c>
      <c r="E17" s="6" t="s">
        <v>29</v>
      </c>
      <c r="F17" s="6" t="s">
        <v>21</v>
      </c>
      <c r="G17" s="6" t="s">
        <v>22</v>
      </c>
      <c r="J17" s="6" t="s">
        <v>114</v>
      </c>
    </row>
    <row r="18" spans="1:10" x14ac:dyDescent="0.35">
      <c r="A18" s="6" t="s">
        <v>117</v>
      </c>
      <c r="B18" s="6" t="s">
        <v>118</v>
      </c>
      <c r="C18" s="6" t="s">
        <v>24</v>
      </c>
      <c r="D18" s="6">
        <v>2.8657522452892908E-2</v>
      </c>
      <c r="E18" s="6" t="s">
        <v>34</v>
      </c>
      <c r="F18" s="6" t="s">
        <v>21</v>
      </c>
      <c r="G18" s="6" t="s">
        <v>22</v>
      </c>
      <c r="J18" s="6" t="s">
        <v>114</v>
      </c>
    </row>
    <row r="19" spans="1:10" x14ac:dyDescent="0.35">
      <c r="A19" s="6" t="s">
        <v>123</v>
      </c>
      <c r="B19" s="6" t="s">
        <v>124</v>
      </c>
      <c r="C19" s="6" t="s">
        <v>23</v>
      </c>
      <c r="D19" s="6">
        <v>2.282792311555492E-5</v>
      </c>
      <c r="E19" s="6" t="s">
        <v>6</v>
      </c>
      <c r="F19" s="6" t="s">
        <v>21</v>
      </c>
      <c r="G19" s="6" t="s">
        <v>22</v>
      </c>
      <c r="J19" s="6" t="s">
        <v>114</v>
      </c>
    </row>
    <row r="20" spans="1:10" x14ac:dyDescent="0.35">
      <c r="A20" s="6" t="s">
        <v>78</v>
      </c>
      <c r="B20" s="6" t="s">
        <v>79</v>
      </c>
      <c r="C20" s="6" t="s">
        <v>23</v>
      </c>
      <c r="D20" s="6">
        <v>1.8001447942551879E-3</v>
      </c>
      <c r="E20" s="6" t="s">
        <v>6</v>
      </c>
      <c r="F20" s="6" t="s">
        <v>21</v>
      </c>
      <c r="G20" s="6" t="s">
        <v>22</v>
      </c>
      <c r="J20" s="6" t="s">
        <v>114</v>
      </c>
    </row>
    <row r="21" spans="1:10" x14ac:dyDescent="0.35">
      <c r="A21" s="6" t="s">
        <v>30</v>
      </c>
      <c r="B21" s="6" t="s">
        <v>31</v>
      </c>
      <c r="C21" s="6" t="s">
        <v>106</v>
      </c>
      <c r="D21" s="6">
        <v>2.5436828614475492E-6</v>
      </c>
      <c r="E21" s="6" t="s">
        <v>6</v>
      </c>
      <c r="F21" s="6" t="s">
        <v>21</v>
      </c>
      <c r="G21" s="6" t="s">
        <v>22</v>
      </c>
      <c r="J21" s="6" t="s">
        <v>114</v>
      </c>
    </row>
    <row r="22" spans="1:10" x14ac:dyDescent="0.35">
      <c r="A22" s="6" t="s">
        <v>125</v>
      </c>
      <c r="B22" s="6" t="s">
        <v>126</v>
      </c>
      <c r="C22" s="6" t="s">
        <v>106</v>
      </c>
      <c r="D22" s="6">
        <v>0.40999999999999959</v>
      </c>
      <c r="E22" s="6" t="s">
        <v>127</v>
      </c>
      <c r="F22" s="6" t="s">
        <v>21</v>
      </c>
      <c r="G22" s="6" t="s">
        <v>22</v>
      </c>
      <c r="J22" s="6" t="s">
        <v>114</v>
      </c>
    </row>
    <row r="23" spans="1:10" x14ac:dyDescent="0.35">
      <c r="A23" s="6" t="s">
        <v>58</v>
      </c>
      <c r="B23" s="6" t="s">
        <v>59</v>
      </c>
      <c r="C23" s="6" t="s">
        <v>23</v>
      </c>
      <c r="D23" s="6">
        <v>-89.257179381819711</v>
      </c>
      <c r="E23" s="6" t="s">
        <v>6</v>
      </c>
      <c r="F23" s="6" t="s">
        <v>21</v>
      </c>
      <c r="G23" s="6" t="s">
        <v>22</v>
      </c>
      <c r="J23" s="6" t="s">
        <v>114</v>
      </c>
    </row>
    <row r="24" spans="1:10" x14ac:dyDescent="0.35">
      <c r="A24" s="6" t="s">
        <v>128</v>
      </c>
      <c r="B24" s="6" t="s">
        <v>129</v>
      </c>
      <c r="C24" s="6" t="s">
        <v>24</v>
      </c>
      <c r="D24" s="6">
        <v>-1.7355743831569039E-3</v>
      </c>
      <c r="E24" s="6" t="s">
        <v>6</v>
      </c>
      <c r="F24" s="6" t="s">
        <v>21</v>
      </c>
      <c r="G24" s="6" t="s">
        <v>22</v>
      </c>
      <c r="J24" s="6" t="s">
        <v>114</v>
      </c>
    </row>
    <row r="25" spans="1:10" x14ac:dyDescent="0.35">
      <c r="A25" s="6" t="s">
        <v>130</v>
      </c>
      <c r="B25" s="6" t="s">
        <v>131</v>
      </c>
      <c r="C25" s="6" t="s">
        <v>106</v>
      </c>
      <c r="D25" s="6">
        <v>-1.754488948024079E-3</v>
      </c>
      <c r="E25" s="6" t="s">
        <v>6</v>
      </c>
      <c r="F25" s="6" t="s">
        <v>21</v>
      </c>
      <c r="G25" s="6" t="s">
        <v>22</v>
      </c>
      <c r="J25" s="6" t="s">
        <v>114</v>
      </c>
    </row>
    <row r="26" spans="1:10" x14ac:dyDescent="0.35">
      <c r="A26" s="6" t="s">
        <v>132</v>
      </c>
      <c r="B26" s="6" t="s">
        <v>133</v>
      </c>
      <c r="C26" s="6" t="s">
        <v>24</v>
      </c>
      <c r="D26" s="6">
        <v>-6.3298569667560143E-5</v>
      </c>
      <c r="E26" s="6" t="s">
        <v>39</v>
      </c>
      <c r="F26" s="6" t="s">
        <v>21</v>
      </c>
      <c r="G26" s="6" t="s">
        <v>22</v>
      </c>
      <c r="J26" s="6" t="s">
        <v>114</v>
      </c>
    </row>
    <row r="27" spans="1:10" x14ac:dyDescent="0.35">
      <c r="A27" s="6" t="s">
        <v>134</v>
      </c>
      <c r="B27" s="6" t="s">
        <v>37</v>
      </c>
      <c r="C27" s="6" t="s">
        <v>106</v>
      </c>
      <c r="D27" s="6">
        <v>-1.4022867056698031E-4</v>
      </c>
      <c r="E27" s="6" t="s">
        <v>6</v>
      </c>
      <c r="F27" s="6" t="s">
        <v>21</v>
      </c>
      <c r="G27" s="6" t="s">
        <v>22</v>
      </c>
      <c r="J27" s="6" t="s">
        <v>114</v>
      </c>
    </row>
    <row r="28" spans="1:10" x14ac:dyDescent="0.35">
      <c r="A28" s="6" t="s">
        <v>134</v>
      </c>
      <c r="B28" s="6" t="s">
        <v>37</v>
      </c>
      <c r="C28" s="6" t="s">
        <v>106</v>
      </c>
      <c r="D28" s="6">
        <v>-1.0370399358209239E-4</v>
      </c>
      <c r="E28" s="6" t="s">
        <v>6</v>
      </c>
      <c r="F28" s="6" t="s">
        <v>21</v>
      </c>
      <c r="G28" s="6" t="s">
        <v>22</v>
      </c>
      <c r="J28" s="6" t="s">
        <v>114</v>
      </c>
    </row>
    <row r="29" spans="1:10" x14ac:dyDescent="0.35">
      <c r="A29" s="6" t="s">
        <v>134</v>
      </c>
      <c r="B29" s="6" t="s">
        <v>37</v>
      </c>
      <c r="C29" s="6" t="s">
        <v>106</v>
      </c>
      <c r="D29" s="6">
        <v>-1.177268606387904E-4</v>
      </c>
      <c r="E29" s="6" t="s">
        <v>6</v>
      </c>
      <c r="F29" s="6" t="s">
        <v>21</v>
      </c>
      <c r="G29" s="6" t="s">
        <v>22</v>
      </c>
      <c r="J29" s="6" t="s">
        <v>114</v>
      </c>
    </row>
    <row r="30" spans="1:10" x14ac:dyDescent="0.35">
      <c r="A30" s="6" t="s">
        <v>134</v>
      </c>
      <c r="B30" s="6" t="s">
        <v>37</v>
      </c>
      <c r="C30" s="6" t="s">
        <v>106</v>
      </c>
      <c r="D30" s="6">
        <v>-7.1744901220315452E-5</v>
      </c>
      <c r="E30" s="6" t="s">
        <v>6</v>
      </c>
      <c r="F30" s="6" t="s">
        <v>21</v>
      </c>
      <c r="G30" s="6" t="s">
        <v>22</v>
      </c>
      <c r="J30" s="6" t="s">
        <v>114</v>
      </c>
    </row>
    <row r="31" spans="1:10" x14ac:dyDescent="0.35">
      <c r="A31" s="6" t="s">
        <v>134</v>
      </c>
      <c r="B31" s="6" t="s">
        <v>37</v>
      </c>
      <c r="C31" s="6" t="s">
        <v>106</v>
      </c>
      <c r="D31" s="6">
        <v>-3.913358248380844E-5</v>
      </c>
      <c r="E31" s="6" t="s">
        <v>6</v>
      </c>
      <c r="F31" s="6" t="s">
        <v>21</v>
      </c>
      <c r="G31" s="6" t="s">
        <v>22</v>
      </c>
      <c r="J31" s="6" t="s">
        <v>114</v>
      </c>
    </row>
    <row r="32" spans="1:10" x14ac:dyDescent="0.35">
      <c r="A32" s="6" t="s">
        <v>134</v>
      </c>
      <c r="B32" s="6" t="s">
        <v>37</v>
      </c>
      <c r="C32" s="6" t="s">
        <v>106</v>
      </c>
      <c r="D32" s="6">
        <v>-1.819711585497093E-5</v>
      </c>
      <c r="E32" s="6" t="s">
        <v>6</v>
      </c>
      <c r="F32" s="6" t="s">
        <v>21</v>
      </c>
      <c r="G32" s="6" t="s">
        <v>22</v>
      </c>
      <c r="J32" s="6" t="s">
        <v>114</v>
      </c>
    </row>
    <row r="33" spans="1:10" x14ac:dyDescent="0.35">
      <c r="A33" s="6" t="s">
        <v>135</v>
      </c>
      <c r="D33" s="6">
        <v>8.1528296841267583E-2</v>
      </c>
      <c r="E33" s="6" t="s">
        <v>136</v>
      </c>
      <c r="F33" s="6" t="s">
        <v>42</v>
      </c>
      <c r="G33" s="6" t="s">
        <v>43</v>
      </c>
      <c r="H33" s="6" t="s">
        <v>45</v>
      </c>
      <c r="J33" s="6" t="s">
        <v>114</v>
      </c>
    </row>
    <row r="34" spans="1:10" x14ac:dyDescent="0.35">
      <c r="A34" s="6" t="s">
        <v>137</v>
      </c>
      <c r="D34" s="6">
        <v>0.21319388733441569</v>
      </c>
      <c r="E34" s="6" t="s">
        <v>6</v>
      </c>
      <c r="F34" s="6" t="s">
        <v>42</v>
      </c>
      <c r="G34" s="6" t="s">
        <v>43</v>
      </c>
      <c r="H34" s="6" t="s">
        <v>44</v>
      </c>
      <c r="J34" s="6" t="s">
        <v>114</v>
      </c>
    </row>
    <row r="35" spans="1:10" x14ac:dyDescent="0.35">
      <c r="A35" s="6" t="s">
        <v>52</v>
      </c>
      <c r="D35" s="6">
        <v>1.9566791241904229E-3</v>
      </c>
      <c r="E35" s="6" t="s">
        <v>39</v>
      </c>
      <c r="F35" s="6" t="s">
        <v>42</v>
      </c>
      <c r="G35" s="6" t="s">
        <v>43</v>
      </c>
      <c r="H35" s="6" t="s">
        <v>53</v>
      </c>
      <c r="J35" s="6" t="s">
        <v>114</v>
      </c>
    </row>
    <row r="36" spans="1:10" x14ac:dyDescent="0.35">
      <c r="A36" s="6" t="s">
        <v>138</v>
      </c>
      <c r="D36" s="6">
        <v>3.2611318736507132E-4</v>
      </c>
      <c r="E36" s="6" t="s">
        <v>39</v>
      </c>
      <c r="F36" s="6" t="s">
        <v>42</v>
      </c>
      <c r="G36" s="6" t="s">
        <v>43</v>
      </c>
      <c r="H36" s="6" t="s">
        <v>53</v>
      </c>
      <c r="J36" s="6" t="s">
        <v>114</v>
      </c>
    </row>
    <row r="37" spans="1:10" x14ac:dyDescent="0.35">
      <c r="A37" s="6" t="s">
        <v>50</v>
      </c>
      <c r="D37" s="6">
        <v>1.1692462219787231E-4</v>
      </c>
      <c r="E37" s="6" t="s">
        <v>6</v>
      </c>
      <c r="F37" s="6" t="s">
        <v>42</v>
      </c>
      <c r="G37" s="6" t="s">
        <v>43</v>
      </c>
      <c r="H37" s="6" t="s">
        <v>48</v>
      </c>
      <c r="J37" s="6" t="s">
        <v>114</v>
      </c>
    </row>
    <row r="38" spans="1:10" x14ac:dyDescent="0.35">
      <c r="A38" s="6" t="s">
        <v>51</v>
      </c>
      <c r="D38" s="6">
        <v>1.2392301119872669E-3</v>
      </c>
      <c r="E38" s="6" t="s">
        <v>6</v>
      </c>
      <c r="F38" s="6" t="s">
        <v>42</v>
      </c>
      <c r="G38" s="6" t="s">
        <v>43</v>
      </c>
      <c r="H38" s="6" t="s">
        <v>48</v>
      </c>
      <c r="J38" s="6" t="s">
        <v>114</v>
      </c>
    </row>
    <row r="39" spans="1:10" x14ac:dyDescent="0.35">
      <c r="A39" s="6" t="s">
        <v>101</v>
      </c>
      <c r="D39" s="6">
        <v>2.8404458619497609E-7</v>
      </c>
      <c r="E39" s="6" t="s">
        <v>6</v>
      </c>
      <c r="F39" s="6" t="s">
        <v>42</v>
      </c>
      <c r="G39" s="6" t="s">
        <v>43</v>
      </c>
      <c r="H39" s="6" t="s">
        <v>55</v>
      </c>
      <c r="J39" s="6" t="s">
        <v>114</v>
      </c>
    </row>
    <row r="40" spans="1:10" x14ac:dyDescent="0.35">
      <c r="A40" s="6" t="s">
        <v>97</v>
      </c>
      <c r="D40" s="6">
        <v>7.5593036831223307E-6</v>
      </c>
      <c r="E40" s="6" t="s">
        <v>6</v>
      </c>
      <c r="F40" s="6" t="s">
        <v>42</v>
      </c>
      <c r="G40" s="6" t="s">
        <v>43</v>
      </c>
      <c r="H40" s="6" t="s">
        <v>55</v>
      </c>
      <c r="J40" s="6" t="s">
        <v>114</v>
      </c>
    </row>
    <row r="41" spans="1:10" x14ac:dyDescent="0.35">
      <c r="A41" s="6" t="s">
        <v>49</v>
      </c>
      <c r="D41" s="6">
        <v>2.5436828614475491E-9</v>
      </c>
      <c r="E41" s="6" t="s">
        <v>6</v>
      </c>
      <c r="F41" s="6" t="s">
        <v>42</v>
      </c>
      <c r="G41" s="6" t="s">
        <v>43</v>
      </c>
      <c r="H41" s="6" t="s">
        <v>55</v>
      </c>
      <c r="J41" s="6" t="s">
        <v>114</v>
      </c>
    </row>
    <row r="42" spans="1:10" x14ac:dyDescent="0.35">
      <c r="A42" s="6" t="s">
        <v>102</v>
      </c>
      <c r="D42" s="6">
        <v>9.7833956209521104E-9</v>
      </c>
      <c r="E42" s="6" t="s">
        <v>6</v>
      </c>
      <c r="F42" s="6" t="s">
        <v>42</v>
      </c>
      <c r="G42" s="6" t="s">
        <v>43</v>
      </c>
      <c r="H42" s="6" t="s">
        <v>55</v>
      </c>
      <c r="J42" s="6" t="s">
        <v>114</v>
      </c>
    </row>
    <row r="43" spans="1:10" x14ac:dyDescent="0.35">
      <c r="A43" s="6" t="s">
        <v>99</v>
      </c>
      <c r="D43" s="6">
        <v>3.2611318736507039E-9</v>
      </c>
      <c r="E43" s="6" t="s">
        <v>6</v>
      </c>
      <c r="F43" s="6" t="s">
        <v>42</v>
      </c>
      <c r="G43" s="6" t="s">
        <v>43</v>
      </c>
      <c r="H43" s="6" t="s">
        <v>55</v>
      </c>
      <c r="J43" s="6" t="s">
        <v>114</v>
      </c>
    </row>
    <row r="44" spans="1:10" x14ac:dyDescent="0.35">
      <c r="A44" s="6" t="s">
        <v>101</v>
      </c>
      <c r="D44" s="6">
        <v>2.4621545646062808E-7</v>
      </c>
      <c r="E44" s="6" t="s">
        <v>6</v>
      </c>
      <c r="F44" s="6" t="s">
        <v>42</v>
      </c>
      <c r="G44" s="6" t="s">
        <v>43</v>
      </c>
      <c r="H44" s="6" t="s">
        <v>55</v>
      </c>
      <c r="J44" s="6" t="s">
        <v>114</v>
      </c>
    </row>
    <row r="45" spans="1:10" x14ac:dyDescent="0.35">
      <c r="A45" s="6" t="s">
        <v>100</v>
      </c>
      <c r="D45" s="6">
        <v>8.5767768277013486E-9</v>
      </c>
      <c r="E45" s="6" t="s">
        <v>6</v>
      </c>
      <c r="F45" s="6" t="s">
        <v>42</v>
      </c>
      <c r="G45" s="6" t="s">
        <v>43</v>
      </c>
      <c r="H45" s="6" t="s">
        <v>55</v>
      </c>
      <c r="J45" s="6" t="s">
        <v>114</v>
      </c>
    </row>
    <row r="46" spans="1:10" x14ac:dyDescent="0.35">
      <c r="A46" s="6" t="s">
        <v>54</v>
      </c>
      <c r="D46" s="6">
        <v>1.9566791241904219E-10</v>
      </c>
      <c r="E46" s="6" t="s">
        <v>6</v>
      </c>
      <c r="F46" s="6" t="s">
        <v>42</v>
      </c>
      <c r="G46" s="6" t="s">
        <v>43</v>
      </c>
      <c r="H46" s="6" t="s">
        <v>55</v>
      </c>
      <c r="J46" s="6" t="s">
        <v>114</v>
      </c>
    </row>
    <row r="47" spans="1:10" x14ac:dyDescent="0.35">
      <c r="A47" s="6" t="s">
        <v>107</v>
      </c>
      <c r="D47" s="6">
        <v>1.2066187932507601E-7</v>
      </c>
      <c r="E47" s="6" t="s">
        <v>6</v>
      </c>
      <c r="F47" s="6" t="s">
        <v>42</v>
      </c>
      <c r="G47" s="6" t="s">
        <v>43</v>
      </c>
      <c r="H47" s="6" t="s">
        <v>55</v>
      </c>
      <c r="J47" s="6" t="s">
        <v>114</v>
      </c>
    </row>
    <row r="48" spans="1:10" x14ac:dyDescent="0.35">
      <c r="A48" s="6" t="s">
        <v>103</v>
      </c>
      <c r="D48" s="6">
        <v>2.5110715427110409E-7</v>
      </c>
      <c r="E48" s="6" t="s">
        <v>6</v>
      </c>
      <c r="F48" s="6" t="s">
        <v>42</v>
      </c>
      <c r="G48" s="6" t="s">
        <v>43</v>
      </c>
      <c r="H48" s="6" t="s">
        <v>55</v>
      </c>
      <c r="J48" s="6" t="s">
        <v>114</v>
      </c>
    </row>
    <row r="49" spans="1:14" x14ac:dyDescent="0.35">
      <c r="A49" s="6" t="s">
        <v>98</v>
      </c>
      <c r="D49" s="6">
        <v>3.3263545111237179E-7</v>
      </c>
      <c r="E49" s="6" t="s">
        <v>6</v>
      </c>
      <c r="F49" s="6" t="s">
        <v>42</v>
      </c>
      <c r="G49" s="6" t="s">
        <v>43</v>
      </c>
      <c r="H49" s="6" t="s">
        <v>55</v>
      </c>
      <c r="J49" s="6" t="s">
        <v>114</v>
      </c>
    </row>
    <row r="50" spans="1:14" x14ac:dyDescent="0.35">
      <c r="A50" s="6" t="s">
        <v>139</v>
      </c>
      <c r="D50" s="6">
        <v>1.6461867585001389E-4</v>
      </c>
      <c r="E50" s="6" t="s">
        <v>6</v>
      </c>
      <c r="F50" s="6" t="s">
        <v>42</v>
      </c>
      <c r="G50" s="6" t="s">
        <v>43</v>
      </c>
      <c r="H50" s="6" t="s">
        <v>55</v>
      </c>
      <c r="J50" s="6" t="s">
        <v>114</v>
      </c>
    </row>
    <row r="51" spans="1:14" s="12" customFormat="1" x14ac:dyDescent="0.35"/>
    <row r="52" spans="1:14" x14ac:dyDescent="0.35">
      <c r="A52" s="15" t="s">
        <v>0</v>
      </c>
      <c r="B52" s="15" t="s">
        <v>140</v>
      </c>
    </row>
    <row r="53" spans="1:14" x14ac:dyDescent="0.35">
      <c r="A53" s="8" t="s">
        <v>1</v>
      </c>
      <c r="B53" s="6" t="s">
        <v>93</v>
      </c>
    </row>
    <row r="54" spans="1:14" x14ac:dyDescent="0.35">
      <c r="A54" s="8" t="s">
        <v>2</v>
      </c>
      <c r="B54" s="6" t="s">
        <v>96</v>
      </c>
    </row>
    <row r="55" spans="1:14" x14ac:dyDescent="0.35">
      <c r="A55" s="8" t="s">
        <v>4</v>
      </c>
      <c r="B55" s="6">
        <v>1</v>
      </c>
    </row>
    <row r="56" spans="1:14" x14ac:dyDescent="0.35">
      <c r="A56" s="8" t="s">
        <v>5</v>
      </c>
      <c r="B56" s="6" t="s">
        <v>6</v>
      </c>
    </row>
    <row r="57" spans="1:14" ht="101.5" x14ac:dyDescent="0.35">
      <c r="A57" s="8" t="s">
        <v>7</v>
      </c>
      <c r="B57" s="13" t="s">
        <v>194</v>
      </c>
    </row>
    <row r="58" spans="1:14" x14ac:dyDescent="0.35">
      <c r="A58" s="8" t="s">
        <v>9</v>
      </c>
    </row>
    <row r="59" spans="1:14" x14ac:dyDescent="0.35">
      <c r="A59" s="15" t="s">
        <v>10</v>
      </c>
      <c r="B59" s="15" t="s">
        <v>1</v>
      </c>
      <c r="C59" s="15" t="s">
        <v>2</v>
      </c>
      <c r="D59" s="15" t="s">
        <v>4</v>
      </c>
      <c r="E59" s="15" t="s">
        <v>5</v>
      </c>
      <c r="F59" s="15" t="s">
        <v>11</v>
      </c>
      <c r="G59" s="15" t="s">
        <v>12</v>
      </c>
      <c r="H59" s="15" t="s">
        <v>13</v>
      </c>
      <c r="I59" s="15" t="s">
        <v>14</v>
      </c>
      <c r="J59" s="15" t="s">
        <v>15</v>
      </c>
      <c r="K59" s="15" t="s">
        <v>16</v>
      </c>
      <c r="L59" s="15" t="s">
        <v>17</v>
      </c>
      <c r="M59" s="15" t="s">
        <v>18</v>
      </c>
      <c r="N59" s="15" t="s">
        <v>19</v>
      </c>
    </row>
    <row r="60" spans="1:14" x14ac:dyDescent="0.35">
      <c r="A60" s="6" t="str">
        <f>B52</f>
        <v>[P+R] Copper telluride (CuTe) production - Pyrometallurgy (Sweden)</v>
      </c>
      <c r="B60" s="6" t="str">
        <f>B53</f>
        <v>CuTe</v>
      </c>
      <c r="C60" s="6" t="s">
        <v>96</v>
      </c>
      <c r="D60" s="6">
        <v>1</v>
      </c>
      <c r="E60" s="6" t="s">
        <v>6</v>
      </c>
      <c r="F60" s="9" t="str">
        <f>F9</f>
        <v>Tellurium</v>
      </c>
      <c r="G60" s="6" t="s">
        <v>20</v>
      </c>
    </row>
    <row r="61" spans="1:14" x14ac:dyDescent="0.35">
      <c r="A61" s="6" t="s">
        <v>32</v>
      </c>
      <c r="B61" s="6" t="s">
        <v>33</v>
      </c>
      <c r="C61" s="6" t="s">
        <v>23</v>
      </c>
      <c r="D61" s="14">
        <v>0.41977916982801583</v>
      </c>
      <c r="E61" s="6" t="s">
        <v>34</v>
      </c>
      <c r="F61" s="6" t="s">
        <v>21</v>
      </c>
      <c r="G61" s="6" t="s">
        <v>22</v>
      </c>
      <c r="J61" s="6" t="s">
        <v>114</v>
      </c>
    </row>
    <row r="62" spans="1:14" x14ac:dyDescent="0.35">
      <c r="A62" s="6" t="s">
        <v>30</v>
      </c>
      <c r="B62" s="6" t="s">
        <v>31</v>
      </c>
      <c r="C62" s="6" t="s">
        <v>106</v>
      </c>
      <c r="D62" s="14">
        <v>2.7906281747215801E-4</v>
      </c>
      <c r="E62" s="6" t="s">
        <v>6</v>
      </c>
      <c r="F62" s="6" t="s">
        <v>21</v>
      </c>
      <c r="G62" s="6" t="s">
        <v>22</v>
      </c>
      <c r="J62" s="6" t="s">
        <v>114</v>
      </c>
    </row>
    <row r="63" spans="1:14" x14ac:dyDescent="0.35">
      <c r="A63" s="6" t="s">
        <v>141</v>
      </c>
      <c r="B63" s="6" t="s">
        <v>142</v>
      </c>
      <c r="C63" s="6" t="s">
        <v>106</v>
      </c>
      <c r="D63" s="14">
        <v>0.13812539468266155</v>
      </c>
      <c r="E63" s="6" t="s">
        <v>6</v>
      </c>
      <c r="F63" s="6" t="s">
        <v>21</v>
      </c>
      <c r="G63" s="6" t="s">
        <v>22</v>
      </c>
      <c r="J63" s="6" t="s">
        <v>114</v>
      </c>
    </row>
    <row r="64" spans="1:14" x14ac:dyDescent="0.35">
      <c r="A64" s="6" t="s">
        <v>60</v>
      </c>
      <c r="B64" s="6" t="s">
        <v>61</v>
      </c>
      <c r="C64" s="6" t="s">
        <v>106</v>
      </c>
      <c r="D64" s="14">
        <v>6.1357107476594421E-3</v>
      </c>
      <c r="E64" s="6" t="s">
        <v>6</v>
      </c>
      <c r="F64" s="6" t="s">
        <v>21</v>
      </c>
      <c r="G64" s="6" t="s">
        <v>22</v>
      </c>
      <c r="J64" s="6" t="s">
        <v>114</v>
      </c>
    </row>
    <row r="65" spans="1:10" x14ac:dyDescent="0.35">
      <c r="A65" s="6" t="s">
        <v>115</v>
      </c>
      <c r="B65" s="6" t="s">
        <v>116</v>
      </c>
      <c r="C65" s="6" t="s">
        <v>96</v>
      </c>
      <c r="D65" s="14">
        <v>8.2637276690116241</v>
      </c>
      <c r="E65" s="6" t="s">
        <v>29</v>
      </c>
      <c r="F65" s="6" t="s">
        <v>21</v>
      </c>
      <c r="G65" s="6" t="s">
        <v>22</v>
      </c>
      <c r="J65" s="6" t="s">
        <v>114</v>
      </c>
    </row>
    <row r="66" spans="1:10" x14ac:dyDescent="0.35">
      <c r="A66" s="6" t="s">
        <v>80</v>
      </c>
      <c r="B66" s="6" t="s">
        <v>81</v>
      </c>
      <c r="C66" s="6" t="s">
        <v>106</v>
      </c>
      <c r="D66" s="14">
        <v>34.122221395421072</v>
      </c>
      <c r="E66" s="6" t="s">
        <v>6</v>
      </c>
      <c r="F66" s="6" t="s">
        <v>21</v>
      </c>
      <c r="G66" s="6" t="s">
        <v>22</v>
      </c>
      <c r="J66" s="6" t="s">
        <v>114</v>
      </c>
    </row>
    <row r="67" spans="1:10" x14ac:dyDescent="0.35">
      <c r="A67" s="6" t="s">
        <v>83</v>
      </c>
      <c r="B67" s="6" t="s">
        <v>84</v>
      </c>
      <c r="C67" s="6" t="s">
        <v>23</v>
      </c>
      <c r="D67" s="14">
        <v>1.8891661651082554</v>
      </c>
      <c r="E67" s="6" t="s">
        <v>6</v>
      </c>
      <c r="F67" s="6" t="s">
        <v>21</v>
      </c>
      <c r="G67" s="6" t="s">
        <v>22</v>
      </c>
      <c r="J67" s="6" t="s">
        <v>114</v>
      </c>
    </row>
    <row r="68" spans="1:10" x14ac:dyDescent="0.35">
      <c r="A68" s="6" t="s">
        <v>143</v>
      </c>
      <c r="B68" s="6" t="s">
        <v>144</v>
      </c>
      <c r="C68" s="6" t="s">
        <v>104</v>
      </c>
      <c r="D68" s="14">
        <v>6.2065626632443423E-2</v>
      </c>
      <c r="E68" s="6" t="s">
        <v>6</v>
      </c>
      <c r="F68" s="6" t="s">
        <v>21</v>
      </c>
      <c r="G68" s="6" t="s">
        <v>22</v>
      </c>
      <c r="J68" s="6" t="s">
        <v>114</v>
      </c>
    </row>
    <row r="69" spans="1:10" x14ac:dyDescent="0.35">
      <c r="A69" s="6" t="s">
        <v>25</v>
      </c>
      <c r="B69" s="6" t="s">
        <v>26</v>
      </c>
      <c r="C69" s="6" t="s">
        <v>24</v>
      </c>
      <c r="D69" s="14">
        <v>0.11739466983363653</v>
      </c>
      <c r="E69" s="6" t="s">
        <v>6</v>
      </c>
      <c r="F69" s="6" t="s">
        <v>21</v>
      </c>
      <c r="G69" s="6" t="s">
        <v>22</v>
      </c>
      <c r="J69" s="6" t="s">
        <v>114</v>
      </c>
    </row>
    <row r="70" spans="1:10" x14ac:dyDescent="0.35">
      <c r="A70" s="6" t="s">
        <v>56</v>
      </c>
      <c r="B70" s="6" t="s">
        <v>57</v>
      </c>
      <c r="C70" s="6" t="s">
        <v>104</v>
      </c>
      <c r="D70" s="14">
        <v>0.54825106802626855</v>
      </c>
      <c r="E70" s="6" t="s">
        <v>39</v>
      </c>
      <c r="F70" s="6" t="s">
        <v>21</v>
      </c>
      <c r="G70" s="6" t="s">
        <v>22</v>
      </c>
      <c r="J70" s="6" t="s">
        <v>114</v>
      </c>
    </row>
    <row r="71" spans="1:10" x14ac:dyDescent="0.35">
      <c r="A71" s="6" t="s">
        <v>76</v>
      </c>
      <c r="B71" s="6" t="s">
        <v>77</v>
      </c>
      <c r="C71" s="6" t="s">
        <v>23</v>
      </c>
      <c r="D71" s="14">
        <v>3.2414093811534844E-3</v>
      </c>
      <c r="E71" s="6" t="s">
        <v>6</v>
      </c>
      <c r="F71" s="6" t="s">
        <v>21</v>
      </c>
      <c r="G71" s="6" t="s">
        <v>22</v>
      </c>
      <c r="J71" s="6" t="s">
        <v>114</v>
      </c>
    </row>
    <row r="72" spans="1:10" x14ac:dyDescent="0.35">
      <c r="A72" s="6" t="s">
        <v>74</v>
      </c>
      <c r="B72" s="6" t="s">
        <v>75</v>
      </c>
      <c r="C72" s="6" t="s">
        <v>23</v>
      </c>
      <c r="D72" s="14">
        <v>4.4912297139399075E-6</v>
      </c>
      <c r="E72" s="6" t="s">
        <v>6</v>
      </c>
      <c r="F72" s="6" t="s">
        <v>21</v>
      </c>
      <c r="G72" s="6" t="s">
        <v>22</v>
      </c>
      <c r="J72" s="6" t="s">
        <v>114</v>
      </c>
    </row>
    <row r="73" spans="1:10" x14ac:dyDescent="0.35">
      <c r="A73" s="6" t="s">
        <v>145</v>
      </c>
      <c r="B73" s="6" t="s">
        <v>146</v>
      </c>
      <c r="C73" s="6" t="s">
        <v>23</v>
      </c>
      <c r="D73" s="14">
        <v>6.6277289987095138E-3</v>
      </c>
      <c r="E73" s="6" t="s">
        <v>6</v>
      </c>
      <c r="F73" s="6" t="s">
        <v>21</v>
      </c>
      <c r="G73" s="6" t="s">
        <v>22</v>
      </c>
      <c r="J73" s="6" t="s">
        <v>114</v>
      </c>
    </row>
    <row r="74" spans="1:10" x14ac:dyDescent="0.35">
      <c r="A74" s="6" t="s">
        <v>64</v>
      </c>
      <c r="B74" s="6" t="s">
        <v>65</v>
      </c>
      <c r="C74" s="6" t="s">
        <v>104</v>
      </c>
      <c r="D74" s="14">
        <v>0.33549414448934883</v>
      </c>
      <c r="E74" s="6" t="s">
        <v>6</v>
      </c>
      <c r="F74" s="6" t="s">
        <v>21</v>
      </c>
      <c r="G74" s="6" t="s">
        <v>22</v>
      </c>
      <c r="J74" s="6" t="s">
        <v>114</v>
      </c>
    </row>
    <row r="75" spans="1:10" x14ac:dyDescent="0.35">
      <c r="A75" s="6" t="s">
        <v>64</v>
      </c>
      <c r="B75" s="6" t="s">
        <v>65</v>
      </c>
      <c r="C75" s="6" t="s">
        <v>104</v>
      </c>
      <c r="D75" s="14">
        <v>5.943969786795086E-4</v>
      </c>
      <c r="E75" s="6" t="s">
        <v>6</v>
      </c>
      <c r="F75" s="6" t="s">
        <v>21</v>
      </c>
      <c r="G75" s="6" t="s">
        <v>22</v>
      </c>
      <c r="J75" s="6" t="s">
        <v>114</v>
      </c>
    </row>
    <row r="76" spans="1:10" x14ac:dyDescent="0.35">
      <c r="A76" s="6" t="s">
        <v>76</v>
      </c>
      <c r="B76" s="6" t="s">
        <v>77</v>
      </c>
      <c r="C76" s="6" t="s">
        <v>23</v>
      </c>
      <c r="D76" s="14">
        <v>0.17190727587254848</v>
      </c>
      <c r="E76" s="6" t="s">
        <v>6</v>
      </c>
      <c r="F76" s="6" t="s">
        <v>21</v>
      </c>
      <c r="G76" s="6" t="s">
        <v>22</v>
      </c>
      <c r="J76" s="6" t="s">
        <v>114</v>
      </c>
    </row>
    <row r="77" spans="1:10" x14ac:dyDescent="0.35">
      <c r="A77" s="6" t="s">
        <v>147</v>
      </c>
      <c r="B77" s="6" t="s">
        <v>148</v>
      </c>
      <c r="C77" s="6" t="s">
        <v>104</v>
      </c>
      <c r="D77" s="14">
        <v>2.0849730808440346E-2</v>
      </c>
      <c r="E77" s="6" t="s">
        <v>6</v>
      </c>
      <c r="F77" s="6" t="s">
        <v>21</v>
      </c>
      <c r="G77" s="6" t="s">
        <v>22</v>
      </c>
      <c r="J77" s="6" t="s">
        <v>114</v>
      </c>
    </row>
    <row r="78" spans="1:10" x14ac:dyDescent="0.35">
      <c r="A78" s="6" t="s">
        <v>147</v>
      </c>
      <c r="B78" s="6" t="s">
        <v>148</v>
      </c>
      <c r="C78" s="6" t="s">
        <v>104</v>
      </c>
      <c r="D78" s="14">
        <v>9.9705299649465934E-5</v>
      </c>
      <c r="E78" s="6" t="s">
        <v>6</v>
      </c>
      <c r="F78" s="6" t="s">
        <v>21</v>
      </c>
      <c r="G78" s="6" t="s">
        <v>22</v>
      </c>
      <c r="J78" s="6" t="s">
        <v>114</v>
      </c>
    </row>
    <row r="79" spans="1:10" x14ac:dyDescent="0.35">
      <c r="A79" s="6" t="s">
        <v>68</v>
      </c>
      <c r="B79" s="6" t="s">
        <v>69</v>
      </c>
      <c r="C79" s="6" t="s">
        <v>23</v>
      </c>
      <c r="D79" s="14">
        <v>2.485398374516068E-4</v>
      </c>
      <c r="E79" s="6" t="s">
        <v>6</v>
      </c>
      <c r="F79" s="6" t="s">
        <v>21</v>
      </c>
      <c r="G79" s="6" t="s">
        <v>22</v>
      </c>
      <c r="J79" s="6" t="s">
        <v>114</v>
      </c>
    </row>
    <row r="80" spans="1:10" x14ac:dyDescent="0.35">
      <c r="A80" s="6" t="s">
        <v>78</v>
      </c>
      <c r="B80" s="6" t="s">
        <v>79</v>
      </c>
      <c r="C80" s="6" t="s">
        <v>23</v>
      </c>
      <c r="D80" s="14">
        <v>2.5272005344586479E-5</v>
      </c>
      <c r="E80" s="6" t="s">
        <v>6</v>
      </c>
      <c r="F80" s="6" t="s">
        <v>21</v>
      </c>
      <c r="G80" s="6" t="s">
        <v>22</v>
      </c>
      <c r="J80" s="6" t="s">
        <v>114</v>
      </c>
    </row>
    <row r="81" spans="1:10" x14ac:dyDescent="0.35">
      <c r="A81" s="6" t="s">
        <v>78</v>
      </c>
      <c r="B81" s="6" t="s">
        <v>79</v>
      </c>
      <c r="C81" s="6" t="s">
        <v>23</v>
      </c>
      <c r="D81" s="14">
        <v>2.3008915303722907E-4</v>
      </c>
      <c r="E81" s="6" t="s">
        <v>6</v>
      </c>
      <c r="F81" s="6" t="s">
        <v>21</v>
      </c>
      <c r="G81" s="6" t="s">
        <v>22</v>
      </c>
      <c r="J81" s="6" t="s">
        <v>114</v>
      </c>
    </row>
    <row r="82" spans="1:10" x14ac:dyDescent="0.35">
      <c r="A82" s="6" t="s">
        <v>149</v>
      </c>
      <c r="B82" s="6" t="s">
        <v>150</v>
      </c>
      <c r="C82" s="6" t="s">
        <v>23</v>
      </c>
      <c r="D82" s="14">
        <v>2.1053157502906466E-2</v>
      </c>
      <c r="E82" s="6" t="s">
        <v>6</v>
      </c>
      <c r="F82" s="6" t="s">
        <v>21</v>
      </c>
      <c r="G82" s="6" t="s">
        <v>22</v>
      </c>
      <c r="J82" s="6" t="s">
        <v>114</v>
      </c>
    </row>
    <row r="83" spans="1:10" x14ac:dyDescent="0.35">
      <c r="A83" s="6" t="s">
        <v>151</v>
      </c>
      <c r="B83" s="6" t="s">
        <v>152</v>
      </c>
      <c r="C83" s="6" t="s">
        <v>23</v>
      </c>
      <c r="D83" s="14">
        <v>1.4764053986555529E-3</v>
      </c>
      <c r="E83" s="6" t="s">
        <v>6</v>
      </c>
      <c r="F83" s="6" t="s">
        <v>21</v>
      </c>
      <c r="G83" s="6" t="s">
        <v>22</v>
      </c>
      <c r="J83" s="6" t="s">
        <v>114</v>
      </c>
    </row>
    <row r="84" spans="1:10" x14ac:dyDescent="0.35">
      <c r="A84" s="6" t="s">
        <v>78</v>
      </c>
      <c r="B84" s="6" t="s">
        <v>79</v>
      </c>
      <c r="C84" s="6" t="s">
        <v>23</v>
      </c>
      <c r="D84" s="14">
        <v>7.6696384345743029E-5</v>
      </c>
      <c r="E84" s="6" t="s">
        <v>6</v>
      </c>
      <c r="F84" s="6" t="s">
        <v>21</v>
      </c>
      <c r="G84" s="6" t="s">
        <v>22</v>
      </c>
      <c r="J84" s="6" t="s">
        <v>114</v>
      </c>
    </row>
    <row r="85" spans="1:10" x14ac:dyDescent="0.35">
      <c r="A85" s="6" t="s">
        <v>153</v>
      </c>
      <c r="B85" s="6" t="s">
        <v>154</v>
      </c>
      <c r="C85" s="6" t="s">
        <v>104</v>
      </c>
      <c r="D85" s="14">
        <v>6.116536651573007E-3</v>
      </c>
      <c r="E85" s="6" t="s">
        <v>6</v>
      </c>
      <c r="F85" s="6" t="s">
        <v>21</v>
      </c>
      <c r="G85" s="6" t="s">
        <v>22</v>
      </c>
      <c r="J85" s="6" t="s">
        <v>114</v>
      </c>
    </row>
    <row r="86" spans="1:10" x14ac:dyDescent="0.35">
      <c r="A86" s="6" t="s">
        <v>155</v>
      </c>
      <c r="B86" s="6" t="s">
        <v>156</v>
      </c>
      <c r="C86" s="6" t="s">
        <v>24</v>
      </c>
      <c r="D86" s="14">
        <v>2.6843734521010058E-4</v>
      </c>
      <c r="E86" s="6" t="s">
        <v>6</v>
      </c>
      <c r="F86" s="6" t="s">
        <v>21</v>
      </c>
      <c r="G86" s="6" t="s">
        <v>22</v>
      </c>
      <c r="J86" s="6" t="s">
        <v>114</v>
      </c>
    </row>
    <row r="87" spans="1:10" x14ac:dyDescent="0.35">
      <c r="A87" s="6" t="s">
        <v>157</v>
      </c>
      <c r="B87" s="6" t="s">
        <v>79</v>
      </c>
      <c r="C87" s="6" t="s">
        <v>23</v>
      </c>
      <c r="D87" s="14">
        <v>1.9557578008164477E-3</v>
      </c>
      <c r="E87" s="6" t="s">
        <v>6</v>
      </c>
      <c r="F87" s="6" t="s">
        <v>21</v>
      </c>
      <c r="G87" s="6" t="s">
        <v>22</v>
      </c>
      <c r="J87" s="6" t="s">
        <v>114</v>
      </c>
    </row>
    <row r="88" spans="1:10" x14ac:dyDescent="0.35">
      <c r="A88" s="6" t="s">
        <v>72</v>
      </c>
      <c r="B88" s="6" t="s">
        <v>73</v>
      </c>
      <c r="C88" s="6" t="s">
        <v>23</v>
      </c>
      <c r="D88" s="14">
        <v>2.492632491236649E-4</v>
      </c>
      <c r="E88" s="6" t="s">
        <v>6</v>
      </c>
      <c r="F88" s="6" t="s">
        <v>21</v>
      </c>
      <c r="G88" s="6" t="s">
        <v>22</v>
      </c>
      <c r="J88" s="6" t="s">
        <v>114</v>
      </c>
    </row>
    <row r="89" spans="1:10" x14ac:dyDescent="0.35">
      <c r="A89" s="6" t="s">
        <v>72</v>
      </c>
      <c r="B89" s="6" t="s">
        <v>73</v>
      </c>
      <c r="C89" s="6" t="s">
        <v>23</v>
      </c>
      <c r="D89" s="14">
        <v>2.1091505695079325E-4</v>
      </c>
      <c r="E89" s="6" t="s">
        <v>6</v>
      </c>
      <c r="F89" s="6" t="s">
        <v>21</v>
      </c>
      <c r="G89" s="6" t="s">
        <v>22</v>
      </c>
      <c r="J89" s="6" t="s">
        <v>114</v>
      </c>
    </row>
    <row r="90" spans="1:10" x14ac:dyDescent="0.35">
      <c r="A90" s="6" t="s">
        <v>158</v>
      </c>
      <c r="B90" s="6" t="s">
        <v>159</v>
      </c>
      <c r="C90" s="6" t="s">
        <v>23</v>
      </c>
      <c r="D90" s="14">
        <v>2.3008915303722907E-4</v>
      </c>
      <c r="E90" s="6" t="s">
        <v>6</v>
      </c>
      <c r="F90" s="6" t="s">
        <v>21</v>
      </c>
      <c r="G90" s="6" t="s">
        <v>22</v>
      </c>
      <c r="J90" s="6" t="s">
        <v>114</v>
      </c>
    </row>
    <row r="91" spans="1:10" x14ac:dyDescent="0.35">
      <c r="A91" s="6" t="s">
        <v>160</v>
      </c>
      <c r="B91" s="6" t="s">
        <v>161</v>
      </c>
      <c r="C91" s="6" t="s">
        <v>104</v>
      </c>
      <c r="D91" s="14">
        <v>7.6696384345743029E-5</v>
      </c>
      <c r="E91" s="6" t="s">
        <v>6</v>
      </c>
      <c r="F91" s="6" t="s">
        <v>21</v>
      </c>
      <c r="G91" s="6" t="s">
        <v>22</v>
      </c>
      <c r="J91" s="6" t="s">
        <v>114</v>
      </c>
    </row>
    <row r="92" spans="1:10" x14ac:dyDescent="0.35">
      <c r="A92" s="6" t="s">
        <v>119</v>
      </c>
      <c r="B92" s="6" t="s">
        <v>120</v>
      </c>
      <c r="C92" s="6" t="s">
        <v>23</v>
      </c>
      <c r="D92" s="14">
        <v>2.7035475481874422E-3</v>
      </c>
      <c r="E92" s="6" t="s">
        <v>6</v>
      </c>
      <c r="F92" s="6" t="s">
        <v>21</v>
      </c>
      <c r="G92" s="6" t="s">
        <v>22</v>
      </c>
      <c r="J92" s="6" t="s">
        <v>114</v>
      </c>
    </row>
    <row r="93" spans="1:10" x14ac:dyDescent="0.35">
      <c r="A93" s="6" t="s">
        <v>85</v>
      </c>
      <c r="B93" s="6" t="s">
        <v>86</v>
      </c>
      <c r="C93" s="6" t="s">
        <v>24</v>
      </c>
      <c r="D93" s="14">
        <v>1.3421867260505029E-3</v>
      </c>
      <c r="E93" s="6" t="s">
        <v>6</v>
      </c>
      <c r="F93" s="6" t="s">
        <v>21</v>
      </c>
      <c r="G93" s="6" t="s">
        <v>22</v>
      </c>
      <c r="J93" s="6" t="s">
        <v>114</v>
      </c>
    </row>
    <row r="94" spans="1:10" x14ac:dyDescent="0.35">
      <c r="A94" s="6" t="s">
        <v>35</v>
      </c>
      <c r="B94" s="6" t="s">
        <v>36</v>
      </c>
      <c r="C94" s="6" t="s">
        <v>104</v>
      </c>
      <c r="D94" s="14">
        <v>5.3687469042020116E-4</v>
      </c>
      <c r="E94" s="6" t="s">
        <v>6</v>
      </c>
      <c r="F94" s="6" t="s">
        <v>21</v>
      </c>
      <c r="G94" s="6" t="s">
        <v>22</v>
      </c>
      <c r="J94" s="6" t="s">
        <v>114</v>
      </c>
    </row>
    <row r="95" spans="1:10" x14ac:dyDescent="0.35">
      <c r="A95" s="6" t="s">
        <v>78</v>
      </c>
      <c r="B95" s="6" t="s">
        <v>79</v>
      </c>
      <c r="C95" s="6" t="s">
        <v>23</v>
      </c>
      <c r="D95" s="14">
        <v>3.0678553738297206E-3</v>
      </c>
      <c r="E95" s="6" t="s">
        <v>6</v>
      </c>
      <c r="F95" s="6" t="s">
        <v>21</v>
      </c>
      <c r="G95" s="6" t="s">
        <v>22</v>
      </c>
      <c r="J95" s="6" t="s">
        <v>114</v>
      </c>
    </row>
    <row r="96" spans="1:10" x14ac:dyDescent="0.35">
      <c r="A96" s="6" t="s">
        <v>162</v>
      </c>
      <c r="B96" s="6" t="s">
        <v>163</v>
      </c>
      <c r="C96" s="6" t="s">
        <v>23</v>
      </c>
      <c r="D96" s="14">
        <v>2.0711653120967236E-4</v>
      </c>
      <c r="E96" s="6" t="s">
        <v>6</v>
      </c>
      <c r="F96" s="6" t="s">
        <v>21</v>
      </c>
      <c r="G96" s="6" t="s">
        <v>22</v>
      </c>
      <c r="J96" s="6" t="s">
        <v>114</v>
      </c>
    </row>
    <row r="97" spans="1:10" x14ac:dyDescent="0.35">
      <c r="A97" s="6" t="s">
        <v>164</v>
      </c>
      <c r="B97" s="6" t="s">
        <v>165</v>
      </c>
      <c r="C97" s="6" t="s">
        <v>104</v>
      </c>
      <c r="D97" s="14">
        <v>1.476405398655553E-4</v>
      </c>
      <c r="E97" s="6" t="s">
        <v>6</v>
      </c>
      <c r="F97" s="6" t="s">
        <v>21</v>
      </c>
      <c r="G97" s="6" t="s">
        <v>22</v>
      </c>
      <c r="J97" s="6" t="s">
        <v>114</v>
      </c>
    </row>
    <row r="98" spans="1:10" x14ac:dyDescent="0.35">
      <c r="A98" s="6" t="s">
        <v>166</v>
      </c>
      <c r="B98" s="6" t="s">
        <v>167</v>
      </c>
      <c r="C98" s="6" t="s">
        <v>23</v>
      </c>
      <c r="D98" s="14">
        <v>2.0711653120967236E-4</v>
      </c>
      <c r="E98" s="6" t="s">
        <v>6</v>
      </c>
      <c r="F98" s="6" t="s">
        <v>21</v>
      </c>
      <c r="G98" s="6" t="s">
        <v>22</v>
      </c>
      <c r="J98" s="6" t="s">
        <v>114</v>
      </c>
    </row>
    <row r="99" spans="1:10" x14ac:dyDescent="0.35">
      <c r="A99" s="6" t="s">
        <v>70</v>
      </c>
      <c r="B99" s="6" t="s">
        <v>71</v>
      </c>
      <c r="C99" s="6" t="s">
        <v>104</v>
      </c>
      <c r="D99" s="14">
        <v>1.0769826211543369E-2</v>
      </c>
      <c r="E99" s="6" t="s">
        <v>6</v>
      </c>
      <c r="F99" s="6" t="s">
        <v>21</v>
      </c>
      <c r="G99" s="6" t="s">
        <v>22</v>
      </c>
      <c r="J99" s="6" t="s">
        <v>114</v>
      </c>
    </row>
    <row r="100" spans="1:10" x14ac:dyDescent="0.35">
      <c r="A100" s="6" t="s">
        <v>168</v>
      </c>
      <c r="B100" s="6" t="s">
        <v>169</v>
      </c>
      <c r="C100" s="6" t="s">
        <v>24</v>
      </c>
      <c r="D100" s="14">
        <v>-9.5678739471314451E-6</v>
      </c>
      <c r="E100" s="6" t="s">
        <v>6</v>
      </c>
      <c r="F100" s="6" t="s">
        <v>21</v>
      </c>
      <c r="G100" s="6" t="s">
        <v>22</v>
      </c>
      <c r="J100" s="6" t="s">
        <v>114</v>
      </c>
    </row>
    <row r="101" spans="1:10" x14ac:dyDescent="0.35">
      <c r="A101" s="6" t="s">
        <v>170</v>
      </c>
      <c r="B101" s="6" t="s">
        <v>171</v>
      </c>
      <c r="C101" s="6" t="s">
        <v>106</v>
      </c>
      <c r="D101" s="39">
        <v>2.0631327389004902E-6</v>
      </c>
      <c r="E101" s="6" t="s">
        <v>6</v>
      </c>
      <c r="F101" s="6" t="s">
        <v>21</v>
      </c>
      <c r="G101" s="6" t="s">
        <v>22</v>
      </c>
      <c r="J101" s="6" t="s">
        <v>114</v>
      </c>
    </row>
    <row r="102" spans="1:10" x14ac:dyDescent="0.35">
      <c r="A102" s="6" t="s">
        <v>172</v>
      </c>
      <c r="B102" s="6" t="s">
        <v>173</v>
      </c>
      <c r="C102" s="6" t="s">
        <v>106</v>
      </c>
      <c r="D102" s="14">
        <v>2.84543585922707E-5</v>
      </c>
      <c r="E102" s="6" t="s">
        <v>6</v>
      </c>
      <c r="F102" s="6" t="s">
        <v>21</v>
      </c>
      <c r="G102" s="6" t="s">
        <v>22</v>
      </c>
      <c r="J102" s="6" t="s">
        <v>114</v>
      </c>
    </row>
    <row r="103" spans="1:10" x14ac:dyDescent="0.35">
      <c r="A103" s="6" t="s">
        <v>174</v>
      </c>
      <c r="B103" s="6" t="s">
        <v>175</v>
      </c>
      <c r="C103" s="6" t="s">
        <v>23</v>
      </c>
      <c r="D103" s="14">
        <v>-1.2923340762257702E-5</v>
      </c>
      <c r="E103" s="6" t="s">
        <v>6</v>
      </c>
      <c r="F103" s="6" t="s">
        <v>21</v>
      </c>
      <c r="G103" s="6" t="s">
        <v>22</v>
      </c>
      <c r="J103" s="6" t="s">
        <v>114</v>
      </c>
    </row>
    <row r="104" spans="1:10" x14ac:dyDescent="0.35">
      <c r="A104" s="6" t="s">
        <v>176</v>
      </c>
      <c r="B104" s="6" t="s">
        <v>131</v>
      </c>
      <c r="C104" s="6" t="s">
        <v>106</v>
      </c>
      <c r="D104" s="14">
        <v>-3.9882119859786389E-6</v>
      </c>
      <c r="E104" s="6" t="s">
        <v>6</v>
      </c>
      <c r="F104" s="6" t="s">
        <v>21</v>
      </c>
      <c r="G104" s="6" t="s">
        <v>22</v>
      </c>
      <c r="J104" s="6" t="s">
        <v>114</v>
      </c>
    </row>
    <row r="105" spans="1:10" x14ac:dyDescent="0.35">
      <c r="A105" s="6" t="s">
        <v>177</v>
      </c>
      <c r="B105" s="6" t="s">
        <v>178</v>
      </c>
      <c r="C105" s="6" t="s">
        <v>24</v>
      </c>
      <c r="D105" s="14">
        <v>-1.7256686477792177E-8</v>
      </c>
      <c r="E105" s="6" t="s">
        <v>6</v>
      </c>
      <c r="F105" s="6" t="s">
        <v>21</v>
      </c>
      <c r="G105" s="6" t="s">
        <v>22</v>
      </c>
      <c r="J105" s="6" t="s">
        <v>114</v>
      </c>
    </row>
    <row r="106" spans="1:10" x14ac:dyDescent="0.35">
      <c r="A106" s="6" t="s">
        <v>179</v>
      </c>
      <c r="B106" s="6" t="s">
        <v>180</v>
      </c>
      <c r="C106" s="6" t="s">
        <v>23</v>
      </c>
      <c r="D106" s="14">
        <v>-6.0973625554865731E-8</v>
      </c>
      <c r="E106" s="6" t="s">
        <v>6</v>
      </c>
      <c r="F106" s="6" t="s">
        <v>21</v>
      </c>
      <c r="G106" s="6" t="s">
        <v>22</v>
      </c>
      <c r="J106" s="6" t="s">
        <v>114</v>
      </c>
    </row>
    <row r="107" spans="1:10" x14ac:dyDescent="0.35">
      <c r="A107" s="6" t="s">
        <v>181</v>
      </c>
      <c r="B107" s="6" t="s">
        <v>182</v>
      </c>
      <c r="C107" s="6" t="s">
        <v>24</v>
      </c>
      <c r="D107" s="14">
        <v>-1.6489722634334747E-8</v>
      </c>
      <c r="E107" s="6" t="s">
        <v>6</v>
      </c>
      <c r="F107" s="6" t="s">
        <v>21</v>
      </c>
      <c r="G107" s="6" t="s">
        <v>22</v>
      </c>
      <c r="J107" s="6" t="s">
        <v>114</v>
      </c>
    </row>
    <row r="108" spans="1:10" x14ac:dyDescent="0.35">
      <c r="A108" s="6" t="s">
        <v>183</v>
      </c>
      <c r="B108" s="6" t="s">
        <v>184</v>
      </c>
      <c r="C108" s="6" t="s">
        <v>23</v>
      </c>
      <c r="D108" s="14">
        <v>-1.7256686477792177E-8</v>
      </c>
      <c r="E108" s="6" t="s">
        <v>6</v>
      </c>
      <c r="F108" s="6" t="s">
        <v>21</v>
      </c>
      <c r="G108" s="6" t="s">
        <v>22</v>
      </c>
      <c r="J108" s="6" t="s">
        <v>114</v>
      </c>
    </row>
    <row r="109" spans="1:10" x14ac:dyDescent="0.35">
      <c r="A109" s="6" t="s">
        <v>185</v>
      </c>
      <c r="B109" s="6" t="s">
        <v>186</v>
      </c>
      <c r="C109" s="6" t="s">
        <v>106</v>
      </c>
      <c r="D109" s="14">
        <v>-1.854135091558338E-5</v>
      </c>
      <c r="E109" s="6" t="s">
        <v>6</v>
      </c>
      <c r="F109" s="6" t="s">
        <v>21</v>
      </c>
      <c r="G109" s="6" t="s">
        <v>22</v>
      </c>
      <c r="J109" s="6" t="s">
        <v>114</v>
      </c>
    </row>
    <row r="110" spans="1:10" x14ac:dyDescent="0.35">
      <c r="A110" s="6" t="s">
        <v>176</v>
      </c>
      <c r="B110" s="6" t="s">
        <v>131</v>
      </c>
      <c r="C110" s="6" t="s">
        <v>106</v>
      </c>
      <c r="D110" s="14">
        <v>-4.1013391528886076E-6</v>
      </c>
      <c r="E110" s="6" t="s">
        <v>6</v>
      </c>
      <c r="F110" s="6" t="s">
        <v>21</v>
      </c>
      <c r="G110" s="6" t="s">
        <v>22</v>
      </c>
      <c r="J110" s="6" t="s">
        <v>114</v>
      </c>
    </row>
    <row r="111" spans="1:10" x14ac:dyDescent="0.35">
      <c r="A111" s="6" t="s">
        <v>187</v>
      </c>
      <c r="B111" s="6" t="s">
        <v>38</v>
      </c>
      <c r="C111" s="6" t="s">
        <v>24</v>
      </c>
      <c r="D111" s="14">
        <v>-1.2405640167923933E-7</v>
      </c>
      <c r="E111" s="6" t="s">
        <v>6</v>
      </c>
      <c r="F111" s="6" t="s">
        <v>21</v>
      </c>
      <c r="G111" s="6" t="s">
        <v>22</v>
      </c>
      <c r="J111" s="6" t="s">
        <v>114</v>
      </c>
    </row>
    <row r="112" spans="1:10" x14ac:dyDescent="0.35">
      <c r="A112" s="6" t="s">
        <v>188</v>
      </c>
      <c r="B112" s="6" t="s">
        <v>129</v>
      </c>
      <c r="C112" s="6" t="s">
        <v>104</v>
      </c>
      <c r="D112" s="14">
        <v>-1.5339276869148611E-8</v>
      </c>
      <c r="E112" s="6" t="s">
        <v>6</v>
      </c>
      <c r="F112" s="6" t="s">
        <v>21</v>
      </c>
      <c r="G112" s="6" t="s">
        <v>22</v>
      </c>
      <c r="J112" s="6" t="s">
        <v>114</v>
      </c>
    </row>
    <row r="113" spans="1:10" s="11" customFormat="1" x14ac:dyDescent="0.35">
      <c r="A113" s="11" t="s">
        <v>40</v>
      </c>
      <c r="B113" s="11" t="s">
        <v>41</v>
      </c>
      <c r="C113" s="11" t="s">
        <v>104</v>
      </c>
      <c r="D113" s="14">
        <v>-3.3327977512984033</v>
      </c>
      <c r="E113" s="11" t="s">
        <v>6</v>
      </c>
      <c r="F113" s="11" t="s">
        <v>21</v>
      </c>
      <c r="G113" s="11" t="s">
        <v>22</v>
      </c>
    </row>
    <row r="114" spans="1:10" s="11" customFormat="1" x14ac:dyDescent="0.35">
      <c r="A114" s="11" t="s">
        <v>189</v>
      </c>
      <c r="B114" s="11" t="s">
        <v>190</v>
      </c>
      <c r="C114" s="11" t="s">
        <v>104</v>
      </c>
      <c r="D114" s="14">
        <v>-0.22980711770621154</v>
      </c>
      <c r="E114" s="11" t="s">
        <v>6</v>
      </c>
      <c r="F114" s="11" t="s">
        <v>21</v>
      </c>
      <c r="G114" s="11" t="s">
        <v>22</v>
      </c>
    </row>
    <row r="115" spans="1:10" s="11" customFormat="1" x14ac:dyDescent="0.35">
      <c r="A115" s="11" t="s">
        <v>115</v>
      </c>
      <c r="B115" s="11" t="s">
        <v>116</v>
      </c>
      <c r="C115" s="11" t="s">
        <v>96</v>
      </c>
      <c r="D115" s="14">
        <v>-0.33162443791215807</v>
      </c>
      <c r="E115" s="11" t="s">
        <v>29</v>
      </c>
      <c r="F115" s="11" t="s">
        <v>21</v>
      </c>
      <c r="G115" s="11" t="s">
        <v>22</v>
      </c>
    </row>
    <row r="116" spans="1:10" s="11" customFormat="1" x14ac:dyDescent="0.35">
      <c r="A116" s="11" t="s">
        <v>117</v>
      </c>
      <c r="B116" s="11" t="s">
        <v>118</v>
      </c>
      <c r="C116" s="11" t="s">
        <v>24</v>
      </c>
      <c r="D116" s="14">
        <v>-0.24791256409847925</v>
      </c>
      <c r="E116" s="11" t="s">
        <v>34</v>
      </c>
      <c r="F116" s="11" t="s">
        <v>21</v>
      </c>
      <c r="G116" s="11" t="s">
        <v>22</v>
      </c>
      <c r="J116" s="11" t="s">
        <v>114</v>
      </c>
    </row>
    <row r="117" spans="1:10" x14ac:dyDescent="0.35">
      <c r="A117" s="6" t="s">
        <v>208</v>
      </c>
      <c r="D117" s="14">
        <v>1.3888948241170609</v>
      </c>
      <c r="E117" s="6" t="s">
        <v>39</v>
      </c>
      <c r="F117" s="6" t="s">
        <v>42</v>
      </c>
      <c r="G117" s="6" t="s">
        <v>43</v>
      </c>
      <c r="H117" s="6" t="s">
        <v>53</v>
      </c>
      <c r="J117" s="6" t="s">
        <v>114</v>
      </c>
    </row>
    <row r="118" spans="1:10" x14ac:dyDescent="0.35">
      <c r="A118" s="6" t="s">
        <v>101</v>
      </c>
      <c r="D118" s="14">
        <v>1.6527899190531854E-5</v>
      </c>
      <c r="E118" s="6" t="s">
        <v>6</v>
      </c>
      <c r="F118" s="6" t="s">
        <v>42</v>
      </c>
      <c r="G118" s="6" t="s">
        <v>43</v>
      </c>
      <c r="H118" s="6" t="s">
        <v>55</v>
      </c>
      <c r="J118" s="6" t="s">
        <v>114</v>
      </c>
    </row>
    <row r="119" spans="1:10" x14ac:dyDescent="0.35">
      <c r="A119" s="6" t="s">
        <v>49</v>
      </c>
      <c r="D119" s="14">
        <v>3.5663818720770501E-6</v>
      </c>
      <c r="E119" s="6" t="s">
        <v>6</v>
      </c>
      <c r="F119" s="6" t="s">
        <v>42</v>
      </c>
      <c r="G119" s="6" t="s">
        <v>43</v>
      </c>
      <c r="H119" s="6" t="s">
        <v>55</v>
      </c>
      <c r="J119" s="6" t="s">
        <v>114</v>
      </c>
    </row>
    <row r="120" spans="1:10" x14ac:dyDescent="0.35">
      <c r="A120" s="6" t="s">
        <v>102</v>
      </c>
      <c r="D120" s="14">
        <v>1.1595578865283775E-6</v>
      </c>
      <c r="E120" s="6" t="s">
        <v>6</v>
      </c>
      <c r="F120" s="6" t="s">
        <v>42</v>
      </c>
      <c r="G120" s="6" t="s">
        <v>43</v>
      </c>
      <c r="H120" s="6" t="s">
        <v>55</v>
      </c>
      <c r="J120" s="6" t="s">
        <v>114</v>
      </c>
    </row>
    <row r="121" spans="1:10" x14ac:dyDescent="0.35">
      <c r="A121" s="6" t="s">
        <v>99</v>
      </c>
      <c r="D121" s="14">
        <v>1.3799742749533547E-7</v>
      </c>
      <c r="E121" s="6" t="s">
        <v>6</v>
      </c>
      <c r="F121" s="6" t="s">
        <v>42</v>
      </c>
      <c r="G121" s="6" t="s">
        <v>43</v>
      </c>
      <c r="H121" s="6" t="s">
        <v>55</v>
      </c>
      <c r="J121" s="6" t="s">
        <v>114</v>
      </c>
    </row>
    <row r="122" spans="1:10" x14ac:dyDescent="0.35">
      <c r="A122" s="6" t="s">
        <v>54</v>
      </c>
      <c r="D122" s="14">
        <v>1.7256686477792178E-7</v>
      </c>
      <c r="E122" s="6" t="s">
        <v>6</v>
      </c>
      <c r="F122" s="6" t="s">
        <v>42</v>
      </c>
      <c r="G122" s="6" t="s">
        <v>43</v>
      </c>
      <c r="H122" s="6" t="s">
        <v>55</v>
      </c>
      <c r="J122" s="6" t="s">
        <v>114</v>
      </c>
    </row>
    <row r="123" spans="1:10" x14ac:dyDescent="0.35">
      <c r="A123" s="6" t="s">
        <v>107</v>
      </c>
      <c r="D123" s="14">
        <v>1.0332800858519989E-6</v>
      </c>
      <c r="E123" s="6" t="s">
        <v>6</v>
      </c>
      <c r="F123" s="6" t="s">
        <v>42</v>
      </c>
      <c r="G123" s="6" t="s">
        <v>43</v>
      </c>
      <c r="H123" s="6" t="s">
        <v>55</v>
      </c>
      <c r="J123" s="6" t="s">
        <v>114</v>
      </c>
    </row>
    <row r="124" spans="1:10" x14ac:dyDescent="0.35">
      <c r="A124" s="6" t="s">
        <v>103</v>
      </c>
      <c r="D124" s="14">
        <v>3.6065446100343414E-5</v>
      </c>
      <c r="E124" s="6" t="s">
        <v>6</v>
      </c>
      <c r="F124" s="6" t="s">
        <v>42</v>
      </c>
      <c r="G124" s="6" t="s">
        <v>43</v>
      </c>
      <c r="H124" s="6" t="s">
        <v>55</v>
      </c>
      <c r="J124" s="6" t="s">
        <v>114</v>
      </c>
    </row>
    <row r="125" spans="1:10" x14ac:dyDescent="0.35">
      <c r="A125" s="6" t="s">
        <v>105</v>
      </c>
      <c r="D125" s="14">
        <v>4.5059125803124035E-12</v>
      </c>
      <c r="E125" s="6" t="s">
        <v>6</v>
      </c>
      <c r="F125" s="6" t="s">
        <v>42</v>
      </c>
      <c r="G125" s="6" t="s">
        <v>43</v>
      </c>
      <c r="H125" s="6" t="s">
        <v>48</v>
      </c>
      <c r="J125" s="6" t="s">
        <v>114</v>
      </c>
    </row>
    <row r="126" spans="1:10" x14ac:dyDescent="0.35">
      <c r="A126" s="6" t="s">
        <v>47</v>
      </c>
      <c r="D126" s="14">
        <v>5.5340337763930575E-2</v>
      </c>
      <c r="E126" s="6" t="s">
        <v>6</v>
      </c>
      <c r="F126" s="6" t="s">
        <v>42</v>
      </c>
      <c r="G126" s="6" t="s">
        <v>43</v>
      </c>
      <c r="H126" s="6" t="s">
        <v>48</v>
      </c>
      <c r="J126" s="6" t="s">
        <v>114</v>
      </c>
    </row>
    <row r="127" spans="1:10" x14ac:dyDescent="0.35">
      <c r="A127" s="6" t="s">
        <v>101</v>
      </c>
      <c r="D127" s="14">
        <v>1.3807768747311485E-5</v>
      </c>
      <c r="E127" s="6" t="s">
        <v>6</v>
      </c>
      <c r="F127" s="6" t="s">
        <v>42</v>
      </c>
      <c r="G127" s="6" t="s">
        <v>43</v>
      </c>
      <c r="H127" s="6" t="s">
        <v>48</v>
      </c>
      <c r="J127" s="6" t="s">
        <v>114</v>
      </c>
    </row>
    <row r="128" spans="1:10" x14ac:dyDescent="0.35">
      <c r="A128" s="6" t="s">
        <v>103</v>
      </c>
      <c r="D128" s="14">
        <v>2.7236334374079353E-5</v>
      </c>
      <c r="E128" s="6" t="s">
        <v>6</v>
      </c>
      <c r="F128" s="6" t="s">
        <v>42</v>
      </c>
      <c r="G128" s="6" t="s">
        <v>43</v>
      </c>
      <c r="H128" s="6" t="s">
        <v>48</v>
      </c>
      <c r="J128" s="6" t="s">
        <v>114</v>
      </c>
    </row>
    <row r="129" spans="1:14" x14ac:dyDescent="0.35">
      <c r="A129" s="6" t="s">
        <v>99</v>
      </c>
      <c r="D129" s="14">
        <v>1.8157556249386236E-7</v>
      </c>
      <c r="E129" s="6" t="s">
        <v>6</v>
      </c>
      <c r="F129" s="6" t="s">
        <v>42</v>
      </c>
      <c r="G129" s="6" t="s">
        <v>43</v>
      </c>
      <c r="H129" s="6" t="s">
        <v>48</v>
      </c>
      <c r="J129" s="6" t="s">
        <v>114</v>
      </c>
    </row>
    <row r="130" spans="1:14" x14ac:dyDescent="0.35">
      <c r="A130" s="6" t="s">
        <v>49</v>
      </c>
      <c r="D130" s="14">
        <v>4.4100420998802244E-6</v>
      </c>
      <c r="E130" s="6" t="s">
        <v>6</v>
      </c>
      <c r="F130" s="6" t="s">
        <v>42</v>
      </c>
      <c r="G130" s="6" t="s">
        <v>43</v>
      </c>
      <c r="H130" s="6" t="s">
        <v>48</v>
      </c>
      <c r="J130" s="6" t="s">
        <v>114</v>
      </c>
    </row>
    <row r="131" spans="1:14" x14ac:dyDescent="0.35">
      <c r="A131" s="6" t="s">
        <v>54</v>
      </c>
      <c r="D131" s="14">
        <v>4.4100420998802244E-7</v>
      </c>
      <c r="E131" s="6" t="s">
        <v>6</v>
      </c>
      <c r="F131" s="6" t="s">
        <v>42</v>
      </c>
      <c r="G131" s="6" t="s">
        <v>43</v>
      </c>
      <c r="H131" s="6" t="s">
        <v>48</v>
      </c>
      <c r="J131" s="6" t="s">
        <v>114</v>
      </c>
    </row>
    <row r="132" spans="1:14" x14ac:dyDescent="0.35">
      <c r="A132" s="6" t="s">
        <v>102</v>
      </c>
      <c r="D132" s="14">
        <v>7.3532939145701998E-6</v>
      </c>
      <c r="E132" s="6" t="s">
        <v>6</v>
      </c>
      <c r="F132" s="6" t="s">
        <v>42</v>
      </c>
      <c r="G132" s="6" t="s">
        <v>43</v>
      </c>
      <c r="H132" s="6" t="s">
        <v>48</v>
      </c>
      <c r="J132" s="6" t="s">
        <v>114</v>
      </c>
    </row>
    <row r="133" spans="1:14" s="16" customFormat="1" x14ac:dyDescent="0.35"/>
    <row r="134" spans="1:14" x14ac:dyDescent="0.35">
      <c r="A134" s="15" t="s">
        <v>0</v>
      </c>
      <c r="B134" s="15" t="s">
        <v>191</v>
      </c>
    </row>
    <row r="135" spans="1:14" x14ac:dyDescent="0.35">
      <c r="A135" s="8" t="s">
        <v>1</v>
      </c>
      <c r="B135" s="6" t="s">
        <v>93</v>
      </c>
    </row>
    <row r="136" spans="1:14" x14ac:dyDescent="0.35">
      <c r="A136" s="8" t="s">
        <v>2</v>
      </c>
      <c r="B136" s="6" t="s">
        <v>96</v>
      </c>
    </row>
    <row r="137" spans="1:14" x14ac:dyDescent="0.35">
      <c r="A137" s="8" t="s">
        <v>4</v>
      </c>
      <c r="B137" s="6">
        <v>1</v>
      </c>
    </row>
    <row r="138" spans="1:14" x14ac:dyDescent="0.35">
      <c r="A138" s="8" t="s">
        <v>5</v>
      </c>
      <c r="B138" s="6" t="s">
        <v>6</v>
      </c>
    </row>
    <row r="139" spans="1:14" x14ac:dyDescent="0.35">
      <c r="A139" s="8" t="s">
        <v>7</v>
      </c>
      <c r="B139" s="14" t="s">
        <v>192</v>
      </c>
    </row>
    <row r="140" spans="1:14" x14ac:dyDescent="0.35">
      <c r="A140" s="8" t="s">
        <v>9</v>
      </c>
    </row>
    <row r="141" spans="1:14" x14ac:dyDescent="0.35">
      <c r="A141" s="15" t="s">
        <v>10</v>
      </c>
      <c r="B141" s="15" t="s">
        <v>1</v>
      </c>
      <c r="C141" s="15" t="s">
        <v>2</v>
      </c>
      <c r="D141" s="15" t="s">
        <v>4</v>
      </c>
      <c r="E141" s="15" t="s">
        <v>5</v>
      </c>
      <c r="F141" s="15" t="s">
        <v>11</v>
      </c>
      <c r="G141" s="15" t="s">
        <v>12</v>
      </c>
      <c r="H141" s="15" t="s">
        <v>13</v>
      </c>
      <c r="I141" s="15" t="s">
        <v>14</v>
      </c>
      <c r="J141" s="15" t="s">
        <v>15</v>
      </c>
      <c r="K141" s="15" t="s">
        <v>16</v>
      </c>
      <c r="L141" s="15" t="s">
        <v>17</v>
      </c>
      <c r="M141" s="15" t="s">
        <v>18</v>
      </c>
      <c r="N141" s="15" t="s">
        <v>19</v>
      </c>
    </row>
    <row r="142" spans="1:14" x14ac:dyDescent="0.35">
      <c r="A142" s="6" t="str">
        <f>B134</f>
        <v>Te recovery from Cu production in Sweden/Rönnskärsverken</v>
      </c>
      <c r="B142" s="6" t="str">
        <f>B135</f>
        <v>CuTe</v>
      </c>
      <c r="C142" s="6" t="s">
        <v>96</v>
      </c>
      <c r="D142" s="6">
        <v>1</v>
      </c>
      <c r="E142" s="6" t="s">
        <v>6</v>
      </c>
      <c r="F142" s="9" t="str">
        <f>F60</f>
        <v>Tellurium</v>
      </c>
      <c r="G142" s="6" t="s">
        <v>20</v>
      </c>
    </row>
    <row r="143" spans="1:14" x14ac:dyDescent="0.35">
      <c r="A143" s="6" t="str">
        <f>A60</f>
        <v>[P+R] Copper telluride (CuTe) production - Pyrometallurgy (Sweden)</v>
      </c>
      <c r="B143" s="6" t="str">
        <f>B60</f>
        <v>CuTe</v>
      </c>
      <c r="C143" s="6" t="str">
        <f>C60</f>
        <v>SE</v>
      </c>
      <c r="D143" s="6">
        <v>1</v>
      </c>
      <c r="E143" s="6" t="str">
        <f>E60</f>
        <v>kilogram</v>
      </c>
      <c r="F143" s="9" t="str">
        <f>F60</f>
        <v>Tellurium</v>
      </c>
      <c r="G143" s="6" t="s">
        <v>22</v>
      </c>
    </row>
    <row r="144" spans="1:14" x14ac:dyDescent="0.35">
      <c r="A144" s="6" t="str">
        <f>A9</f>
        <v>[M+C] Copper (Cu) ore mining and concentration (Sweden)</v>
      </c>
      <c r="B144" s="6" t="str">
        <f>B9</f>
        <v>Cu concentrate</v>
      </c>
      <c r="C144" s="6" t="str">
        <f>C9</f>
        <v>SE</v>
      </c>
      <c r="D144" s="14">
        <v>5.8795831721368392</v>
      </c>
      <c r="E144" s="6" t="str">
        <f>E9</f>
        <v>kilogram</v>
      </c>
      <c r="F144" s="9" t="str">
        <f>F9</f>
        <v>Tellurium</v>
      </c>
      <c r="G144" s="6" t="s">
        <v>22</v>
      </c>
    </row>
    <row r="145" spans="1:14" s="16" customFormat="1" x14ac:dyDescent="0.35"/>
    <row r="146" spans="1:14" x14ac:dyDescent="0.35">
      <c r="A146" s="15" t="s">
        <v>0</v>
      </c>
      <c r="B146" s="15" t="s">
        <v>195</v>
      </c>
    </row>
    <row r="147" spans="1:14" x14ac:dyDescent="0.35">
      <c r="A147" s="8" t="s">
        <v>1</v>
      </c>
      <c r="B147" s="6" t="s">
        <v>111</v>
      </c>
    </row>
    <row r="148" spans="1:14" x14ac:dyDescent="0.35">
      <c r="A148" s="8" t="s">
        <v>2</v>
      </c>
      <c r="B148" s="6" t="s">
        <v>96</v>
      </c>
    </row>
    <row r="149" spans="1:14" x14ac:dyDescent="0.35">
      <c r="A149" s="8" t="s">
        <v>4</v>
      </c>
      <c r="B149" s="6">
        <v>1</v>
      </c>
    </row>
    <row r="150" spans="1:14" x14ac:dyDescent="0.35">
      <c r="A150" s="8" t="s">
        <v>5</v>
      </c>
      <c r="B150" s="6" t="s">
        <v>6</v>
      </c>
    </row>
    <row r="151" spans="1:14" ht="29" x14ac:dyDescent="0.35">
      <c r="A151" s="8" t="s">
        <v>7</v>
      </c>
      <c r="B151" s="13" t="s">
        <v>196</v>
      </c>
    </row>
    <row r="152" spans="1:14" x14ac:dyDescent="0.35">
      <c r="A152" s="8" t="s">
        <v>9</v>
      </c>
    </row>
    <row r="153" spans="1:14" x14ac:dyDescent="0.35">
      <c r="A153" s="15" t="s">
        <v>10</v>
      </c>
      <c r="B153" s="15" t="s">
        <v>1</v>
      </c>
      <c r="C153" s="15" t="s">
        <v>2</v>
      </c>
      <c r="D153" s="15" t="s">
        <v>4</v>
      </c>
      <c r="E153" s="15" t="s">
        <v>5</v>
      </c>
      <c r="F153" s="15" t="s">
        <v>11</v>
      </c>
      <c r="G153" s="15" t="s">
        <v>12</v>
      </c>
      <c r="H153" s="15" t="s">
        <v>13</v>
      </c>
      <c r="I153" s="15" t="s">
        <v>14</v>
      </c>
      <c r="J153" s="15" t="s">
        <v>15</v>
      </c>
      <c r="K153" s="15" t="s">
        <v>16</v>
      </c>
      <c r="L153" s="15" t="s">
        <v>17</v>
      </c>
      <c r="M153" s="15" t="s">
        <v>18</v>
      </c>
      <c r="N153" s="15" t="s">
        <v>19</v>
      </c>
    </row>
    <row r="154" spans="1:14" x14ac:dyDescent="0.35">
      <c r="A154" s="6" t="str">
        <f>B146</f>
        <v>Te recovery from Cu production in Sweden/Rönnskärsverken (Te content)</v>
      </c>
      <c r="B154" s="6" t="str">
        <f>B147</f>
        <v>CuTe (Te content)</v>
      </c>
      <c r="C154" s="6" t="s">
        <v>96</v>
      </c>
      <c r="D154" s="6">
        <v>1</v>
      </c>
      <c r="E154" s="6" t="s">
        <v>6</v>
      </c>
      <c r="F154" s="9" t="str">
        <f>F142</f>
        <v>Tellurium</v>
      </c>
      <c r="G154" s="6" t="s">
        <v>20</v>
      </c>
    </row>
    <row r="155" spans="1:14" x14ac:dyDescent="0.35">
      <c r="A155" s="6" t="str">
        <f>A143</f>
        <v>[P+R] Copper telluride (CuTe) production - Pyrometallurgy (Sweden)</v>
      </c>
      <c r="B155" s="6" t="str">
        <f t="shared" ref="B155:G155" si="0">B143</f>
        <v>CuTe</v>
      </c>
      <c r="C155" s="6" t="str">
        <f t="shared" si="0"/>
        <v>SE</v>
      </c>
      <c r="D155" s="6">
        <v>1.4976489028213167</v>
      </c>
      <c r="E155" s="6" t="str">
        <f t="shared" si="0"/>
        <v>kilogram</v>
      </c>
      <c r="F155" s="9" t="str">
        <f t="shared" si="0"/>
        <v>Tellurium</v>
      </c>
      <c r="G155" s="6" t="str">
        <f t="shared" si="0"/>
        <v>technosphere</v>
      </c>
    </row>
    <row r="156" spans="1:14" x14ac:dyDescent="0.35">
      <c r="A156" s="6" t="str">
        <f>A144</f>
        <v>[M+C] Copper (Cu) ore mining and concentration (Sweden)</v>
      </c>
      <c r="B156" s="6" t="str">
        <f t="shared" ref="B156:G156" si="1">B144</f>
        <v>Cu concentrate</v>
      </c>
      <c r="C156" s="6" t="str">
        <f t="shared" si="1"/>
        <v>SE</v>
      </c>
      <c r="D156" s="14">
        <v>8.8055512867974137</v>
      </c>
      <c r="E156" s="6" t="str">
        <f t="shared" si="1"/>
        <v>kilogram</v>
      </c>
      <c r="F156" s="9" t="str">
        <f t="shared" si="1"/>
        <v>Tellurium</v>
      </c>
      <c r="G156" s="6" t="str">
        <f t="shared" si="1"/>
        <v>technosphere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41122952C13D46BBBC92EEAE11CF32" ma:contentTypeVersion="13" ma:contentTypeDescription="Crée un document." ma:contentTypeScope="" ma:versionID="d96b5fa62e5213e7d24e66b2bac0c378">
  <xsd:schema xmlns:xsd="http://www.w3.org/2001/XMLSchema" xmlns:xs="http://www.w3.org/2001/XMLSchema" xmlns:p="http://schemas.microsoft.com/office/2006/metadata/properties" xmlns:ns2="d78c010b-218d-4be4-b2d9-423b1f51aae5" xmlns:ns3="adc0c41a-12c1-4165-8422-5f5ca88e9f6a" targetNamespace="http://schemas.microsoft.com/office/2006/metadata/properties" ma:root="true" ma:fieldsID="c2e8fc9a9c70fab2c0f7259df75af726" ns2:_="" ns3:_="">
    <xsd:import namespace="d78c010b-218d-4be4-b2d9-423b1f51aae5"/>
    <xsd:import namespace="adc0c41a-12c1-4165-8422-5f5ca88e9f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8c010b-218d-4be4-b2d9-423b1f51a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dd53d8bb-88b5-477e-9788-ab5cb1008f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0c41a-12c1-4165-8422-5f5ca88e9f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f8ce134-c725-4f6f-a6f6-5df0359a5c7e}" ma:internalName="TaxCatchAll" ma:showField="CatchAllData" ma:web="adc0c41a-12c1-4165-8422-5f5ca88e9f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8c010b-218d-4be4-b2d9-423b1f51aae5">
      <Terms xmlns="http://schemas.microsoft.com/office/infopath/2007/PartnerControls"/>
    </lcf76f155ced4ddcb4097134ff3c332f>
    <TaxCatchAll xmlns="adc0c41a-12c1-4165-8422-5f5ca88e9f6a" xsi:nil="true"/>
  </documentManagement>
</p:properties>
</file>

<file path=customXml/itemProps1.xml><?xml version="1.0" encoding="utf-8"?>
<ds:datastoreItem xmlns:ds="http://schemas.openxmlformats.org/officeDocument/2006/customXml" ds:itemID="{B3BB77A6-F983-4E6C-A842-C9B9848B06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5D9AEE-8585-41F3-BE4C-E4D8F6078B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8c010b-218d-4be4-b2d9-423b1f51aae5"/>
    <ds:schemaRef ds:uri="adc0c41a-12c1-4165-8422-5f5ca88e9f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75D27E-1B87-400D-886F-79FE66C57CA4}">
  <ds:schemaRefs>
    <ds:schemaRef ds:uri="http://schemas.microsoft.com/office/2006/metadata/properties"/>
    <ds:schemaRef ds:uri="http://schemas.microsoft.com/office/infopath/2007/PartnerControls"/>
    <ds:schemaRef ds:uri="d78c010b-218d-4be4-b2d9-423b1f51aae5"/>
    <ds:schemaRef ds:uri="adc0c41a-12c1-4165-8422-5f5ca88e9f6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Note</vt:lpstr>
      <vt:lpstr>Te_Market_GLO</vt:lpstr>
      <vt:lpstr>PR1_Te_CN_CuSlime</vt:lpstr>
      <vt:lpstr>PR2_Te_SE_Pyro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 Frederic</cp:lastModifiedBy>
  <dcterms:created xsi:type="dcterms:W3CDTF">2015-06-05T18:19:34Z</dcterms:created>
  <dcterms:modified xsi:type="dcterms:W3CDTF">2025-07-04T15:12:39Z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0x0101004741122952C13D46BBBC92EEAE11CF32</vt:lpwstr>
  </property>
  <property fmtid="{D5CDD505-2E9C-101B-9397-08002B2CF9AE}" pid="3" name="MediaServiceImageTags">
    <vt:lpwstr/>
  </property>
</Properties>
</file>