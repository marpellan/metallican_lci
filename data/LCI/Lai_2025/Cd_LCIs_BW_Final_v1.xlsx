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brgm365.sharepoint.com/sites/RPPEXIMPMET/Documents partages/General/P2/04_Data/04_Modelling/02_LCI modelling/Cd_Cadmium/"/>
    </mc:Choice>
  </mc:AlternateContent>
  <xr:revisionPtr revIDLastSave="50" documentId="8_{38C839BA-3F0C-4B2B-ACC6-B23204D99651}" xr6:coauthVersionLast="47" xr6:coauthVersionMax="47" xr10:uidLastSave="{99F4EA73-2549-4AF5-A831-4AA17434A68D}"/>
  <bookViews>
    <workbookView xWindow="-23148" yWindow="-108" windowWidth="23256" windowHeight="12576" tabRatio="768" xr2:uid="{00000000-000D-0000-FFFF-FFFF00000000}"/>
  </bookViews>
  <sheets>
    <sheet name="Note" sheetId="1" r:id="rId1"/>
    <sheet name="Cd_Market_GLO" sheetId="7" r:id="rId2"/>
    <sheet name="PR1_Cd_CA_KiddCreek" sheetId="10" r:id="rId3"/>
    <sheet name="PR2_Cd_CN_Yangtze_Hydro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7" l="1"/>
  <c r="C12" i="7"/>
  <c r="E12" i="7"/>
  <c r="F12" i="7"/>
  <c r="A12" i="7"/>
  <c r="F9" i="10"/>
  <c r="F22" i="10" s="1"/>
  <c r="E58" i="10"/>
  <c r="B58" i="10"/>
  <c r="A58" i="10"/>
  <c r="E57" i="10"/>
  <c r="B56" i="10"/>
  <c r="A56" i="10"/>
  <c r="C22" i="10"/>
  <c r="C57" i="10" s="1"/>
  <c r="B22" i="10"/>
  <c r="B57" i="10" s="1"/>
  <c r="A22" i="10"/>
  <c r="A57" i="10" s="1"/>
  <c r="C9" i="10"/>
  <c r="C58" i="10" s="1"/>
  <c r="B9" i="10"/>
  <c r="A9" i="10"/>
  <c r="F56" i="9"/>
  <c r="F179" i="9" s="1"/>
  <c r="F9" i="9"/>
  <c r="F180" i="9" s="1"/>
  <c r="E181" i="9"/>
  <c r="C181" i="9"/>
  <c r="B181" i="9"/>
  <c r="A181" i="9"/>
  <c r="B56" i="9"/>
  <c r="B179" i="9" s="1"/>
  <c r="A56" i="9"/>
  <c r="A179" i="9" s="1"/>
  <c r="E180" i="9"/>
  <c r="C180" i="9"/>
  <c r="B180" i="9"/>
  <c r="A180" i="9"/>
  <c r="E179" i="9"/>
  <c r="C179" i="9"/>
  <c r="E178" i="9"/>
  <c r="E13" i="7" s="1"/>
  <c r="C178" i="9"/>
  <c r="C13" i="7" s="1"/>
  <c r="B178" i="9"/>
  <c r="B13" i="7" s="1"/>
  <c r="A178" i="9"/>
  <c r="A13" i="7" s="1"/>
  <c r="E137" i="9"/>
  <c r="C137" i="9"/>
  <c r="C89" i="9" s="1"/>
  <c r="B137" i="9"/>
  <c r="B89" i="9" s="1"/>
  <c r="A137" i="9"/>
  <c r="A89" i="9" s="1"/>
  <c r="E113" i="9"/>
  <c r="C113" i="9"/>
  <c r="C88" i="9" s="1"/>
  <c r="B113" i="9"/>
  <c r="B88" i="9" s="1"/>
  <c r="A113" i="9"/>
  <c r="A88" i="9" s="1"/>
  <c r="B87" i="9"/>
  <c r="B57" i="9" s="1"/>
  <c r="A87" i="9"/>
  <c r="A57" i="9" s="1"/>
  <c r="E57" i="9"/>
  <c r="C57" i="9"/>
  <c r="F11" i="7"/>
  <c r="E11" i="7"/>
  <c r="C11" i="7"/>
  <c r="B11" i="7"/>
  <c r="A11" i="7"/>
  <c r="F88" i="9" l="1"/>
  <c r="F89" i="9"/>
  <c r="F113" i="9"/>
  <c r="F137" i="9" s="1"/>
  <c r="F162" i="9" s="1"/>
  <c r="F181" i="9" s="1"/>
  <c r="F57" i="9"/>
  <c r="F87" i="9"/>
  <c r="F57" i="10"/>
  <c r="F56" i="10"/>
  <c r="F58" i="10"/>
  <c r="F178" i="9" l="1"/>
  <c r="F13" i="7" s="1"/>
</calcChain>
</file>

<file path=xl/sharedStrings.xml><?xml version="1.0" encoding="utf-8"?>
<sst xmlns="http://schemas.openxmlformats.org/spreadsheetml/2006/main" count="1192" uniqueCount="165">
  <si>
    <t>Activity</t>
  </si>
  <si>
    <t>reference product</t>
  </si>
  <si>
    <t>Zn concentrate</t>
  </si>
  <si>
    <t>location</t>
  </si>
  <si>
    <t>CN</t>
  </si>
  <si>
    <t>amount</t>
  </si>
  <si>
    <t>unit</t>
  </si>
  <si>
    <t>kilogram</t>
  </si>
  <si>
    <t>comment</t>
  </si>
  <si>
    <t>Exchanges</t>
  </si>
  <si>
    <t>name</t>
  </si>
  <si>
    <t>database</t>
  </si>
  <si>
    <t>type</t>
  </si>
  <si>
    <t>categories</t>
  </si>
  <si>
    <t>uncertainty type</t>
  </si>
  <si>
    <t>pedigree</t>
  </si>
  <si>
    <t>loc</t>
  </si>
  <si>
    <t>scale</t>
  </si>
  <si>
    <t>minimum</t>
  </si>
  <si>
    <t>maximum</t>
  </si>
  <si>
    <t>production</t>
  </si>
  <si>
    <t>market for explosive, tovex</t>
  </si>
  <si>
    <t>explosive, tovex</t>
  </si>
  <si>
    <t>GLO</t>
  </si>
  <si>
    <t>ecoinvent 3.10 cutoff</t>
  </si>
  <si>
    <t>technosphere</t>
  </si>
  <si>
    <t>market for sodium ethyl xanthate</t>
  </si>
  <si>
    <t>sodium ethyl xanthate</t>
  </si>
  <si>
    <t>market for lime, packed</t>
  </si>
  <si>
    <t>lime, packed</t>
  </si>
  <si>
    <t>RoW</t>
  </si>
  <si>
    <t>market for copper sulfate</t>
  </si>
  <si>
    <t>copper sulfate</t>
  </si>
  <si>
    <t>market for diesel, burned in building machine</t>
  </si>
  <si>
    <t>diesel, burned in building machine</t>
  </si>
  <si>
    <t>megajoule</t>
  </si>
  <si>
    <t>market group for electricity, medium voltage</t>
  </si>
  <si>
    <t>electricity, medium voltage</t>
  </si>
  <si>
    <t>kilowatt hour</t>
  </si>
  <si>
    <t>cubic meter</t>
  </si>
  <si>
    <t>inert waste, for final disposal</t>
  </si>
  <si>
    <t>Zinc</t>
  </si>
  <si>
    <t>biosphere3</t>
  </si>
  <si>
    <t>biosphere</t>
  </si>
  <si>
    <t>natural resource::in ground</t>
  </si>
  <si>
    <t>Water, unspecified natural origin</t>
  </si>
  <si>
    <t>market for natural gas, high pressure</t>
  </si>
  <si>
    <t>natural gas, high pressure</t>
  </si>
  <si>
    <t>ton kilometer</t>
  </si>
  <si>
    <t>Sulfur dioxide</t>
  </si>
  <si>
    <t>air</t>
  </si>
  <si>
    <t>Sulfuric acid</t>
  </si>
  <si>
    <t>Lead II</t>
  </si>
  <si>
    <t>Mercury II</t>
  </si>
  <si>
    <t>Particulate Matter, &gt; 2.5 um and &lt; 10um</t>
  </si>
  <si>
    <t>COD, Chemical Oxygen Demand</t>
  </si>
  <si>
    <t>water</t>
  </si>
  <si>
    <t>Zinc II</t>
  </si>
  <si>
    <t>Arsenic ion</t>
  </si>
  <si>
    <t>Cadmium II</t>
  </si>
  <si>
    <t>n/a</t>
  </si>
  <si>
    <t>(1,1,1,1,1)</t>
  </si>
  <si>
    <t>market for hard coal</t>
  </si>
  <si>
    <t>hard coal</t>
  </si>
  <si>
    <t>market for steel, low-alloyed</t>
  </si>
  <si>
    <t>steel, low-alloyed</t>
  </si>
  <si>
    <t>market for chemical, inorganic</t>
  </si>
  <si>
    <t>chemical, inorganic</t>
  </si>
  <si>
    <t>Fluorine</t>
  </si>
  <si>
    <t>Chlorine</t>
  </si>
  <si>
    <t>Refining material</t>
  </si>
  <si>
    <t>market for coke</t>
  </si>
  <si>
    <t>coke</t>
  </si>
  <si>
    <t>market for zinc slag</t>
  </si>
  <si>
    <t>zinc slag</t>
  </si>
  <si>
    <t>market for hazardous waste, for underground deposit</t>
  </si>
  <si>
    <t>hazardous waste, for underground deposit</t>
  </si>
  <si>
    <t>Nitrogen oxides</t>
  </si>
  <si>
    <t>market for scrap copper</t>
  </si>
  <si>
    <t>scrap copper</t>
  </si>
  <si>
    <t>market for lead smelter slag</t>
  </si>
  <si>
    <t>lead smelter slag</t>
  </si>
  <si>
    <t>market for inert waste, for final disposal</t>
  </si>
  <si>
    <t>Wastewater treatment</t>
  </si>
  <si>
    <t>Wastewater</t>
  </si>
  <si>
    <t>[M+C] Zinc (Zn) ore mining and concentration (Guangdong)</t>
  </si>
  <si>
    <t>(1,1,2,1,1)</t>
  </si>
  <si>
    <t>market for heat, district or industrial, other than natural gas</t>
  </si>
  <si>
    <t>heat, district or industrial, other than natural gas</t>
  </si>
  <si>
    <t>market for polymer foaming</t>
  </si>
  <si>
    <t>polymer foaming</t>
  </si>
  <si>
    <t>market for synthetic rubber</t>
  </si>
  <si>
    <t>synthetic rubber</t>
  </si>
  <si>
    <t>market for particleboard, uncoated</t>
  </si>
  <si>
    <t>particleboard, uncoated</t>
  </si>
  <si>
    <t>market for [thio]carbamate-compound</t>
  </si>
  <si>
    <t>[thio]carbamate-compound</t>
  </si>
  <si>
    <t>market for sulfuric acid</t>
  </si>
  <si>
    <t>sulfuric acid</t>
  </si>
  <si>
    <t>market for chemical, organic</t>
  </si>
  <si>
    <t>chemical, organic</t>
  </si>
  <si>
    <t>market for tap water</t>
  </si>
  <si>
    <t>tap water</t>
  </si>
  <si>
    <t>market for scrap steel</t>
  </si>
  <si>
    <t>scrap steel</t>
  </si>
  <si>
    <t>market for waste rubber, unspecified</t>
  </si>
  <si>
    <t>waste rubber, unspecified</t>
  </si>
  <si>
    <t>market for sulfidic tailings, from zinc-lead mine operation</t>
  </si>
  <si>
    <t>sulfidic tailings, from zinc-lead mine operation</t>
  </si>
  <si>
    <t>market for transport, freight, lorry 16-32 metric ton, EURO5</t>
  </si>
  <si>
    <t>transport, freight, lorry 16-32 metric ton, EURO5</t>
  </si>
  <si>
    <t>Lead</t>
  </si>
  <si>
    <t>Sulfur</t>
  </si>
  <si>
    <t>Iron</t>
  </si>
  <si>
    <t>Silver</t>
  </si>
  <si>
    <t>Gold</t>
  </si>
  <si>
    <t>Carbon dioxide, non-fossil</t>
  </si>
  <si>
    <t>Carbon monoxide, non-fossil</t>
  </si>
  <si>
    <t>Hydrocarbons, aromatic</t>
  </si>
  <si>
    <t xml:space="preserve">Refining material production - Volatilization kiln and multi chamber furnace </t>
  </si>
  <si>
    <t>Zn and Copper (Cu) waste treatment</t>
  </si>
  <si>
    <t>Zn material</t>
  </si>
  <si>
    <t>Zn and Lead (Pb) waste treatment</t>
  </si>
  <si>
    <t>The co-produced sulfuric acid is dealt through substitution.</t>
  </si>
  <si>
    <t>Cadmium</t>
  </si>
  <si>
    <t>[P+R] Refined Cadmium (Cd) production - Hydrometallurgy (Yangtze)</t>
  </si>
  <si>
    <t>Refined Cd</t>
  </si>
  <si>
    <t>Cd recovery from Zn production in China/Yangtze through Hydrometallurgy</t>
  </si>
  <si>
    <t>Cadmium (Cd) global market</t>
  </si>
  <si>
    <t>market for sulfur trioxide</t>
  </si>
  <si>
    <t>sulfur trioxide</t>
  </si>
  <si>
    <t>[M+C] Zinc (Zn) ore mining and concentration (Canada)</t>
  </si>
  <si>
    <t>CA</t>
  </si>
  <si>
    <t>(1,5,5,3,3)</t>
  </si>
  <si>
    <t>market for heavy fuel oil, burned in refinery furnace</t>
  </si>
  <si>
    <t>heavy fuel oil, burned in refinery furnace</t>
  </si>
  <si>
    <t>(5,5,5,5,5)</t>
  </si>
  <si>
    <t>[P+R] Refined Cadmium (Cd) production - Pyrometallurgy</t>
  </si>
  <si>
    <t>(2,1,5,2,2)</t>
  </si>
  <si>
    <t>market for hard coal briquettes</t>
  </si>
  <si>
    <t>hard coal briquettes</t>
  </si>
  <si>
    <t>market for heat, district or industrial, natural gas</t>
  </si>
  <si>
    <t>heat, district or industrial, natural gas</t>
  </si>
  <si>
    <t>CA-QC</t>
  </si>
  <si>
    <t>Sulfur oxides</t>
  </si>
  <si>
    <t>(1,1,5,1,1)</t>
  </si>
  <si>
    <t>Chromium III</t>
  </si>
  <si>
    <t>Cobalt II</t>
  </si>
  <si>
    <t>Copper ion</t>
  </si>
  <si>
    <t>Nickel II</t>
  </si>
  <si>
    <t>Silver I</t>
  </si>
  <si>
    <t>Cd recovery from Zn production in Canada/Kidd Creek</t>
  </si>
  <si>
    <r>
      <rPr>
        <sz val="11"/>
        <color theme="5"/>
        <rFont val="Calibri"/>
        <family val="2"/>
        <scheme val="minor"/>
      </rPr>
      <t>This unit process is allocated, but with unknown allocation factors (not provided in the original data source).</t>
    </r>
    <r>
      <rPr>
        <sz val="11"/>
        <color rgb="FFFF0000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 xml:space="preserve">In the absence of detailed mass balance for this intermediary product, the reference flow of this unit process is set by default at 1 kg, while the input and ouput flows of the inventory are actually scaled to </t>
    </r>
    <r>
      <rPr>
        <b/>
        <sz val="11"/>
        <rFont val="Calibri"/>
        <family val="2"/>
        <scheme val="minor"/>
      </rPr>
      <t>1 kg of refined Cd</t>
    </r>
    <r>
      <rPr>
        <sz val="11"/>
        <rFont val="Calibri"/>
        <family val="2"/>
        <scheme val="minor"/>
      </rPr>
      <t>.</t>
    </r>
  </si>
  <si>
    <t>This unit process is allocated, but with unknown allocation factors (not provided in the original data source).</t>
  </si>
  <si>
    <r>
      <t xml:space="preserve">Allocated unit process, considering as allocation factors: </t>
    </r>
    <r>
      <rPr>
        <b/>
        <sz val="11"/>
        <color theme="5"/>
        <rFont val="Calibri"/>
        <family val="2"/>
        <scheme val="minor"/>
      </rPr>
      <t>56% for Zn (1 kg concentrate)</t>
    </r>
    <r>
      <rPr>
        <sz val="11"/>
        <color theme="5"/>
        <rFont val="Calibri"/>
        <family val="2"/>
        <scheme val="minor"/>
      </rPr>
      <t xml:space="preserve">, 21% for Pb (0.4 kg concentrate) and 23% for Pb-Zn (0.6 kg bulk concentrate).
</t>
    </r>
    <r>
      <rPr>
        <sz val="11"/>
        <color rgb="FF7030A0"/>
        <rFont val="Calibri"/>
        <family val="2"/>
        <scheme val="minor"/>
      </rPr>
      <t>The co-produced sulfur concentrate is dealt through substitution.</t>
    </r>
  </si>
  <si>
    <r>
      <t xml:space="preserve">Allocated unit process, considering as allocation factors: 97.2% for Zn (1 kg refined), </t>
    </r>
    <r>
      <rPr>
        <b/>
        <sz val="11"/>
        <color theme="5"/>
        <rFont val="Calibri"/>
        <family val="2"/>
        <scheme val="minor"/>
      </rPr>
      <t>0.6% for Cd (0.006 kg refined)</t>
    </r>
    <r>
      <rPr>
        <sz val="11"/>
        <color theme="5"/>
        <rFont val="Calibri"/>
        <family val="2"/>
        <scheme val="minor"/>
      </rPr>
      <t xml:space="preserve"> and 2.2% for In (0.0002 kg refined).</t>
    </r>
  </si>
  <si>
    <r>
      <t xml:space="preserve">Applied AF: "Zn concentrate" and "Wastewater" inputs = </t>
    </r>
    <r>
      <rPr>
        <b/>
        <sz val="11"/>
        <color theme="5"/>
        <rFont val="Calibri"/>
        <family val="2"/>
        <scheme val="minor"/>
      </rPr>
      <t>0.6%</t>
    </r>
    <r>
      <rPr>
        <sz val="11"/>
        <color theme="5"/>
        <rFont val="Calibri"/>
        <family val="2"/>
        <scheme val="minor"/>
      </rPr>
      <t>.</t>
    </r>
  </si>
  <si>
    <t>skip</t>
  </si>
  <si>
    <t>Sheet</t>
  </si>
  <si>
    <t>Corresponding route</t>
  </si>
  <si>
    <r>
      <rPr>
        <b/>
        <sz val="14"/>
        <color theme="1"/>
        <rFont val="Calibri"/>
        <family val="2"/>
        <scheme val="minor"/>
      </rPr>
      <t xml:space="preserve">Life cycle inventories of global metal and mineral supply chains: a comprehensive data review, analysis and processing </t>
    </r>
    <r>
      <rPr>
        <b/>
        <sz val="16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Frédéric Lai</t>
    </r>
    <r>
      <rPr>
        <vertAlign val="superscript"/>
        <sz val="11"/>
        <color theme="1"/>
        <rFont val="Calibri"/>
        <family val="2"/>
        <scheme val="minor"/>
      </rPr>
      <t>a*</t>
    </r>
    <r>
      <rPr>
        <sz val="11"/>
        <color theme="1"/>
        <rFont val="Calibri"/>
        <family val="2"/>
        <scheme val="minor"/>
      </rPr>
      <t>, Stéphanie Muller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Audrey Philippe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Robert Istrate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Brenda Miranda Xicotencatl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Afsoon Mansouri Aski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Aina Mas Fons</t>
    </r>
    <r>
      <rPr>
        <vertAlign val="superscript"/>
        <sz val="11"/>
        <color theme="1"/>
        <rFont val="Calibri"/>
        <family val="2"/>
        <scheme val="minor"/>
      </rPr>
      <t>d,a</t>
    </r>
    <r>
      <rPr>
        <sz val="11"/>
        <color theme="1"/>
        <rFont val="Calibri"/>
        <family val="2"/>
        <scheme val="minor"/>
      </rPr>
      <t>, Juliana Segura-Salazar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Jair Santillán Saldivar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Alexander Cimprich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Stephen Northey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, Lígia da Silva Lima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Lieselot Boone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Ryosuke Yokoi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Kamrul Islam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Ioanna Paschalidou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Felipe Cerdas</t>
    </r>
    <r>
      <rPr>
        <vertAlign val="superscript"/>
        <sz val="11"/>
        <color theme="1"/>
        <rFont val="Calibri"/>
        <family val="2"/>
        <scheme val="minor"/>
      </rPr>
      <t>k,l</t>
    </r>
    <r>
      <rPr>
        <sz val="11"/>
        <color theme="1"/>
        <rFont val="Calibri"/>
        <family val="2"/>
        <scheme val="minor"/>
      </rPr>
      <t>, Victor Balboa-Espinoza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Anish Koyamparambath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Diae Hennioui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Victoire Collignon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Aurélien Reys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Gyslain Ngadi Sakatadi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, Jo Dewulf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Bernhard Steubing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Christoph Helbig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Gaétan Lefebvre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Gian Andrea Blengini</t>
    </r>
    <r>
      <rPr>
        <vertAlign val="superscript"/>
        <sz val="11"/>
        <color theme="1"/>
        <rFont val="Calibri"/>
        <family val="2"/>
        <scheme val="minor"/>
      </rPr>
      <t>n,m</t>
    </r>
    <r>
      <rPr>
        <sz val="11"/>
        <color theme="1"/>
        <rFont val="Calibri"/>
        <family val="2"/>
        <scheme val="minor"/>
      </rPr>
      <t>, Valeria Superti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, Masaharu Motoshita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Guido Sonnemann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Kwame Awuah-Offei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Steven B. Young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Shinsuke Murakami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, Antoine Beylot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
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BRGM, F-45060 Orléans, France
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Institute of Environmental Sciences (CML), Leiden University, Einsteinweg 2, 2333 CC Leiden, NL
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Ecological Resource Technology, University of Bayreuth, Universitätstr. 30, 95447 Bayreuth, Germany
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Univ. Bordeaux, CNRS, Bordeaux INP, ISM, UMR 5255, F-33400 Talence, France
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Sustainable Minerals Institute, The University of Queensland, QLD, 4072, Australia
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School of Environment, Enterprise and Development, University of Waterloo, 200 University Avenue West, Waterloo, Ontario N2L 3G1, Canada
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 xml:space="preserve">University of Technology Sydney, Institute for Sustainable Futures, Australia
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Sustainable Systems Engineering (STEN), Department of Green Chemistry and Technology, Faculty of Bioscience Engineering, Ghent University, Coupure Links 653, 9000 Ghent, Belgium
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AIST, 305-8569 Tsukuba, Japan
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 xml:space="preserve">Mining &amp; Explosives Engineering, Missouri University of Science &amp; Technology, Rolla, MO, USA 65409
</t>
    </r>
    <r>
      <rPr>
        <vertAlign val="superscript"/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 xml:space="preserve">Institute for Sustainable Energy Systems (INSYS), Technical University of Applied Sciences Würzburg-Schweinfurt (THWS), Ignaz-Schön-Straße 11, Schweinfurt, Germany 
</t>
    </r>
    <r>
      <rPr>
        <vertAlign val="super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Fraunhofer Institute for Surface Engineering and Thin Films IST, Riedenkamp 2, Braunschweig 38108, Germany
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Department of Environment, Land and Infrastructure Engineering, Politecnico di Torino, Corso Duca degli Abruzzi, 24, 10129 Torino, Italy
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University of Turin, Earth Sciences Department (DST), Via Valperga Caluso, 35 – 10125 Torino, Italy
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ecoinvent association, Technopark, Technoparkstrasse 1, 8005 Zürich, Switzerland 
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Graduate School of Engineering, The University of Tokyo, Tokyo 113-8656, Japan
*Corresponding author: </t>
    </r>
    <r>
      <rPr>
        <u/>
        <sz val="11"/>
        <color theme="1"/>
        <rFont val="Calibri"/>
        <family val="2"/>
        <scheme val="minor"/>
      </rPr>
      <t xml:space="preserve">f.lai@brgm.fr
</t>
    </r>
    <r>
      <rPr>
        <sz val="11"/>
        <color theme="1"/>
        <rFont val="Calibri"/>
        <family val="2"/>
        <scheme val="minor"/>
      </rPr>
      <t>This file provides all LCI datasets developed for</t>
    </r>
    <r>
      <rPr>
        <b/>
        <sz val="11"/>
        <color theme="1"/>
        <rFont val="Calibri"/>
        <family val="2"/>
        <scheme val="minor"/>
      </rPr>
      <t xml:space="preserve"> Cadmium (Cd)</t>
    </r>
    <r>
      <rPr>
        <sz val="11"/>
        <color theme="1"/>
        <rFont val="Calibri"/>
        <family val="2"/>
        <scheme val="minor"/>
      </rPr>
      <t>, with distinguishing its global market and each individual production route.</t>
    </r>
  </si>
  <si>
    <t>Cd global market</t>
  </si>
  <si>
    <t>Cd_Market_GLO</t>
  </si>
  <si>
    <t>PR1_Cd_CA_KiddCreek</t>
  </si>
  <si>
    <t>PR2_Cd_CN_Yangtze_Hydro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</si>
</sst>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rgb="FF7030A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2" borderId="0" xfId="0" applyFill="1"/>
    <xf numFmtId="0" fontId="4" fillId="0" borderId="0" xfId="0" applyFont="1" applyAlignment="1">
      <alignment horizontal="left" vertical="top"/>
    </xf>
    <xf numFmtId="0" fontId="0" fillId="3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0" fillId="0" borderId="4" xfId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10" fillId="0" borderId="6" xfId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Q36"/>
  <sheetViews>
    <sheetView showGridLines="0" tabSelected="1" topLeftCell="A15" zoomScaleNormal="100" workbookViewId="0">
      <selection activeCell="J37" sqref="J37"/>
    </sheetView>
  </sheetViews>
  <sheetFormatPr baseColWidth="10" defaultRowHeight="14.5" x14ac:dyDescent="0.35"/>
  <cols>
    <col min="1" max="1" width="1.81640625" customWidth="1"/>
    <col min="2" max="2" width="31.81640625" bestFit="1" customWidth="1"/>
    <col min="3" max="3" width="11.453125" customWidth="1"/>
  </cols>
  <sheetData>
    <row r="1" spans="1:17" ht="15" thickBot="1" x14ac:dyDescent="0.4">
      <c r="A1" t="s">
        <v>157</v>
      </c>
    </row>
    <row r="2" spans="1:17" ht="15" customHeight="1" x14ac:dyDescent="0.35">
      <c r="B2" s="20" t="s">
        <v>160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2"/>
    </row>
    <row r="3" spans="1:17" x14ac:dyDescent="0.35"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5"/>
    </row>
    <row r="4" spans="1:17" x14ac:dyDescent="0.35"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5"/>
    </row>
    <row r="5" spans="1:17" x14ac:dyDescent="0.35">
      <c r="B5" s="23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5"/>
    </row>
    <row r="6" spans="1:17" x14ac:dyDescent="0.35">
      <c r="B6" s="23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5"/>
    </row>
    <row r="7" spans="1:17" x14ac:dyDescent="0.35">
      <c r="B7" s="23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</row>
    <row r="8" spans="1:17" x14ac:dyDescent="0.35">
      <c r="B8" s="23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5"/>
    </row>
    <row r="9" spans="1:17" x14ac:dyDescent="0.35">
      <c r="B9" s="23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5"/>
    </row>
    <row r="10" spans="1:17" x14ac:dyDescent="0.35">
      <c r="B10" s="23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5"/>
    </row>
    <row r="11" spans="1:17" x14ac:dyDescent="0.35"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5"/>
    </row>
    <row r="12" spans="1:17" x14ac:dyDescent="0.35">
      <c r="B12" s="23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5"/>
    </row>
    <row r="13" spans="1:17" x14ac:dyDescent="0.35">
      <c r="B13" s="23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5"/>
    </row>
    <row r="14" spans="1:17" x14ac:dyDescent="0.35"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5"/>
    </row>
    <row r="15" spans="1:17" x14ac:dyDescent="0.35">
      <c r="B15" s="23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5"/>
    </row>
    <row r="16" spans="1:17" x14ac:dyDescent="0.35">
      <c r="B16" s="23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5"/>
    </row>
    <row r="17" spans="2:17" x14ac:dyDescent="0.35"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5"/>
    </row>
    <row r="18" spans="2:17" x14ac:dyDescent="0.35">
      <c r="B18" s="23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5"/>
    </row>
    <row r="19" spans="2:17" x14ac:dyDescent="0.35">
      <c r="B19" s="23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5"/>
    </row>
    <row r="20" spans="2:17" x14ac:dyDescent="0.35">
      <c r="B20" s="23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5"/>
    </row>
    <row r="21" spans="2:17" x14ac:dyDescent="0.35">
      <c r="B21" s="23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5"/>
    </row>
    <row r="22" spans="2:17" x14ac:dyDescent="0.35">
      <c r="B22" s="23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5"/>
    </row>
    <row r="23" spans="2:17" x14ac:dyDescent="0.35"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5"/>
    </row>
    <row r="24" spans="2:17" ht="15" customHeight="1" x14ac:dyDescent="0.35">
      <c r="B24" s="23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5"/>
    </row>
    <row r="25" spans="2:17" x14ac:dyDescent="0.35">
      <c r="B25" s="23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5"/>
    </row>
    <row r="26" spans="2:17" x14ac:dyDescent="0.35">
      <c r="B26" s="23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5"/>
    </row>
    <row r="27" spans="2:17" x14ac:dyDescent="0.35">
      <c r="B27" s="23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5"/>
    </row>
    <row r="28" spans="2:17" x14ac:dyDescent="0.35">
      <c r="B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5"/>
    </row>
    <row r="29" spans="2:17" x14ac:dyDescent="0.35">
      <c r="B29" s="23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5"/>
    </row>
    <row r="30" spans="2:17" x14ac:dyDescent="0.35">
      <c r="B30" s="23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5"/>
    </row>
    <row r="31" spans="2:17" ht="15" thickBot="1" x14ac:dyDescent="0.4">
      <c r="B31" s="26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8"/>
    </row>
    <row r="32" spans="2:17" ht="15" thickBot="1" x14ac:dyDescent="0.4"/>
    <row r="33" spans="2:10" x14ac:dyDescent="0.35">
      <c r="B33" s="29" t="s">
        <v>158</v>
      </c>
      <c r="C33" s="30" t="s">
        <v>159</v>
      </c>
      <c r="D33" s="31"/>
      <c r="E33" s="31"/>
      <c r="F33" s="31"/>
      <c r="G33" s="31"/>
      <c r="H33" s="32"/>
      <c r="I33" s="39"/>
      <c r="J33" s="39"/>
    </row>
    <row r="34" spans="2:10" x14ac:dyDescent="0.35">
      <c r="B34" s="33" t="s">
        <v>162</v>
      </c>
      <c r="C34" s="40" t="s">
        <v>161</v>
      </c>
      <c r="D34" s="39"/>
      <c r="E34" s="39"/>
      <c r="F34" s="39"/>
      <c r="G34" s="39"/>
      <c r="H34" s="34"/>
      <c r="I34" s="39"/>
      <c r="J34" s="39"/>
    </row>
    <row r="35" spans="2:10" x14ac:dyDescent="0.35">
      <c r="B35" s="33" t="s">
        <v>163</v>
      </c>
      <c r="C35" s="40" t="s">
        <v>151</v>
      </c>
      <c r="D35" s="39"/>
      <c r="E35" s="39"/>
      <c r="F35" s="39"/>
      <c r="G35" s="39"/>
      <c r="H35" s="34"/>
      <c r="I35" s="39"/>
      <c r="J35" s="39"/>
    </row>
    <row r="36" spans="2:10" ht="15" thickBot="1" x14ac:dyDescent="0.4">
      <c r="B36" s="35" t="s">
        <v>164</v>
      </c>
      <c r="C36" s="36" t="s">
        <v>127</v>
      </c>
      <c r="D36" s="37"/>
      <c r="E36" s="37"/>
      <c r="F36" s="37"/>
      <c r="G36" s="37"/>
      <c r="H36" s="38"/>
      <c r="I36" s="39"/>
      <c r="J36" s="39"/>
    </row>
  </sheetData>
  <mergeCells count="1">
    <mergeCell ref="B2:Q31"/>
  </mergeCells>
  <hyperlinks>
    <hyperlink ref="B34" location="Cd_Market_GLO!A1" display="Cd_Market_GLO" xr:uid="{B786F487-31E6-49EE-89C4-9F3BD7B43039}"/>
    <hyperlink ref="B35" location="PR1_Cd_CA_KiddCreek!A1" display="PR1_Cd_CA_KiddCreek" xr:uid="{41783B8C-2A43-430B-90B0-E5FF32427EF5}"/>
    <hyperlink ref="B36" location="PR2_Cd_CN_Yangtze_Hydro!A1" display="PR2_Cd_CN_Yangtze_Hydro" xr:uid="{92EE367F-1BCC-4B00-AD2A-07A013B9122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C3F53-79B7-4F8D-93EC-90A8F18C3E62}">
  <sheetPr>
    <tabColor theme="8" tint="0.39997558519241921"/>
  </sheetPr>
  <dimension ref="A1:N22"/>
  <sheetViews>
    <sheetView workbookViewId="0">
      <selection activeCell="A13" sqref="A13"/>
    </sheetView>
  </sheetViews>
  <sheetFormatPr baseColWidth="10" defaultRowHeight="14.5" x14ac:dyDescent="0.35"/>
  <cols>
    <col min="1" max="1" width="88.1796875" bestFit="1" customWidth="1"/>
    <col min="2" max="2" width="25.81640625" bestFit="1" customWidth="1"/>
    <col min="3" max="3" width="8.1796875" bestFit="1" customWidth="1"/>
    <col min="4" max="4" width="12" bestFit="1" customWidth="1"/>
    <col min="5" max="5" width="8.7265625" bestFit="1" customWidth="1"/>
    <col min="6" max="6" width="9.1796875" bestFit="1" customWidth="1"/>
    <col min="7" max="7" width="13.26953125" bestFit="1" customWidth="1"/>
    <col min="8" max="8" width="10.1796875" bestFit="1" customWidth="1"/>
    <col min="9" max="9" width="15.54296875" bestFit="1" customWidth="1"/>
    <col min="10" max="10" width="9" bestFit="1" customWidth="1"/>
    <col min="11" max="11" width="3.54296875" bestFit="1" customWidth="1"/>
    <col min="12" max="12" width="5.453125" bestFit="1" customWidth="1"/>
    <col min="13" max="13" width="9.54296875" bestFit="1" customWidth="1"/>
    <col min="14" max="14" width="9.81640625" bestFit="1" customWidth="1"/>
  </cols>
  <sheetData>
    <row r="1" spans="1:14" x14ac:dyDescent="0.35">
      <c r="A1" t="s">
        <v>11</v>
      </c>
      <c r="B1" s="4" t="s">
        <v>124</v>
      </c>
    </row>
    <row r="2" spans="1:14" s="5" customFormat="1" x14ac:dyDescent="0.35"/>
    <row r="3" spans="1:14" x14ac:dyDescent="0.35">
      <c r="A3" s="6" t="s">
        <v>0</v>
      </c>
      <c r="B3" s="2" t="s">
        <v>128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5">
      <c r="A4" s="3" t="s">
        <v>1</v>
      </c>
      <c r="B4" s="1" t="s">
        <v>126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5">
      <c r="A5" s="3" t="s">
        <v>3</v>
      </c>
      <c r="B5" s="1" t="s">
        <v>23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35">
      <c r="A6" s="3" t="s">
        <v>5</v>
      </c>
      <c r="B6" s="1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5">
      <c r="A7" s="3" t="s">
        <v>6</v>
      </c>
      <c r="B7" s="1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5">
      <c r="A8" s="3" t="s">
        <v>8</v>
      </c>
      <c r="B8" s="1" t="s">
        <v>60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35">
      <c r="A9" s="3" t="s">
        <v>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35">
      <c r="A10" s="6" t="s">
        <v>10</v>
      </c>
      <c r="B10" s="6" t="s">
        <v>1</v>
      </c>
      <c r="C10" s="6" t="s">
        <v>3</v>
      </c>
      <c r="D10" s="6" t="s">
        <v>5</v>
      </c>
      <c r="E10" s="6" t="s">
        <v>6</v>
      </c>
      <c r="F10" s="6" t="s">
        <v>11</v>
      </c>
      <c r="G10" s="6" t="s">
        <v>12</v>
      </c>
      <c r="H10" s="6" t="s">
        <v>13</v>
      </c>
      <c r="I10" s="6" t="s">
        <v>14</v>
      </c>
      <c r="J10" s="6" t="s">
        <v>15</v>
      </c>
      <c r="K10" s="6" t="s">
        <v>16</v>
      </c>
      <c r="L10" s="6" t="s">
        <v>17</v>
      </c>
      <c r="M10" s="6" t="s">
        <v>18</v>
      </c>
      <c r="N10" s="6" t="s">
        <v>19</v>
      </c>
    </row>
    <row r="11" spans="1:14" x14ac:dyDescent="0.35">
      <c r="A11" t="str">
        <f>B3</f>
        <v>Cadmium (Cd) global market</v>
      </c>
      <c r="B11" t="str">
        <f>B4</f>
        <v>Refined Cd</v>
      </c>
      <c r="C11" t="str">
        <f>B5</f>
        <v>GLO</v>
      </c>
      <c r="D11" s="1">
        <v>1</v>
      </c>
      <c r="E11" s="1" t="str">
        <f>B7</f>
        <v>kilogram</v>
      </c>
      <c r="F11" s="4" t="str">
        <f>B1</f>
        <v>Cadmium</v>
      </c>
      <c r="G11" s="1" t="s">
        <v>20</v>
      </c>
    </row>
    <row r="12" spans="1:14" s="1" customFormat="1" x14ac:dyDescent="0.35">
      <c r="A12" s="1" t="str">
        <f>PR1_Cd_CA_KiddCreek!A56</f>
        <v>Cd recovery from Zn production in Canada/Kidd Creek</v>
      </c>
      <c r="B12" s="1" t="str">
        <f>PR1_Cd_CA_KiddCreek!B56</f>
        <v>Refined Cd</v>
      </c>
      <c r="C12" s="1" t="str">
        <f>PR1_Cd_CA_KiddCreek!C56</f>
        <v>CA</v>
      </c>
      <c r="D12" s="1">
        <v>0.15254237288135594</v>
      </c>
      <c r="E12" s="1" t="str">
        <f>PR1_Cd_CA_KiddCreek!E56</f>
        <v>kilogram</v>
      </c>
      <c r="F12" s="4" t="str">
        <f>PR1_Cd_CA_KiddCreek!F56</f>
        <v>Cadmium</v>
      </c>
      <c r="G12" s="11" t="s">
        <v>25</v>
      </c>
    </row>
    <row r="13" spans="1:14" s="1" customFormat="1" x14ac:dyDescent="0.35">
      <c r="A13" s="1" t="str">
        <f>PR2_Cd_CN_Yangtze_Hydro!A178</f>
        <v>Cd recovery from Zn production in China/Yangtze through Hydrometallurgy</v>
      </c>
      <c r="B13" s="1" t="str">
        <f>PR2_Cd_CN_Yangtze_Hydro!B178</f>
        <v>Refined Cd</v>
      </c>
      <c r="C13" s="1" t="str">
        <f>PR2_Cd_CN_Yangtze_Hydro!C178</f>
        <v>CN</v>
      </c>
      <c r="D13" s="1">
        <v>0.84745762711864403</v>
      </c>
      <c r="E13" s="1" t="str">
        <f>PR2_Cd_CN_Yangtze_Hydro!E178</f>
        <v>kilogram</v>
      </c>
      <c r="F13" s="4" t="str">
        <f>PR2_Cd_CN_Yangtze_Hydro!F178</f>
        <v>Cadmium</v>
      </c>
      <c r="G13" s="11" t="s">
        <v>25</v>
      </c>
    </row>
    <row r="14" spans="1:14" s="1" customFormat="1" x14ac:dyDescent="0.35">
      <c r="F14" s="4"/>
    </row>
    <row r="15" spans="1:14" s="1" customFormat="1" x14ac:dyDescent="0.35">
      <c r="F15" s="4"/>
    </row>
    <row r="16" spans="1:14" s="1" customFormat="1" x14ac:dyDescent="0.35">
      <c r="F16" s="4"/>
    </row>
    <row r="17" spans="6:6" s="1" customFormat="1" x14ac:dyDescent="0.35">
      <c r="F17" s="4"/>
    </row>
    <row r="18" spans="6:6" s="1" customFormat="1" x14ac:dyDescent="0.35">
      <c r="F18" s="4"/>
    </row>
    <row r="19" spans="6:6" s="1" customFormat="1" x14ac:dyDescent="0.35">
      <c r="F19" s="4"/>
    </row>
    <row r="20" spans="6:6" s="1" customFormat="1" x14ac:dyDescent="0.35">
      <c r="F20" s="4"/>
    </row>
    <row r="21" spans="6:6" s="1" customFormat="1" x14ac:dyDescent="0.35">
      <c r="F21" s="4"/>
    </row>
    <row r="22" spans="6:6" s="1" customFormat="1" x14ac:dyDescent="0.35">
      <c r="F22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BB8EB-BC91-4AA5-886F-4257CA0E8FF7}">
  <sheetPr>
    <tabColor theme="8" tint="0.39997558519241921"/>
  </sheetPr>
  <dimension ref="A1:N58"/>
  <sheetViews>
    <sheetView workbookViewId="0"/>
  </sheetViews>
  <sheetFormatPr baseColWidth="10" defaultColWidth="8.7265625" defaultRowHeight="14.5" x14ac:dyDescent="0.35"/>
  <cols>
    <col min="1" max="1" width="48.7265625" style="11" bestFit="1" customWidth="1"/>
    <col min="2" max="2" width="57.08984375" style="11" customWidth="1"/>
    <col min="3" max="3" width="7.6328125" style="11" bestFit="1" customWidth="1"/>
    <col min="4" max="4" width="11.81640625" style="11" bestFit="1" customWidth="1"/>
    <col min="5" max="5" width="11.90625" style="11" bestFit="1" customWidth="1"/>
    <col min="6" max="6" width="18.36328125" style="11" bestFit="1" customWidth="1"/>
    <col min="7" max="7" width="12.26953125" style="11" bestFit="1" customWidth="1"/>
    <col min="8" max="8" width="9.36328125" style="11" bestFit="1" customWidth="1"/>
    <col min="9" max="9" width="14.6328125" style="11" bestFit="1" customWidth="1"/>
    <col min="10" max="10" width="8.90625" style="11" bestFit="1" customWidth="1"/>
    <col min="11" max="11" width="3.36328125" style="11" bestFit="1" customWidth="1"/>
    <col min="12" max="12" width="5" style="11" bestFit="1" customWidth="1"/>
    <col min="13" max="13" width="8.90625" style="11" bestFit="1" customWidth="1"/>
    <col min="14" max="14" width="9.26953125" style="11" bestFit="1" customWidth="1"/>
    <col min="15" max="16384" width="8.7265625" style="11"/>
  </cols>
  <sheetData>
    <row r="1" spans="1:14" x14ac:dyDescent="0.35">
      <c r="A1" s="10" t="s">
        <v>0</v>
      </c>
      <c r="B1" s="10" t="s">
        <v>131</v>
      </c>
    </row>
    <row r="2" spans="1:14" x14ac:dyDescent="0.35">
      <c r="A2" s="12" t="s">
        <v>1</v>
      </c>
      <c r="B2" s="11" t="s">
        <v>2</v>
      </c>
    </row>
    <row r="3" spans="1:14" x14ac:dyDescent="0.35">
      <c r="A3" s="12" t="s">
        <v>3</v>
      </c>
      <c r="B3" s="11" t="s">
        <v>132</v>
      </c>
    </row>
    <row r="4" spans="1:14" x14ac:dyDescent="0.35">
      <c r="A4" s="12" t="s">
        <v>5</v>
      </c>
      <c r="B4" s="11">
        <v>1</v>
      </c>
    </row>
    <row r="5" spans="1:14" x14ac:dyDescent="0.35">
      <c r="A5" s="12" t="s">
        <v>6</v>
      </c>
      <c r="B5" s="11" t="s">
        <v>7</v>
      </c>
    </row>
    <row r="6" spans="1:14" ht="87" x14ac:dyDescent="0.35">
      <c r="A6" s="12" t="s">
        <v>8</v>
      </c>
      <c r="B6" s="9" t="s">
        <v>152</v>
      </c>
    </row>
    <row r="7" spans="1:14" x14ac:dyDescent="0.35">
      <c r="A7" s="12" t="s">
        <v>9</v>
      </c>
    </row>
    <row r="8" spans="1:14" x14ac:dyDescent="0.35">
      <c r="A8" s="10" t="s">
        <v>10</v>
      </c>
      <c r="B8" s="10" t="s">
        <v>1</v>
      </c>
      <c r="C8" s="10" t="s">
        <v>3</v>
      </c>
      <c r="D8" s="10" t="s">
        <v>5</v>
      </c>
      <c r="E8" s="10" t="s">
        <v>6</v>
      </c>
      <c r="F8" s="10" t="s">
        <v>11</v>
      </c>
      <c r="G8" s="10" t="s">
        <v>12</v>
      </c>
      <c r="H8" s="10" t="s">
        <v>13</v>
      </c>
      <c r="I8" s="10" t="s">
        <v>14</v>
      </c>
      <c r="J8" s="10" t="s">
        <v>15</v>
      </c>
      <c r="K8" s="10" t="s">
        <v>16</v>
      </c>
      <c r="L8" s="10" t="s">
        <v>17</v>
      </c>
      <c r="M8" s="10" t="s">
        <v>18</v>
      </c>
      <c r="N8" s="10" t="s">
        <v>19</v>
      </c>
    </row>
    <row r="9" spans="1:14" x14ac:dyDescent="0.35">
      <c r="A9" s="11" t="str">
        <f>B1</f>
        <v>[M+C] Zinc (Zn) ore mining and concentration (Canada)</v>
      </c>
      <c r="B9" s="11" t="str">
        <f>B2</f>
        <v>Zn concentrate</v>
      </c>
      <c r="C9" s="11" t="str">
        <f>B3</f>
        <v>CA</v>
      </c>
      <c r="D9" s="11">
        <v>1</v>
      </c>
      <c r="E9" s="11" t="s">
        <v>7</v>
      </c>
      <c r="F9" s="13" t="str">
        <f>Cd_Market_GLO!B1</f>
        <v>Cadmium</v>
      </c>
      <c r="G9" s="11" t="s">
        <v>20</v>
      </c>
    </row>
    <row r="10" spans="1:14" x14ac:dyDescent="0.35">
      <c r="A10" s="11" t="s">
        <v>36</v>
      </c>
      <c r="B10" s="11" t="s">
        <v>37</v>
      </c>
      <c r="C10" s="11" t="s">
        <v>132</v>
      </c>
      <c r="D10" s="11">
        <v>0.3611111111111111</v>
      </c>
      <c r="E10" s="11" t="s">
        <v>38</v>
      </c>
      <c r="F10" s="11" t="s">
        <v>24</v>
      </c>
      <c r="G10" s="11" t="s">
        <v>25</v>
      </c>
      <c r="J10" s="11" t="s">
        <v>133</v>
      </c>
    </row>
    <row r="11" spans="1:14" x14ac:dyDescent="0.35">
      <c r="A11" s="11" t="s">
        <v>134</v>
      </c>
      <c r="B11" s="11" t="s">
        <v>135</v>
      </c>
      <c r="C11" s="11" t="s">
        <v>23</v>
      </c>
      <c r="D11" s="11">
        <v>1.8</v>
      </c>
      <c r="E11" s="11" t="s">
        <v>35</v>
      </c>
      <c r="F11" s="11" t="s">
        <v>24</v>
      </c>
      <c r="G11" s="11" t="s">
        <v>25</v>
      </c>
      <c r="J11" s="11" t="s">
        <v>133</v>
      </c>
    </row>
    <row r="12" spans="1:14" x14ac:dyDescent="0.35">
      <c r="A12" s="11" t="s">
        <v>54</v>
      </c>
      <c r="D12" s="11">
        <v>1.8E-5</v>
      </c>
      <c r="E12" s="11" t="s">
        <v>7</v>
      </c>
      <c r="F12" s="11" t="s">
        <v>42</v>
      </c>
      <c r="G12" s="11" t="s">
        <v>43</v>
      </c>
      <c r="H12" s="11" t="s">
        <v>50</v>
      </c>
      <c r="J12" s="11" t="s">
        <v>136</v>
      </c>
    </row>
    <row r="13" spans="1:14" s="7" customFormat="1" x14ac:dyDescent="0.35"/>
    <row r="14" spans="1:14" x14ac:dyDescent="0.35">
      <c r="A14" s="10" t="s">
        <v>0</v>
      </c>
      <c r="B14" s="10" t="s">
        <v>137</v>
      </c>
    </row>
    <row r="15" spans="1:14" x14ac:dyDescent="0.35">
      <c r="A15" s="12" t="s">
        <v>1</v>
      </c>
      <c r="B15" s="11" t="s">
        <v>126</v>
      </c>
    </row>
    <row r="16" spans="1:14" x14ac:dyDescent="0.35">
      <c r="A16" s="12" t="s">
        <v>3</v>
      </c>
      <c r="B16" s="11" t="s">
        <v>132</v>
      </c>
    </row>
    <row r="17" spans="1:14" x14ac:dyDescent="0.35">
      <c r="A17" s="12" t="s">
        <v>5</v>
      </c>
      <c r="B17" s="11">
        <v>1</v>
      </c>
    </row>
    <row r="18" spans="1:14" x14ac:dyDescent="0.35">
      <c r="A18" s="12" t="s">
        <v>6</v>
      </c>
      <c r="B18" s="11" t="s">
        <v>7</v>
      </c>
    </row>
    <row r="19" spans="1:14" ht="29" x14ac:dyDescent="0.35">
      <c r="A19" s="12" t="s">
        <v>8</v>
      </c>
      <c r="B19" s="14" t="s">
        <v>153</v>
      </c>
    </row>
    <row r="20" spans="1:14" x14ac:dyDescent="0.35">
      <c r="A20" s="12" t="s">
        <v>9</v>
      </c>
    </row>
    <row r="21" spans="1:14" x14ac:dyDescent="0.35">
      <c r="A21" s="10" t="s">
        <v>10</v>
      </c>
      <c r="B21" s="10" t="s">
        <v>1</v>
      </c>
      <c r="C21" s="10" t="s">
        <v>3</v>
      </c>
      <c r="D21" s="10" t="s">
        <v>5</v>
      </c>
      <c r="E21" s="10" t="s">
        <v>6</v>
      </c>
      <c r="F21" s="10" t="s">
        <v>11</v>
      </c>
      <c r="G21" s="10" t="s">
        <v>12</v>
      </c>
      <c r="H21" s="10" t="s">
        <v>13</v>
      </c>
      <c r="I21" s="10" t="s">
        <v>14</v>
      </c>
      <c r="J21" s="10" t="s">
        <v>15</v>
      </c>
      <c r="K21" s="10" t="s">
        <v>16</v>
      </c>
      <c r="L21" s="10" t="s">
        <v>17</v>
      </c>
      <c r="M21" s="10" t="s">
        <v>18</v>
      </c>
      <c r="N21" s="10" t="s">
        <v>19</v>
      </c>
    </row>
    <row r="22" spans="1:14" x14ac:dyDescent="0.35">
      <c r="A22" s="11" t="str">
        <f>B14</f>
        <v>[P+R] Refined Cadmium (Cd) production - Pyrometallurgy</v>
      </c>
      <c r="B22" s="11" t="str">
        <f>B15</f>
        <v>Refined Cd</v>
      </c>
      <c r="C22" s="11" t="str">
        <f>B16</f>
        <v>CA</v>
      </c>
      <c r="D22" s="11">
        <v>1</v>
      </c>
      <c r="E22" s="11" t="s">
        <v>7</v>
      </c>
      <c r="F22" s="13" t="str">
        <f>F9</f>
        <v>Cadmium</v>
      </c>
      <c r="G22" s="11" t="s">
        <v>20</v>
      </c>
    </row>
    <row r="23" spans="1:14" x14ac:dyDescent="0.35">
      <c r="A23" s="11" t="s">
        <v>36</v>
      </c>
      <c r="B23" s="11" t="s">
        <v>37</v>
      </c>
      <c r="C23" s="11" t="s">
        <v>132</v>
      </c>
      <c r="D23" s="11">
        <v>0.52777777777777779</v>
      </c>
      <c r="E23" s="11" t="s">
        <v>38</v>
      </c>
      <c r="F23" s="11" t="s">
        <v>24</v>
      </c>
      <c r="G23" s="11" t="s">
        <v>25</v>
      </c>
      <c r="J23" s="11" t="s">
        <v>138</v>
      </c>
    </row>
    <row r="24" spans="1:14" x14ac:dyDescent="0.35">
      <c r="A24" s="11" t="s">
        <v>139</v>
      </c>
      <c r="B24" s="11" t="s">
        <v>140</v>
      </c>
      <c r="C24" s="11" t="s">
        <v>30</v>
      </c>
      <c r="D24" s="11">
        <v>0.9</v>
      </c>
      <c r="E24" s="11" t="s">
        <v>35</v>
      </c>
      <c r="F24" s="11" t="s">
        <v>24</v>
      </c>
      <c r="G24" s="11" t="s">
        <v>25</v>
      </c>
      <c r="J24" s="11" t="s">
        <v>138</v>
      </c>
    </row>
    <row r="25" spans="1:14" x14ac:dyDescent="0.35">
      <c r="A25" s="11" t="s">
        <v>141</v>
      </c>
      <c r="B25" s="11" t="s">
        <v>142</v>
      </c>
      <c r="C25" s="11" t="s">
        <v>143</v>
      </c>
      <c r="D25" s="11">
        <v>2.5</v>
      </c>
      <c r="E25" s="11" t="s">
        <v>35</v>
      </c>
      <c r="F25" s="11" t="s">
        <v>24</v>
      </c>
      <c r="G25" s="11" t="s">
        <v>25</v>
      </c>
      <c r="J25" s="11" t="s">
        <v>138</v>
      </c>
    </row>
    <row r="26" spans="1:14" x14ac:dyDescent="0.35">
      <c r="A26" s="11" t="s">
        <v>134</v>
      </c>
      <c r="B26" s="11" t="s">
        <v>135</v>
      </c>
      <c r="C26" s="11" t="s">
        <v>23</v>
      </c>
      <c r="D26" s="11">
        <v>0.4</v>
      </c>
      <c r="E26" s="11" t="s">
        <v>35</v>
      </c>
      <c r="F26" s="11" t="s">
        <v>24</v>
      </c>
      <c r="G26" s="11" t="s">
        <v>25</v>
      </c>
      <c r="J26" s="11" t="s">
        <v>138</v>
      </c>
    </row>
    <row r="27" spans="1:14" x14ac:dyDescent="0.35">
      <c r="A27" s="11" t="s">
        <v>144</v>
      </c>
      <c r="D27" s="11">
        <v>4.3E-3</v>
      </c>
      <c r="E27" s="11" t="s">
        <v>7</v>
      </c>
      <c r="F27" s="11" t="s">
        <v>42</v>
      </c>
      <c r="G27" s="11" t="s">
        <v>43</v>
      </c>
      <c r="H27" s="11" t="s">
        <v>50</v>
      </c>
      <c r="J27" s="11" t="s">
        <v>145</v>
      </c>
    </row>
    <row r="28" spans="1:14" x14ac:dyDescent="0.35">
      <c r="A28" s="11" t="s">
        <v>58</v>
      </c>
      <c r="D28" s="11">
        <v>1.5E-6</v>
      </c>
      <c r="E28" s="11" t="s">
        <v>7</v>
      </c>
      <c r="F28" s="11" t="s">
        <v>42</v>
      </c>
      <c r="G28" s="11" t="s">
        <v>43</v>
      </c>
      <c r="H28" s="11" t="s">
        <v>50</v>
      </c>
      <c r="J28" s="11" t="s">
        <v>145</v>
      </c>
    </row>
    <row r="29" spans="1:14" x14ac:dyDescent="0.35">
      <c r="A29" s="11" t="s">
        <v>59</v>
      </c>
      <c r="D29" s="11">
        <v>5.8999999999999996E-7</v>
      </c>
      <c r="E29" s="11" t="s">
        <v>7</v>
      </c>
      <c r="F29" s="11" t="s">
        <v>42</v>
      </c>
      <c r="G29" s="11" t="s">
        <v>43</v>
      </c>
      <c r="H29" s="11" t="s">
        <v>50</v>
      </c>
      <c r="J29" s="11" t="s">
        <v>145</v>
      </c>
    </row>
    <row r="30" spans="1:14" x14ac:dyDescent="0.35">
      <c r="A30" s="11" t="s">
        <v>146</v>
      </c>
      <c r="D30" s="11">
        <v>2.7000000000000001E-7</v>
      </c>
      <c r="E30" s="11" t="s">
        <v>7</v>
      </c>
      <c r="F30" s="11" t="s">
        <v>42</v>
      </c>
      <c r="G30" s="11" t="s">
        <v>43</v>
      </c>
      <c r="H30" s="11" t="s">
        <v>50</v>
      </c>
      <c r="J30" s="11" t="s">
        <v>145</v>
      </c>
    </row>
    <row r="31" spans="1:14" x14ac:dyDescent="0.35">
      <c r="A31" s="11" t="s">
        <v>147</v>
      </c>
      <c r="D31" s="11">
        <v>4.4999999999999999E-8</v>
      </c>
      <c r="E31" s="11" t="s">
        <v>7</v>
      </c>
      <c r="F31" s="11" t="s">
        <v>42</v>
      </c>
      <c r="G31" s="11" t="s">
        <v>43</v>
      </c>
      <c r="H31" s="11" t="s">
        <v>50</v>
      </c>
      <c r="J31" s="11" t="s">
        <v>145</v>
      </c>
    </row>
    <row r="32" spans="1:14" x14ac:dyDescent="0.35">
      <c r="A32" s="11" t="s">
        <v>148</v>
      </c>
      <c r="D32" s="11">
        <v>7.1199999999999996E-5</v>
      </c>
      <c r="E32" s="11" t="s">
        <v>7</v>
      </c>
      <c r="F32" s="11" t="s">
        <v>42</v>
      </c>
      <c r="G32" s="11" t="s">
        <v>43</v>
      </c>
      <c r="H32" s="11" t="s">
        <v>50</v>
      </c>
      <c r="J32" s="11" t="s">
        <v>145</v>
      </c>
    </row>
    <row r="33" spans="1:10" x14ac:dyDescent="0.35">
      <c r="A33" s="11" t="s">
        <v>52</v>
      </c>
      <c r="D33" s="11">
        <v>3.1099999999999997E-5</v>
      </c>
      <c r="E33" s="11" t="s">
        <v>7</v>
      </c>
      <c r="F33" s="11" t="s">
        <v>42</v>
      </c>
      <c r="G33" s="11" t="s">
        <v>43</v>
      </c>
      <c r="H33" s="11" t="s">
        <v>50</v>
      </c>
      <c r="J33" s="11" t="s">
        <v>145</v>
      </c>
    </row>
    <row r="34" spans="1:10" x14ac:dyDescent="0.35">
      <c r="A34" s="11" t="s">
        <v>53</v>
      </c>
      <c r="D34" s="11">
        <v>1E-8</v>
      </c>
      <c r="E34" s="11" t="s">
        <v>7</v>
      </c>
      <c r="F34" s="11" t="s">
        <v>42</v>
      </c>
      <c r="G34" s="11" t="s">
        <v>43</v>
      </c>
      <c r="H34" s="11" t="s">
        <v>50</v>
      </c>
      <c r="J34" s="11" t="s">
        <v>145</v>
      </c>
    </row>
    <row r="35" spans="1:10" x14ac:dyDescent="0.35">
      <c r="A35" s="11" t="s">
        <v>149</v>
      </c>
      <c r="D35" s="11">
        <v>2.600000000000001E-7</v>
      </c>
      <c r="E35" s="11" t="s">
        <v>7</v>
      </c>
      <c r="F35" s="11" t="s">
        <v>42</v>
      </c>
      <c r="G35" s="11" t="s">
        <v>43</v>
      </c>
      <c r="H35" s="11" t="s">
        <v>50</v>
      </c>
      <c r="J35" s="11" t="s">
        <v>145</v>
      </c>
    </row>
    <row r="36" spans="1:10" x14ac:dyDescent="0.35">
      <c r="A36" s="11" t="s">
        <v>150</v>
      </c>
      <c r="D36" s="11">
        <v>2.600000000000001E-7</v>
      </c>
      <c r="E36" s="11" t="s">
        <v>7</v>
      </c>
      <c r="F36" s="11" t="s">
        <v>42</v>
      </c>
      <c r="G36" s="11" t="s">
        <v>43</v>
      </c>
      <c r="H36" s="11" t="s">
        <v>50</v>
      </c>
      <c r="J36" s="11" t="s">
        <v>145</v>
      </c>
    </row>
    <row r="37" spans="1:10" x14ac:dyDescent="0.35">
      <c r="A37" s="11" t="s">
        <v>57</v>
      </c>
      <c r="D37" s="11">
        <v>3.8700000000000012E-5</v>
      </c>
      <c r="E37" s="11" t="s">
        <v>7</v>
      </c>
      <c r="F37" s="11" t="s">
        <v>42</v>
      </c>
      <c r="G37" s="11" t="s">
        <v>43</v>
      </c>
      <c r="H37" s="11" t="s">
        <v>50</v>
      </c>
      <c r="J37" s="11" t="s">
        <v>145</v>
      </c>
    </row>
    <row r="38" spans="1:10" x14ac:dyDescent="0.35">
      <c r="A38" s="11" t="s">
        <v>58</v>
      </c>
      <c r="D38" s="11">
        <v>9.9999999999999995E-8</v>
      </c>
      <c r="E38" s="11" t="s">
        <v>7</v>
      </c>
      <c r="F38" s="11" t="s">
        <v>42</v>
      </c>
      <c r="G38" s="11" t="s">
        <v>43</v>
      </c>
      <c r="H38" s="11" t="s">
        <v>56</v>
      </c>
      <c r="J38" s="11" t="s">
        <v>145</v>
      </c>
    </row>
    <row r="39" spans="1:10" x14ac:dyDescent="0.35">
      <c r="A39" s="11" t="s">
        <v>59</v>
      </c>
      <c r="D39" s="11">
        <v>1.6999999999999999E-7</v>
      </c>
      <c r="E39" s="11" t="s">
        <v>7</v>
      </c>
      <c r="F39" s="11" t="s">
        <v>42</v>
      </c>
      <c r="G39" s="11" t="s">
        <v>43</v>
      </c>
      <c r="H39" s="11" t="s">
        <v>56</v>
      </c>
      <c r="J39" s="11" t="s">
        <v>145</v>
      </c>
    </row>
    <row r="40" spans="1:10" x14ac:dyDescent="0.35">
      <c r="A40" s="11" t="s">
        <v>146</v>
      </c>
      <c r="D40" s="11">
        <v>4.0000000000000001E-8</v>
      </c>
      <c r="E40" s="11" t="s">
        <v>7</v>
      </c>
      <c r="F40" s="11" t="s">
        <v>42</v>
      </c>
      <c r="G40" s="11" t="s">
        <v>43</v>
      </c>
      <c r="H40" s="11" t="s">
        <v>56</v>
      </c>
      <c r="J40" s="11" t="s">
        <v>145</v>
      </c>
    </row>
    <row r="41" spans="1:10" x14ac:dyDescent="0.35">
      <c r="A41" s="11" t="s">
        <v>147</v>
      </c>
      <c r="D41" s="11">
        <v>2.2000000000000001E-7</v>
      </c>
      <c r="E41" s="11" t="s">
        <v>7</v>
      </c>
      <c r="F41" s="11" t="s">
        <v>42</v>
      </c>
      <c r="G41" s="11" t="s">
        <v>43</v>
      </c>
      <c r="H41" s="11" t="s">
        <v>56</v>
      </c>
      <c r="J41" s="11" t="s">
        <v>145</v>
      </c>
    </row>
    <row r="42" spans="1:10" x14ac:dyDescent="0.35">
      <c r="A42" s="11" t="s">
        <v>148</v>
      </c>
      <c r="D42" s="11">
        <v>1.1000000000000001E-6</v>
      </c>
      <c r="E42" s="11" t="s">
        <v>7</v>
      </c>
      <c r="F42" s="11" t="s">
        <v>42</v>
      </c>
      <c r="G42" s="11" t="s">
        <v>43</v>
      </c>
      <c r="H42" s="11" t="s">
        <v>56</v>
      </c>
      <c r="J42" s="11" t="s">
        <v>145</v>
      </c>
    </row>
    <row r="43" spans="1:10" x14ac:dyDescent="0.35">
      <c r="A43" s="11" t="s">
        <v>52</v>
      </c>
      <c r="D43" s="11">
        <v>1.8E-7</v>
      </c>
      <c r="E43" s="11" t="s">
        <v>7</v>
      </c>
      <c r="F43" s="11" t="s">
        <v>42</v>
      </c>
      <c r="G43" s="11" t="s">
        <v>43</v>
      </c>
      <c r="H43" s="11" t="s">
        <v>56</v>
      </c>
      <c r="J43" s="11" t="s">
        <v>145</v>
      </c>
    </row>
    <row r="44" spans="1:10" x14ac:dyDescent="0.35">
      <c r="A44" s="11" t="s">
        <v>149</v>
      </c>
      <c r="D44" s="11">
        <v>1.9999999999999999E-7</v>
      </c>
      <c r="E44" s="11" t="s">
        <v>7</v>
      </c>
      <c r="F44" s="11" t="s">
        <v>42</v>
      </c>
      <c r="G44" s="11" t="s">
        <v>43</v>
      </c>
      <c r="H44" s="11" t="s">
        <v>56</v>
      </c>
      <c r="J44" s="11" t="s">
        <v>145</v>
      </c>
    </row>
    <row r="45" spans="1:10" x14ac:dyDescent="0.35">
      <c r="A45" s="11" t="s">
        <v>150</v>
      </c>
      <c r="D45" s="11">
        <v>4.0000000000000001E-8</v>
      </c>
      <c r="E45" s="11" t="s">
        <v>7</v>
      </c>
      <c r="F45" s="11" t="s">
        <v>42</v>
      </c>
      <c r="G45" s="11" t="s">
        <v>43</v>
      </c>
      <c r="H45" s="11" t="s">
        <v>56</v>
      </c>
      <c r="J45" s="11" t="s">
        <v>145</v>
      </c>
    </row>
    <row r="46" spans="1:10" x14ac:dyDescent="0.35">
      <c r="A46" s="11" t="s">
        <v>57</v>
      </c>
      <c r="D46" s="11">
        <v>2.2200000000000001E-5</v>
      </c>
      <c r="E46" s="11" t="s">
        <v>7</v>
      </c>
      <c r="F46" s="11" t="s">
        <v>42</v>
      </c>
      <c r="G46" s="11" t="s">
        <v>43</v>
      </c>
      <c r="H46" s="11" t="s">
        <v>56</v>
      </c>
      <c r="J46" s="11" t="s">
        <v>145</v>
      </c>
    </row>
    <row r="47" spans="1:10" s="8" customFormat="1" x14ac:dyDescent="0.35"/>
    <row r="48" spans="1:10" x14ac:dyDescent="0.35">
      <c r="A48" s="10" t="s">
        <v>0</v>
      </c>
      <c r="B48" s="10" t="s">
        <v>151</v>
      </c>
    </row>
    <row r="49" spans="1:14" x14ac:dyDescent="0.35">
      <c r="A49" s="12" t="s">
        <v>1</v>
      </c>
      <c r="B49" s="11" t="s">
        <v>126</v>
      </c>
    </row>
    <row r="50" spans="1:14" x14ac:dyDescent="0.35">
      <c r="A50" s="12" t="s">
        <v>3</v>
      </c>
      <c r="B50" s="11" t="s">
        <v>132</v>
      </c>
    </row>
    <row r="51" spans="1:14" x14ac:dyDescent="0.35">
      <c r="A51" s="12" t="s">
        <v>5</v>
      </c>
      <c r="B51" s="11">
        <v>1</v>
      </c>
    </row>
    <row r="52" spans="1:14" x14ac:dyDescent="0.35">
      <c r="A52" s="12" t="s">
        <v>6</v>
      </c>
      <c r="B52" s="11" t="s">
        <v>7</v>
      </c>
    </row>
    <row r="53" spans="1:14" x14ac:dyDescent="0.35">
      <c r="A53" s="12" t="s">
        <v>8</v>
      </c>
      <c r="B53" s="11" t="s">
        <v>60</v>
      </c>
    </row>
    <row r="54" spans="1:14" x14ac:dyDescent="0.35">
      <c r="A54" s="12" t="s">
        <v>9</v>
      </c>
    </row>
    <row r="55" spans="1:14" x14ac:dyDescent="0.35">
      <c r="A55" s="10" t="s">
        <v>10</v>
      </c>
      <c r="B55" s="10" t="s">
        <v>1</v>
      </c>
      <c r="C55" s="10" t="s">
        <v>3</v>
      </c>
      <c r="D55" s="10" t="s">
        <v>5</v>
      </c>
      <c r="E55" s="10" t="s">
        <v>6</v>
      </c>
      <c r="F55" s="10" t="s">
        <v>11</v>
      </c>
      <c r="G55" s="10" t="s">
        <v>12</v>
      </c>
      <c r="H55" s="10" t="s">
        <v>13</v>
      </c>
      <c r="I55" s="10" t="s">
        <v>14</v>
      </c>
      <c r="J55" s="10" t="s">
        <v>15</v>
      </c>
      <c r="K55" s="10" t="s">
        <v>16</v>
      </c>
      <c r="L55" s="10" t="s">
        <v>17</v>
      </c>
      <c r="M55" s="10" t="s">
        <v>18</v>
      </c>
      <c r="N55" s="10" t="s">
        <v>19</v>
      </c>
    </row>
    <row r="56" spans="1:14" x14ac:dyDescent="0.35">
      <c r="A56" s="11" t="str">
        <f>B48</f>
        <v>Cd recovery from Zn production in Canada/Kidd Creek</v>
      </c>
      <c r="B56" s="11" t="str">
        <f>B49</f>
        <v>Refined Cd</v>
      </c>
      <c r="C56" s="11" t="s">
        <v>132</v>
      </c>
      <c r="D56" s="11">
        <v>1</v>
      </c>
      <c r="E56" s="11" t="s">
        <v>7</v>
      </c>
      <c r="F56" s="13" t="str">
        <f>F22</f>
        <v>Cadmium</v>
      </c>
      <c r="G56" s="11" t="s">
        <v>20</v>
      </c>
    </row>
    <row r="57" spans="1:14" x14ac:dyDescent="0.35">
      <c r="A57" s="11" t="str">
        <f>A22</f>
        <v>[P+R] Refined Cadmium (Cd) production - Pyrometallurgy</v>
      </c>
      <c r="B57" s="11" t="str">
        <f t="shared" ref="B57:G57" si="0">B22</f>
        <v>Refined Cd</v>
      </c>
      <c r="C57" s="11" t="str">
        <f t="shared" si="0"/>
        <v>CA</v>
      </c>
      <c r="D57" s="11">
        <v>1</v>
      </c>
      <c r="E57" s="11" t="str">
        <f t="shared" si="0"/>
        <v>kilogram</v>
      </c>
      <c r="F57" s="13" t="str">
        <f t="shared" si="0"/>
        <v>Cadmium</v>
      </c>
      <c r="G57" s="11" t="s">
        <v>25</v>
      </c>
    </row>
    <row r="58" spans="1:14" x14ac:dyDescent="0.35">
      <c r="A58" s="11" t="str">
        <f>A9</f>
        <v>[M+C] Zinc (Zn) ore mining and concentration (Canada)</v>
      </c>
      <c r="B58" s="11" t="str">
        <f t="shared" ref="B58:G58" si="1">B9</f>
        <v>Zn concentrate</v>
      </c>
      <c r="C58" s="11" t="str">
        <f t="shared" si="1"/>
        <v>CA</v>
      </c>
      <c r="D58" s="11">
        <v>1</v>
      </c>
      <c r="E58" s="11" t="str">
        <f t="shared" si="1"/>
        <v>kilogram</v>
      </c>
      <c r="F58" s="13" t="str">
        <f t="shared" si="1"/>
        <v>Cadmium</v>
      </c>
      <c r="G58" s="11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6AA59-3ACD-43C7-B9C5-CC133C54FB19}">
  <sheetPr>
    <tabColor theme="8" tint="0.39997558519241921"/>
  </sheetPr>
  <dimension ref="A1:N181"/>
  <sheetViews>
    <sheetView zoomScaleNormal="100" workbookViewId="0"/>
  </sheetViews>
  <sheetFormatPr baseColWidth="10" defaultColWidth="9.1796875" defaultRowHeight="14.5" x14ac:dyDescent="0.35"/>
  <cols>
    <col min="1" max="1" width="64.54296875" style="11" bestFit="1" customWidth="1"/>
    <col min="2" max="2" width="81" style="11" customWidth="1"/>
    <col min="3" max="3" width="8.1796875" style="11" bestFit="1" customWidth="1"/>
    <col min="4" max="4" width="12.7265625" style="11" bestFit="1" customWidth="1"/>
    <col min="5" max="5" width="11.453125" style="11" bestFit="1" customWidth="1"/>
    <col min="6" max="6" width="19.7265625" style="11" bestFit="1" customWidth="1"/>
    <col min="7" max="7" width="13.26953125" style="11" bestFit="1" customWidth="1"/>
    <col min="8" max="8" width="25.26953125" style="11" bestFit="1" customWidth="1"/>
    <col min="9" max="9" width="15.54296875" style="11" bestFit="1" customWidth="1"/>
    <col min="10" max="10" width="9.7265625" style="11" bestFit="1" customWidth="1"/>
    <col min="11" max="11" width="3.54296875" style="11" bestFit="1" customWidth="1"/>
    <col min="12" max="12" width="5.453125" style="11" bestFit="1" customWidth="1"/>
    <col min="13" max="13" width="9.54296875" style="11" bestFit="1" customWidth="1"/>
    <col min="14" max="14" width="9.81640625" style="11" bestFit="1" customWidth="1"/>
    <col min="15" max="16384" width="9.1796875" style="11"/>
  </cols>
  <sheetData>
    <row r="1" spans="1:14" x14ac:dyDescent="0.35">
      <c r="A1" s="10" t="s">
        <v>0</v>
      </c>
      <c r="B1" s="10" t="s">
        <v>85</v>
      </c>
    </row>
    <row r="2" spans="1:14" x14ac:dyDescent="0.35">
      <c r="A2" s="12" t="s">
        <v>1</v>
      </c>
      <c r="B2" s="11" t="s">
        <v>2</v>
      </c>
    </row>
    <row r="3" spans="1:14" x14ac:dyDescent="0.35">
      <c r="A3" s="12" t="s">
        <v>3</v>
      </c>
      <c r="B3" s="11" t="s">
        <v>4</v>
      </c>
    </row>
    <row r="4" spans="1:14" x14ac:dyDescent="0.35">
      <c r="A4" s="12" t="s">
        <v>5</v>
      </c>
      <c r="B4" s="11">
        <v>1</v>
      </c>
    </row>
    <row r="5" spans="1:14" x14ac:dyDescent="0.35">
      <c r="A5" s="12" t="s">
        <v>6</v>
      </c>
      <c r="B5" s="11" t="s">
        <v>7</v>
      </c>
    </row>
    <row r="6" spans="1:14" ht="43.5" x14ac:dyDescent="0.35">
      <c r="A6" s="12" t="s">
        <v>8</v>
      </c>
      <c r="B6" s="14" t="s">
        <v>154</v>
      </c>
    </row>
    <row r="7" spans="1:14" x14ac:dyDescent="0.35">
      <c r="A7" s="12" t="s">
        <v>9</v>
      </c>
    </row>
    <row r="8" spans="1:14" x14ac:dyDescent="0.35">
      <c r="A8" s="10" t="s">
        <v>10</v>
      </c>
      <c r="B8" s="10" t="s">
        <v>1</v>
      </c>
      <c r="C8" s="10" t="s">
        <v>3</v>
      </c>
      <c r="D8" s="10" t="s">
        <v>5</v>
      </c>
      <c r="E8" s="10" t="s">
        <v>6</v>
      </c>
      <c r="F8" s="10" t="s">
        <v>11</v>
      </c>
      <c r="G8" s="10" t="s">
        <v>12</v>
      </c>
      <c r="H8" s="10" t="s">
        <v>13</v>
      </c>
      <c r="I8" s="10" t="s">
        <v>14</v>
      </c>
      <c r="J8" s="10" t="s">
        <v>15</v>
      </c>
      <c r="K8" s="10" t="s">
        <v>16</v>
      </c>
      <c r="L8" s="10" t="s">
        <v>17</v>
      </c>
      <c r="M8" s="10" t="s">
        <v>18</v>
      </c>
      <c r="N8" s="10" t="s">
        <v>19</v>
      </c>
    </row>
    <row r="9" spans="1:14" x14ac:dyDescent="0.35">
      <c r="A9" s="11" t="s">
        <v>85</v>
      </c>
      <c r="B9" s="11" t="s">
        <v>2</v>
      </c>
      <c r="C9" s="11" t="s">
        <v>4</v>
      </c>
      <c r="D9" s="11">
        <v>1</v>
      </c>
      <c r="E9" s="11" t="s">
        <v>7</v>
      </c>
      <c r="F9" s="13" t="str">
        <f>Cd_Market_GLO!B1</f>
        <v>Cadmium</v>
      </c>
      <c r="G9" s="11" t="s">
        <v>20</v>
      </c>
    </row>
    <row r="10" spans="1:14" x14ac:dyDescent="0.35">
      <c r="A10" s="11" t="s">
        <v>33</v>
      </c>
      <c r="B10" s="11" t="s">
        <v>34</v>
      </c>
      <c r="C10" s="11" t="s">
        <v>23</v>
      </c>
      <c r="D10" s="16">
        <v>0.12919383763092468</v>
      </c>
      <c r="E10" s="11" t="s">
        <v>35</v>
      </c>
      <c r="F10" s="11" t="s">
        <v>24</v>
      </c>
      <c r="G10" s="11" t="s">
        <v>25</v>
      </c>
      <c r="J10" s="11" t="s">
        <v>86</v>
      </c>
    </row>
    <row r="11" spans="1:14" x14ac:dyDescent="0.35">
      <c r="A11" s="11" t="s">
        <v>36</v>
      </c>
      <c r="B11" s="11" t="s">
        <v>37</v>
      </c>
      <c r="C11" s="11" t="s">
        <v>4</v>
      </c>
      <c r="D11" s="16">
        <v>0.54694872610983181</v>
      </c>
      <c r="E11" s="11" t="s">
        <v>38</v>
      </c>
      <c r="F11" s="11" t="s">
        <v>24</v>
      </c>
      <c r="G11" s="11" t="s">
        <v>25</v>
      </c>
      <c r="J11" s="11" t="s">
        <v>86</v>
      </c>
    </row>
    <row r="12" spans="1:14" x14ac:dyDescent="0.35">
      <c r="A12" s="11" t="s">
        <v>87</v>
      </c>
      <c r="B12" s="11" t="s">
        <v>88</v>
      </c>
      <c r="C12" s="11" t="s">
        <v>30</v>
      </c>
      <c r="D12" s="16">
        <v>4.7129011269982633E-4</v>
      </c>
      <c r="E12" s="11" t="s">
        <v>35</v>
      </c>
      <c r="F12" s="11" t="s">
        <v>24</v>
      </c>
      <c r="G12" s="11" t="s">
        <v>25</v>
      </c>
      <c r="J12" s="11" t="s">
        <v>86</v>
      </c>
    </row>
    <row r="13" spans="1:14" x14ac:dyDescent="0.35">
      <c r="A13" s="11" t="s">
        <v>89</v>
      </c>
      <c r="B13" s="11" t="s">
        <v>90</v>
      </c>
      <c r="C13" s="11" t="s">
        <v>23</v>
      </c>
      <c r="D13" s="16">
        <v>1.9421295853014819E-5</v>
      </c>
      <c r="E13" s="11" t="s">
        <v>7</v>
      </c>
      <c r="F13" s="11" t="s">
        <v>24</v>
      </c>
      <c r="G13" s="11" t="s">
        <v>25</v>
      </c>
      <c r="J13" s="11" t="s">
        <v>86</v>
      </c>
    </row>
    <row r="14" spans="1:14" x14ac:dyDescent="0.35">
      <c r="A14" s="11" t="s">
        <v>21</v>
      </c>
      <c r="B14" s="11" t="s">
        <v>22</v>
      </c>
      <c r="C14" s="11" t="s">
        <v>23</v>
      </c>
      <c r="D14" s="16">
        <v>2.9272677807442625E-3</v>
      </c>
      <c r="E14" s="11" t="s">
        <v>7</v>
      </c>
      <c r="F14" s="11" t="s">
        <v>24</v>
      </c>
      <c r="G14" s="11" t="s">
        <v>25</v>
      </c>
      <c r="J14" s="11" t="s">
        <v>86</v>
      </c>
    </row>
    <row r="15" spans="1:14" x14ac:dyDescent="0.35">
      <c r="A15" s="11" t="s">
        <v>64</v>
      </c>
      <c r="B15" s="11" t="s">
        <v>65</v>
      </c>
      <c r="C15" s="11" t="s">
        <v>23</v>
      </c>
      <c r="D15" s="16">
        <v>2.4769188913989918E-3</v>
      </c>
      <c r="E15" s="11" t="s">
        <v>7</v>
      </c>
      <c r="F15" s="11" t="s">
        <v>24</v>
      </c>
      <c r="G15" s="11" t="s">
        <v>25</v>
      </c>
      <c r="J15" s="11" t="s">
        <v>86</v>
      </c>
    </row>
    <row r="16" spans="1:14" x14ac:dyDescent="0.35">
      <c r="A16" s="11" t="s">
        <v>91</v>
      </c>
      <c r="B16" s="11" t="s">
        <v>92</v>
      </c>
      <c r="C16" s="11" t="s">
        <v>23</v>
      </c>
      <c r="D16" s="16">
        <v>2.7809043917070495E-4</v>
      </c>
      <c r="E16" s="11" t="s">
        <v>7</v>
      </c>
      <c r="F16" s="11" t="s">
        <v>24</v>
      </c>
      <c r="G16" s="11" t="s">
        <v>25</v>
      </c>
      <c r="J16" s="11" t="s">
        <v>86</v>
      </c>
    </row>
    <row r="17" spans="1:10" x14ac:dyDescent="0.35">
      <c r="A17" s="11" t="s">
        <v>93</v>
      </c>
      <c r="B17" s="11" t="s">
        <v>94</v>
      </c>
      <c r="C17" s="11" t="s">
        <v>30</v>
      </c>
      <c r="D17" s="16">
        <v>6.2485908396656376E-6</v>
      </c>
      <c r="E17" s="11" t="s">
        <v>39</v>
      </c>
      <c r="F17" s="11" t="s">
        <v>24</v>
      </c>
      <c r="G17" s="11" t="s">
        <v>25</v>
      </c>
      <c r="J17" s="11" t="s">
        <v>86</v>
      </c>
    </row>
    <row r="18" spans="1:10" x14ac:dyDescent="0.35">
      <c r="A18" s="11" t="s">
        <v>28</v>
      </c>
      <c r="B18" s="11" t="s">
        <v>29</v>
      </c>
      <c r="C18" s="11" t="s">
        <v>30</v>
      </c>
      <c r="D18" s="16">
        <v>5.7700951447362869E-2</v>
      </c>
      <c r="E18" s="11" t="s">
        <v>7</v>
      </c>
      <c r="F18" s="11" t="s">
        <v>24</v>
      </c>
      <c r="G18" s="11" t="s">
        <v>25</v>
      </c>
      <c r="J18" s="11" t="s">
        <v>86</v>
      </c>
    </row>
    <row r="19" spans="1:10" x14ac:dyDescent="0.35">
      <c r="A19" s="11" t="s">
        <v>31</v>
      </c>
      <c r="B19" s="11" t="s">
        <v>32</v>
      </c>
      <c r="C19" s="11" t="s">
        <v>23</v>
      </c>
      <c r="D19" s="16">
        <v>3.5183506980099311E-3</v>
      </c>
      <c r="E19" s="11" t="s">
        <v>7</v>
      </c>
      <c r="F19" s="11" t="s">
        <v>24</v>
      </c>
      <c r="G19" s="11" t="s">
        <v>25</v>
      </c>
      <c r="J19" s="11" t="s">
        <v>86</v>
      </c>
    </row>
    <row r="20" spans="1:10" x14ac:dyDescent="0.35">
      <c r="A20" s="11" t="s">
        <v>26</v>
      </c>
      <c r="B20" s="11" t="s">
        <v>27</v>
      </c>
      <c r="C20" s="11" t="s">
        <v>23</v>
      </c>
      <c r="D20" s="16">
        <v>3.6196791981126172E-3</v>
      </c>
      <c r="E20" s="11" t="s">
        <v>7</v>
      </c>
      <c r="F20" s="11" t="s">
        <v>24</v>
      </c>
      <c r="G20" s="11" t="s">
        <v>25</v>
      </c>
      <c r="J20" s="11" t="s">
        <v>86</v>
      </c>
    </row>
    <row r="21" spans="1:10" x14ac:dyDescent="0.35">
      <c r="A21" s="11" t="s">
        <v>95</v>
      </c>
      <c r="B21" s="11" t="s">
        <v>96</v>
      </c>
      <c r="C21" s="11" t="s">
        <v>23</v>
      </c>
      <c r="D21" s="16">
        <v>6.4737652843382726E-4</v>
      </c>
      <c r="E21" s="11" t="s">
        <v>7</v>
      </c>
      <c r="F21" s="11" t="s">
        <v>24</v>
      </c>
      <c r="G21" s="11" t="s">
        <v>25</v>
      </c>
      <c r="J21" s="11" t="s">
        <v>86</v>
      </c>
    </row>
    <row r="22" spans="1:10" x14ac:dyDescent="0.35">
      <c r="A22" s="11" t="s">
        <v>26</v>
      </c>
      <c r="B22" s="11" t="s">
        <v>27</v>
      </c>
      <c r="C22" s="11" t="s">
        <v>23</v>
      </c>
      <c r="D22" s="16">
        <v>4.334608059948235E-4</v>
      </c>
      <c r="E22" s="11" t="s">
        <v>7</v>
      </c>
      <c r="F22" s="11" t="s">
        <v>24</v>
      </c>
      <c r="G22" s="11" t="s">
        <v>25</v>
      </c>
      <c r="J22" s="11" t="s">
        <v>86</v>
      </c>
    </row>
    <row r="23" spans="1:10" x14ac:dyDescent="0.35">
      <c r="A23" s="11" t="s">
        <v>97</v>
      </c>
      <c r="B23" s="11" t="s">
        <v>98</v>
      </c>
      <c r="C23" s="11" t="s">
        <v>30</v>
      </c>
      <c r="D23" s="16">
        <v>54.379628388441489</v>
      </c>
      <c r="E23" s="11" t="s">
        <v>7</v>
      </c>
      <c r="F23" s="11" t="s">
        <v>24</v>
      </c>
      <c r="G23" s="11" t="s">
        <v>25</v>
      </c>
      <c r="J23" s="11" t="s">
        <v>86</v>
      </c>
    </row>
    <row r="24" spans="1:10" x14ac:dyDescent="0.35">
      <c r="A24" s="11" t="s">
        <v>99</v>
      </c>
      <c r="B24" s="11" t="s">
        <v>100</v>
      </c>
      <c r="C24" s="11" t="s">
        <v>23</v>
      </c>
      <c r="D24" s="16">
        <v>8.8380969534009469E-4</v>
      </c>
      <c r="E24" s="11" t="s">
        <v>7</v>
      </c>
      <c r="F24" s="11" t="s">
        <v>24</v>
      </c>
      <c r="G24" s="11" t="s">
        <v>25</v>
      </c>
      <c r="J24" s="11" t="s">
        <v>86</v>
      </c>
    </row>
    <row r="25" spans="1:10" x14ac:dyDescent="0.35">
      <c r="A25" s="11" t="s">
        <v>101</v>
      </c>
      <c r="B25" s="11" t="s">
        <v>102</v>
      </c>
      <c r="C25" s="11" t="s">
        <v>30</v>
      </c>
      <c r="D25" s="16">
        <v>57.36318978035392</v>
      </c>
      <c r="E25" s="11" t="s">
        <v>7</v>
      </c>
      <c r="F25" s="11" t="s">
        <v>24</v>
      </c>
      <c r="G25" s="11" t="s">
        <v>25</v>
      </c>
      <c r="J25" s="11" t="s">
        <v>86</v>
      </c>
    </row>
    <row r="26" spans="1:10" x14ac:dyDescent="0.35">
      <c r="A26" s="11" t="s">
        <v>103</v>
      </c>
      <c r="B26" s="11" t="s">
        <v>104</v>
      </c>
      <c r="C26" s="11" t="s">
        <v>30</v>
      </c>
      <c r="D26" s="16">
        <v>-2.5275831414503345E-4</v>
      </c>
      <c r="E26" s="11" t="s">
        <v>7</v>
      </c>
      <c r="F26" s="11" t="s">
        <v>24</v>
      </c>
      <c r="G26" s="11" t="s">
        <v>25</v>
      </c>
      <c r="J26" s="11" t="s">
        <v>86</v>
      </c>
    </row>
    <row r="27" spans="1:10" x14ac:dyDescent="0.35">
      <c r="A27" s="11" t="s">
        <v>105</v>
      </c>
      <c r="B27" s="11" t="s">
        <v>106</v>
      </c>
      <c r="C27" s="11" t="s">
        <v>30</v>
      </c>
      <c r="D27" s="16">
        <v>-1.9477589464182978E-4</v>
      </c>
      <c r="E27" s="11" t="s">
        <v>7</v>
      </c>
      <c r="F27" s="11" t="s">
        <v>24</v>
      </c>
      <c r="G27" s="11" t="s">
        <v>25</v>
      </c>
      <c r="J27" s="11" t="s">
        <v>86</v>
      </c>
    </row>
    <row r="28" spans="1:10" x14ac:dyDescent="0.35">
      <c r="A28" s="11" t="s">
        <v>107</v>
      </c>
      <c r="B28" s="11" t="s">
        <v>108</v>
      </c>
      <c r="C28" s="11" t="s">
        <v>30</v>
      </c>
      <c r="D28" s="16">
        <v>-0.60797100061611609</v>
      </c>
      <c r="E28" s="11" t="s">
        <v>7</v>
      </c>
      <c r="F28" s="11" t="s">
        <v>24</v>
      </c>
      <c r="G28" s="11" t="s">
        <v>25</v>
      </c>
      <c r="J28" s="11" t="s">
        <v>86</v>
      </c>
    </row>
    <row r="29" spans="1:10" x14ac:dyDescent="0.35">
      <c r="A29" s="11" t="s">
        <v>109</v>
      </c>
      <c r="B29" s="11" t="s">
        <v>110</v>
      </c>
      <c r="C29" s="11" t="s">
        <v>30</v>
      </c>
      <c r="D29" s="16">
        <v>2.4037371968803841E-2</v>
      </c>
      <c r="E29" s="11" t="s">
        <v>48</v>
      </c>
      <c r="F29" s="11" t="s">
        <v>24</v>
      </c>
      <c r="G29" s="11" t="s">
        <v>25</v>
      </c>
      <c r="J29" s="11" t="s">
        <v>86</v>
      </c>
    </row>
    <row r="30" spans="1:10" s="17" customFormat="1" x14ac:dyDescent="0.35">
      <c r="A30" s="17" t="s">
        <v>129</v>
      </c>
      <c r="B30" s="17" t="s">
        <v>130</v>
      </c>
      <c r="C30" s="17" t="s">
        <v>30</v>
      </c>
      <c r="D30" s="16">
        <v>-1.1624839186141706E-2</v>
      </c>
      <c r="E30" s="17" t="s">
        <v>7</v>
      </c>
      <c r="F30" s="17" t="s">
        <v>24</v>
      </c>
      <c r="G30" s="17" t="s">
        <v>25</v>
      </c>
      <c r="J30" s="17" t="s">
        <v>86</v>
      </c>
    </row>
    <row r="31" spans="1:10" x14ac:dyDescent="0.35">
      <c r="A31" s="11" t="s">
        <v>111</v>
      </c>
      <c r="D31" s="16">
        <v>0.23924784746467531</v>
      </c>
      <c r="E31" s="11" t="s">
        <v>7</v>
      </c>
      <c r="F31" s="11" t="s">
        <v>42</v>
      </c>
      <c r="G31" s="11" t="s">
        <v>43</v>
      </c>
      <c r="H31" s="11" t="s">
        <v>44</v>
      </c>
      <c r="J31" s="11" t="s">
        <v>86</v>
      </c>
    </row>
    <row r="32" spans="1:10" x14ac:dyDescent="0.35">
      <c r="A32" s="11" t="s">
        <v>41</v>
      </c>
      <c r="D32" s="16">
        <v>0.43458667821818669</v>
      </c>
      <c r="E32" s="11" t="s">
        <v>7</v>
      </c>
      <c r="F32" s="11" t="s">
        <v>42</v>
      </c>
      <c r="G32" s="11" t="s">
        <v>43</v>
      </c>
      <c r="H32" s="11" t="s">
        <v>44</v>
      </c>
      <c r="J32" s="11" t="s">
        <v>86</v>
      </c>
    </row>
    <row r="33" spans="1:10" x14ac:dyDescent="0.35">
      <c r="A33" s="11" t="s">
        <v>112</v>
      </c>
      <c r="D33" s="16">
        <v>1.3876375152951168</v>
      </c>
      <c r="E33" s="11" t="s">
        <v>7</v>
      </c>
      <c r="F33" s="11" t="s">
        <v>42</v>
      </c>
      <c r="G33" s="11" t="s">
        <v>43</v>
      </c>
      <c r="H33" s="11" t="s">
        <v>44</v>
      </c>
      <c r="J33" s="11" t="s">
        <v>86</v>
      </c>
    </row>
    <row r="34" spans="1:10" x14ac:dyDescent="0.35">
      <c r="A34" s="11" t="s">
        <v>113</v>
      </c>
      <c r="D34" s="16">
        <v>0.25106950580998866</v>
      </c>
      <c r="E34" s="11" t="s">
        <v>7</v>
      </c>
      <c r="F34" s="11" t="s">
        <v>42</v>
      </c>
      <c r="G34" s="11" t="s">
        <v>43</v>
      </c>
      <c r="H34" s="11" t="s">
        <v>44</v>
      </c>
      <c r="J34" s="11" t="s">
        <v>86</v>
      </c>
    </row>
    <row r="35" spans="1:10" x14ac:dyDescent="0.35">
      <c r="A35" s="11" t="s">
        <v>114</v>
      </c>
      <c r="D35" s="16">
        <v>4.7793275881766905E-4</v>
      </c>
      <c r="E35" s="11" t="s">
        <v>7</v>
      </c>
      <c r="F35" s="11" t="s">
        <v>42</v>
      </c>
      <c r="G35" s="11" t="s">
        <v>43</v>
      </c>
      <c r="H35" s="11" t="s">
        <v>44</v>
      </c>
      <c r="J35" s="11" t="s">
        <v>86</v>
      </c>
    </row>
    <row r="36" spans="1:10" x14ac:dyDescent="0.35">
      <c r="A36" s="11" t="s">
        <v>115</v>
      </c>
      <c r="D36" s="16">
        <v>4.5034888934527122E-7</v>
      </c>
      <c r="E36" s="11" t="s">
        <v>7</v>
      </c>
      <c r="F36" s="11" t="s">
        <v>42</v>
      </c>
      <c r="G36" s="11" t="s">
        <v>43</v>
      </c>
      <c r="H36" s="11" t="s">
        <v>44</v>
      </c>
      <c r="J36" s="11" t="s">
        <v>86</v>
      </c>
    </row>
    <row r="37" spans="1:10" x14ac:dyDescent="0.35">
      <c r="A37" s="11" t="s">
        <v>116</v>
      </c>
      <c r="D37" s="16">
        <v>9.1195650092417407E-3</v>
      </c>
      <c r="E37" s="11" t="s">
        <v>7</v>
      </c>
      <c r="F37" s="11" t="s">
        <v>42</v>
      </c>
      <c r="G37" s="11" t="s">
        <v>43</v>
      </c>
      <c r="H37" s="11" t="s">
        <v>50</v>
      </c>
      <c r="J37" s="11" t="s">
        <v>86</v>
      </c>
    </row>
    <row r="38" spans="1:10" x14ac:dyDescent="0.35">
      <c r="A38" s="11" t="s">
        <v>117</v>
      </c>
      <c r="D38" s="16">
        <v>3.083201083680063E-4</v>
      </c>
      <c r="E38" s="11" t="s">
        <v>7</v>
      </c>
      <c r="F38" s="11" t="s">
        <v>42</v>
      </c>
      <c r="G38" s="11" t="s">
        <v>43</v>
      </c>
      <c r="H38" s="11" t="s">
        <v>50</v>
      </c>
      <c r="J38" s="11" t="s">
        <v>86</v>
      </c>
    </row>
    <row r="39" spans="1:10" x14ac:dyDescent="0.35">
      <c r="A39" s="11" t="s">
        <v>77</v>
      </c>
      <c r="D39" s="16">
        <v>1.0930530480521413E-3</v>
      </c>
      <c r="E39" s="11" t="s">
        <v>7</v>
      </c>
      <c r="F39" s="11" t="s">
        <v>42</v>
      </c>
      <c r="G39" s="11" t="s">
        <v>43</v>
      </c>
      <c r="H39" s="11" t="s">
        <v>50</v>
      </c>
      <c r="J39" s="11" t="s">
        <v>86</v>
      </c>
    </row>
    <row r="40" spans="1:10" x14ac:dyDescent="0.35">
      <c r="A40" s="11" t="s">
        <v>49</v>
      </c>
      <c r="D40" s="16">
        <v>4.4303071989341055E-5</v>
      </c>
      <c r="E40" s="11" t="s">
        <v>7</v>
      </c>
      <c r="F40" s="11" t="s">
        <v>42</v>
      </c>
      <c r="G40" s="11" t="s">
        <v>43</v>
      </c>
      <c r="H40" s="11" t="s">
        <v>50</v>
      </c>
      <c r="J40" s="11" t="s">
        <v>86</v>
      </c>
    </row>
    <row r="41" spans="1:10" x14ac:dyDescent="0.35">
      <c r="A41" s="11" t="s">
        <v>118</v>
      </c>
      <c r="D41" s="16">
        <v>2.600764835968941E-5</v>
      </c>
      <c r="E41" s="11" t="s">
        <v>7</v>
      </c>
      <c r="F41" s="11" t="s">
        <v>42</v>
      </c>
      <c r="G41" s="11" t="s">
        <v>43</v>
      </c>
      <c r="H41" s="11" t="s">
        <v>50</v>
      </c>
      <c r="J41" s="11" t="s">
        <v>86</v>
      </c>
    </row>
    <row r="42" spans="1:10" x14ac:dyDescent="0.35">
      <c r="A42" s="11" t="s">
        <v>54</v>
      </c>
      <c r="D42" s="16">
        <v>2.9160090585106309E-4</v>
      </c>
      <c r="E42" s="11" t="s">
        <v>7</v>
      </c>
      <c r="F42" s="11" t="s">
        <v>42</v>
      </c>
      <c r="G42" s="11" t="s">
        <v>43</v>
      </c>
      <c r="H42" s="11" t="s">
        <v>50</v>
      </c>
      <c r="J42" s="11" t="s">
        <v>86</v>
      </c>
    </row>
    <row r="43" spans="1:10" x14ac:dyDescent="0.35">
      <c r="A43" s="11" t="s">
        <v>55</v>
      </c>
      <c r="D43" s="16">
        <v>0.80015738914421053</v>
      </c>
      <c r="E43" s="11" t="s">
        <v>7</v>
      </c>
      <c r="F43" s="11" t="s">
        <v>42</v>
      </c>
      <c r="G43" s="11" t="s">
        <v>43</v>
      </c>
      <c r="H43" s="11" t="s">
        <v>56</v>
      </c>
      <c r="J43" s="11" t="s">
        <v>86</v>
      </c>
    </row>
    <row r="44" spans="1:10" x14ac:dyDescent="0.35">
      <c r="A44" s="11" t="s">
        <v>52</v>
      </c>
      <c r="D44" s="16">
        <v>1.4692632514889474E-2</v>
      </c>
      <c r="E44" s="11" t="s">
        <v>7</v>
      </c>
      <c r="F44" s="11" t="s">
        <v>42</v>
      </c>
      <c r="G44" s="11" t="s">
        <v>43</v>
      </c>
      <c r="H44" s="11" t="s">
        <v>56</v>
      </c>
      <c r="J44" s="11" t="s">
        <v>86</v>
      </c>
    </row>
    <row r="45" spans="1:10" x14ac:dyDescent="0.35">
      <c r="A45" s="11" t="s">
        <v>57</v>
      </c>
      <c r="D45" s="16">
        <v>1.2046832789986004E-2</v>
      </c>
      <c r="E45" s="11" t="s">
        <v>7</v>
      </c>
      <c r="F45" s="11" t="s">
        <v>42</v>
      </c>
      <c r="G45" s="11" t="s">
        <v>43</v>
      </c>
      <c r="H45" s="11" t="s">
        <v>56</v>
      </c>
      <c r="J45" s="11" t="s">
        <v>86</v>
      </c>
    </row>
    <row r="46" spans="1:10" x14ac:dyDescent="0.35">
      <c r="A46" s="11" t="s">
        <v>58</v>
      </c>
      <c r="D46" s="16">
        <v>1.2947530568676545E-3</v>
      </c>
      <c r="E46" s="11" t="s">
        <v>7</v>
      </c>
      <c r="F46" s="11" t="s">
        <v>42</v>
      </c>
      <c r="G46" s="11" t="s">
        <v>43</v>
      </c>
      <c r="H46" s="11" t="s">
        <v>56</v>
      </c>
      <c r="J46" s="11" t="s">
        <v>86</v>
      </c>
    </row>
    <row r="47" spans="1:10" s="7" customFormat="1" x14ac:dyDescent="0.35"/>
    <row r="48" spans="1:10" x14ac:dyDescent="0.35">
      <c r="A48" s="10" t="s">
        <v>0</v>
      </c>
      <c r="B48" s="10" t="s">
        <v>125</v>
      </c>
    </row>
    <row r="49" spans="1:14" x14ac:dyDescent="0.35">
      <c r="A49" s="12" t="s">
        <v>1</v>
      </c>
      <c r="B49" s="11" t="s">
        <v>126</v>
      </c>
    </row>
    <row r="50" spans="1:14" x14ac:dyDescent="0.35">
      <c r="A50" s="12" t="s">
        <v>3</v>
      </c>
      <c r="B50" s="11" t="s">
        <v>4</v>
      </c>
    </row>
    <row r="51" spans="1:14" x14ac:dyDescent="0.35">
      <c r="A51" s="12" t="s">
        <v>5</v>
      </c>
      <c r="B51" s="11">
        <v>1</v>
      </c>
    </row>
    <row r="52" spans="1:14" x14ac:dyDescent="0.35">
      <c r="A52" s="12" t="s">
        <v>6</v>
      </c>
      <c r="B52" s="11" t="s">
        <v>7</v>
      </c>
    </row>
    <row r="53" spans="1:14" ht="29" x14ac:dyDescent="0.35">
      <c r="A53" s="12" t="s">
        <v>8</v>
      </c>
      <c r="B53" s="14" t="s">
        <v>155</v>
      </c>
    </row>
    <row r="54" spans="1:14" x14ac:dyDescent="0.35">
      <c r="A54" s="12" t="s">
        <v>9</v>
      </c>
    </row>
    <row r="55" spans="1:14" x14ac:dyDescent="0.35">
      <c r="A55" s="10" t="s">
        <v>10</v>
      </c>
      <c r="B55" s="10" t="s">
        <v>1</v>
      </c>
      <c r="C55" s="10" t="s">
        <v>3</v>
      </c>
      <c r="D55" s="10" t="s">
        <v>5</v>
      </c>
      <c r="E55" s="10" t="s">
        <v>6</v>
      </c>
      <c r="F55" s="10" t="s">
        <v>11</v>
      </c>
      <c r="G55" s="10" t="s">
        <v>12</v>
      </c>
      <c r="H55" s="10" t="s">
        <v>13</v>
      </c>
      <c r="I55" s="10" t="s">
        <v>14</v>
      </c>
      <c r="J55" s="10" t="s">
        <v>15</v>
      </c>
      <c r="K55" s="10" t="s">
        <v>16</v>
      </c>
      <c r="L55" s="10" t="s">
        <v>17</v>
      </c>
      <c r="M55" s="10" t="s">
        <v>18</v>
      </c>
      <c r="N55" s="10" t="s">
        <v>19</v>
      </c>
    </row>
    <row r="56" spans="1:14" x14ac:dyDescent="0.35">
      <c r="A56" s="11" t="str">
        <f>B48</f>
        <v>[P+R] Refined Cadmium (Cd) production - Hydrometallurgy (Yangtze)</v>
      </c>
      <c r="B56" s="11" t="str">
        <f>B49</f>
        <v>Refined Cd</v>
      </c>
      <c r="C56" s="11" t="s">
        <v>4</v>
      </c>
      <c r="D56" s="11">
        <v>1</v>
      </c>
      <c r="E56" s="11" t="s">
        <v>7</v>
      </c>
      <c r="F56" s="13" t="str">
        <f>Cd_Market_GLO!B1</f>
        <v>Cadmium</v>
      </c>
      <c r="G56" s="11" t="s">
        <v>20</v>
      </c>
    </row>
    <row r="57" spans="1:14" s="18" customFormat="1" x14ac:dyDescent="0.35">
      <c r="A57" s="18" t="str">
        <f>A87</f>
        <v xml:space="preserve">Refining material production - Volatilization kiln and multi chamber furnace </v>
      </c>
      <c r="B57" s="18" t="str">
        <f t="shared" ref="B57:E57" si="0">B87</f>
        <v>Refining material</v>
      </c>
      <c r="C57" s="18" t="str">
        <f t="shared" si="0"/>
        <v>CN</v>
      </c>
      <c r="D57" s="16">
        <v>0.25509589223091622</v>
      </c>
      <c r="E57" s="18" t="str">
        <f t="shared" si="0"/>
        <v>kilogram</v>
      </c>
      <c r="F57" s="13" t="str">
        <f>F56</f>
        <v>Cadmium</v>
      </c>
      <c r="G57" s="18" t="s">
        <v>25</v>
      </c>
    </row>
    <row r="58" spans="1:14" x14ac:dyDescent="0.35">
      <c r="A58" s="11" t="s">
        <v>33</v>
      </c>
      <c r="B58" s="11" t="s">
        <v>34</v>
      </c>
      <c r="C58" s="11" t="s">
        <v>23</v>
      </c>
      <c r="D58" s="16">
        <v>0.10854853761904</v>
      </c>
      <c r="E58" s="11" t="s">
        <v>35</v>
      </c>
      <c r="F58" s="11" t="s">
        <v>24</v>
      </c>
      <c r="G58" s="11" t="s">
        <v>25</v>
      </c>
      <c r="J58" s="11" t="s">
        <v>61</v>
      </c>
    </row>
    <row r="59" spans="1:14" x14ac:dyDescent="0.35">
      <c r="A59" s="11" t="s">
        <v>46</v>
      </c>
      <c r="B59" s="11" t="s">
        <v>47</v>
      </c>
      <c r="C59" s="11" t="s">
        <v>4</v>
      </c>
      <c r="D59" s="16">
        <v>1.960445629085694E-5</v>
      </c>
      <c r="E59" s="11" t="s">
        <v>39</v>
      </c>
      <c r="F59" s="11" t="s">
        <v>24</v>
      </c>
      <c r="G59" s="11" t="s">
        <v>25</v>
      </c>
      <c r="J59" s="11" t="s">
        <v>61</v>
      </c>
    </row>
    <row r="60" spans="1:14" x14ac:dyDescent="0.35">
      <c r="A60" s="11" t="s">
        <v>62</v>
      </c>
      <c r="B60" s="11" t="s">
        <v>63</v>
      </c>
      <c r="C60" s="11" t="s">
        <v>4</v>
      </c>
      <c r="D60" s="16">
        <v>1.3099261297069198E-2</v>
      </c>
      <c r="E60" s="11" t="s">
        <v>7</v>
      </c>
      <c r="F60" s="11" t="s">
        <v>24</v>
      </c>
      <c r="G60" s="11" t="s">
        <v>25</v>
      </c>
      <c r="J60" s="11" t="s">
        <v>61</v>
      </c>
    </row>
    <row r="61" spans="1:14" x14ac:dyDescent="0.35">
      <c r="A61" s="11" t="s">
        <v>64</v>
      </c>
      <c r="B61" s="11" t="s">
        <v>65</v>
      </c>
      <c r="C61" s="11" t="s">
        <v>23</v>
      </c>
      <c r="D61" s="16">
        <v>0.25509589223091628</v>
      </c>
      <c r="E61" s="11" t="s">
        <v>7</v>
      </c>
      <c r="F61" s="11" t="s">
        <v>24</v>
      </c>
      <c r="G61" s="11" t="s">
        <v>25</v>
      </c>
      <c r="J61" s="11" t="s">
        <v>61</v>
      </c>
    </row>
    <row r="62" spans="1:14" x14ac:dyDescent="0.35">
      <c r="A62" s="11" t="s">
        <v>66</v>
      </c>
      <c r="B62" s="11" t="s">
        <v>67</v>
      </c>
      <c r="C62" s="11" t="s">
        <v>23</v>
      </c>
      <c r="D62" s="16">
        <v>3.6121758918893812E-2</v>
      </c>
      <c r="E62" s="11" t="s">
        <v>7</v>
      </c>
      <c r="F62" s="11" t="s">
        <v>24</v>
      </c>
      <c r="G62" s="11" t="s">
        <v>25</v>
      </c>
      <c r="J62" s="11" t="s">
        <v>61</v>
      </c>
    </row>
    <row r="63" spans="1:14" x14ac:dyDescent="0.35">
      <c r="A63" s="11" t="s">
        <v>62</v>
      </c>
      <c r="B63" s="11" t="s">
        <v>63</v>
      </c>
      <c r="C63" s="11" t="s">
        <v>4</v>
      </c>
      <c r="D63" s="16">
        <v>0.3670741836524794</v>
      </c>
      <c r="E63" s="11" t="s">
        <v>7</v>
      </c>
      <c r="F63" s="11" t="s">
        <v>24</v>
      </c>
      <c r="G63" s="11" t="s">
        <v>25</v>
      </c>
      <c r="J63" s="11" t="s">
        <v>61</v>
      </c>
    </row>
    <row r="64" spans="1:14" x14ac:dyDescent="0.35">
      <c r="A64" s="11" t="s">
        <v>45</v>
      </c>
      <c r="D64" s="16">
        <v>4.0153497890784871E-4</v>
      </c>
      <c r="E64" s="11" t="s">
        <v>39</v>
      </c>
      <c r="F64" s="11" t="s">
        <v>42</v>
      </c>
      <c r="G64" s="11" t="s">
        <v>43</v>
      </c>
      <c r="H64" s="11" t="s">
        <v>44</v>
      </c>
      <c r="J64" s="11" t="s">
        <v>61</v>
      </c>
    </row>
    <row r="65" spans="1:10" x14ac:dyDescent="0.35">
      <c r="A65" s="11" t="s">
        <v>54</v>
      </c>
      <c r="D65" s="16">
        <v>4.4118355753016571E-5</v>
      </c>
      <c r="E65" s="11" t="s">
        <v>7</v>
      </c>
      <c r="F65" s="11" t="s">
        <v>42</v>
      </c>
      <c r="G65" s="11" t="s">
        <v>43</v>
      </c>
      <c r="H65" s="11" t="s">
        <v>50</v>
      </c>
      <c r="J65" s="11" t="s">
        <v>61</v>
      </c>
    </row>
    <row r="66" spans="1:10" x14ac:dyDescent="0.35">
      <c r="A66" s="11" t="s">
        <v>49</v>
      </c>
      <c r="D66" s="16">
        <v>5.7941555397957977E-6</v>
      </c>
      <c r="E66" s="11" t="s">
        <v>7</v>
      </c>
      <c r="F66" s="11" t="s">
        <v>42</v>
      </c>
      <c r="G66" s="11" t="s">
        <v>43</v>
      </c>
      <c r="H66" s="11" t="s">
        <v>50</v>
      </c>
      <c r="J66" s="11" t="s">
        <v>61</v>
      </c>
    </row>
    <row r="67" spans="1:10" x14ac:dyDescent="0.35">
      <c r="A67" s="11" t="s">
        <v>68</v>
      </c>
      <c r="D67" s="16">
        <v>1.3795608428085229E-8</v>
      </c>
      <c r="E67" s="11" t="s">
        <v>7</v>
      </c>
      <c r="F67" s="11" t="s">
        <v>42</v>
      </c>
      <c r="G67" s="11" t="s">
        <v>43</v>
      </c>
      <c r="H67" s="11" t="s">
        <v>50</v>
      </c>
      <c r="J67" s="11" t="s">
        <v>61</v>
      </c>
    </row>
    <row r="68" spans="1:10" x14ac:dyDescent="0.35">
      <c r="A68" s="11" t="s">
        <v>52</v>
      </c>
      <c r="D68" s="16">
        <v>6.345979876919206E-7</v>
      </c>
      <c r="E68" s="11" t="s">
        <v>7</v>
      </c>
      <c r="F68" s="11" t="s">
        <v>42</v>
      </c>
      <c r="G68" s="11" t="s">
        <v>43</v>
      </c>
      <c r="H68" s="11" t="s">
        <v>50</v>
      </c>
      <c r="J68" s="11" t="s">
        <v>61</v>
      </c>
    </row>
    <row r="69" spans="1:10" x14ac:dyDescent="0.35">
      <c r="A69" s="11" t="s">
        <v>58</v>
      </c>
      <c r="D69" s="16">
        <v>5.5182433712340918E-8</v>
      </c>
      <c r="E69" s="11" t="s">
        <v>7</v>
      </c>
      <c r="F69" s="11" t="s">
        <v>42</v>
      </c>
      <c r="G69" s="11" t="s">
        <v>43</v>
      </c>
      <c r="H69" s="11" t="s">
        <v>50</v>
      </c>
      <c r="J69" s="11" t="s">
        <v>61</v>
      </c>
    </row>
    <row r="70" spans="1:10" x14ac:dyDescent="0.35">
      <c r="A70" s="11" t="s">
        <v>59</v>
      </c>
      <c r="D70" s="16">
        <v>1.3795608428085231E-7</v>
      </c>
      <c r="E70" s="11" t="s">
        <v>7</v>
      </c>
      <c r="F70" s="11" t="s">
        <v>42</v>
      </c>
      <c r="G70" s="11" t="s">
        <v>43</v>
      </c>
      <c r="H70" s="11" t="s">
        <v>50</v>
      </c>
      <c r="J70" s="11" t="s">
        <v>61</v>
      </c>
    </row>
    <row r="71" spans="1:10" x14ac:dyDescent="0.35">
      <c r="A71" s="11" t="s">
        <v>53</v>
      </c>
      <c r="D71" s="16">
        <v>5.5182433712340937E-11</v>
      </c>
      <c r="E71" s="11" t="s">
        <v>7</v>
      </c>
      <c r="F71" s="11" t="s">
        <v>42</v>
      </c>
      <c r="G71" s="11" t="s">
        <v>43</v>
      </c>
      <c r="H71" s="11" t="s">
        <v>50</v>
      </c>
      <c r="J71" s="11" t="s">
        <v>61</v>
      </c>
    </row>
    <row r="72" spans="1:10" x14ac:dyDescent="0.35">
      <c r="A72" s="11" t="s">
        <v>45</v>
      </c>
      <c r="D72" s="16">
        <v>3.0775243281372535E-4</v>
      </c>
      <c r="E72" s="11" t="s">
        <v>39</v>
      </c>
      <c r="F72" s="11" t="s">
        <v>42</v>
      </c>
      <c r="G72" s="11" t="s">
        <v>43</v>
      </c>
      <c r="H72" s="11" t="s">
        <v>44</v>
      </c>
      <c r="J72" s="11" t="s">
        <v>61</v>
      </c>
    </row>
    <row r="73" spans="1:10" x14ac:dyDescent="0.35">
      <c r="A73" s="11" t="s">
        <v>51</v>
      </c>
      <c r="D73" s="16">
        <v>2.9136325000116002E-5</v>
      </c>
      <c r="E73" s="11" t="s">
        <v>7</v>
      </c>
      <c r="F73" s="11" t="s">
        <v>42</v>
      </c>
      <c r="G73" s="11" t="s">
        <v>43</v>
      </c>
      <c r="H73" s="11" t="s">
        <v>56</v>
      </c>
      <c r="J73" s="11" t="s">
        <v>61</v>
      </c>
    </row>
    <row r="74" spans="1:10" x14ac:dyDescent="0.35">
      <c r="A74" s="11" t="s">
        <v>69</v>
      </c>
      <c r="D74" s="16">
        <v>3.4963590000139217E-3</v>
      </c>
      <c r="E74" s="11" t="s">
        <v>7</v>
      </c>
      <c r="F74" s="11" t="s">
        <v>42</v>
      </c>
      <c r="G74" s="11" t="s">
        <v>43</v>
      </c>
      <c r="H74" s="11" t="s">
        <v>56</v>
      </c>
      <c r="J74" s="11" t="s">
        <v>61</v>
      </c>
    </row>
    <row r="75" spans="1:10" x14ac:dyDescent="0.35">
      <c r="A75" s="11" t="s">
        <v>54</v>
      </c>
      <c r="D75" s="16">
        <v>1.5415212857542427E-4</v>
      </c>
      <c r="E75" s="11" t="s">
        <v>7</v>
      </c>
      <c r="F75" s="11" t="s">
        <v>42</v>
      </c>
      <c r="G75" s="11" t="s">
        <v>43</v>
      </c>
      <c r="H75" s="11" t="s">
        <v>50</v>
      </c>
      <c r="J75" s="11" t="s">
        <v>61</v>
      </c>
    </row>
    <row r="76" spans="1:10" x14ac:dyDescent="0.35">
      <c r="A76" s="11" t="s">
        <v>59</v>
      </c>
      <c r="D76" s="16">
        <v>5.5182433712340918E-8</v>
      </c>
      <c r="E76" s="11" t="s">
        <v>7</v>
      </c>
      <c r="F76" s="11" t="s">
        <v>42</v>
      </c>
      <c r="G76" s="11" t="s">
        <v>43</v>
      </c>
      <c r="H76" s="11" t="s">
        <v>50</v>
      </c>
      <c r="J76" s="11" t="s">
        <v>61</v>
      </c>
    </row>
    <row r="77" spans="1:10" x14ac:dyDescent="0.35">
      <c r="A77" s="11" t="s">
        <v>51</v>
      </c>
      <c r="D77" s="16">
        <v>2.7149757386471726E-5</v>
      </c>
      <c r="E77" s="11" t="s">
        <v>7</v>
      </c>
      <c r="F77" s="11" t="s">
        <v>42</v>
      </c>
      <c r="G77" s="11" t="s">
        <v>43</v>
      </c>
      <c r="H77" s="11" t="s">
        <v>50</v>
      </c>
      <c r="J77" s="11" t="s">
        <v>61</v>
      </c>
    </row>
    <row r="78" spans="1:10" s="7" customFormat="1" x14ac:dyDescent="0.35"/>
    <row r="79" spans="1:10" x14ac:dyDescent="0.35">
      <c r="A79" s="10" t="s">
        <v>0</v>
      </c>
      <c r="B79" s="15" t="s">
        <v>119</v>
      </c>
    </row>
    <row r="80" spans="1:10" x14ac:dyDescent="0.35">
      <c r="A80" s="12" t="s">
        <v>1</v>
      </c>
      <c r="B80" s="11" t="s">
        <v>70</v>
      </c>
    </row>
    <row r="81" spans="1:14" x14ac:dyDescent="0.35">
      <c r="A81" s="12" t="s">
        <v>3</v>
      </c>
      <c r="B81" s="11" t="s">
        <v>4</v>
      </c>
    </row>
    <row r="82" spans="1:14" x14ac:dyDescent="0.35">
      <c r="A82" s="12" t="s">
        <v>5</v>
      </c>
      <c r="B82" s="19">
        <v>1</v>
      </c>
    </row>
    <row r="83" spans="1:14" x14ac:dyDescent="0.35">
      <c r="A83" s="12" t="s">
        <v>6</v>
      </c>
      <c r="B83" s="11" t="s">
        <v>7</v>
      </c>
    </row>
    <row r="84" spans="1:14" x14ac:dyDescent="0.35">
      <c r="A84" s="12" t="s">
        <v>8</v>
      </c>
      <c r="B84" s="18" t="s">
        <v>60</v>
      </c>
    </row>
    <row r="85" spans="1:14" x14ac:dyDescent="0.35">
      <c r="A85" s="12" t="s">
        <v>9</v>
      </c>
    </row>
    <row r="86" spans="1:14" x14ac:dyDescent="0.35">
      <c r="A86" s="10" t="s">
        <v>10</v>
      </c>
      <c r="B86" s="10" t="s">
        <v>1</v>
      </c>
      <c r="C86" s="10" t="s">
        <v>3</v>
      </c>
      <c r="D86" s="10" t="s">
        <v>5</v>
      </c>
      <c r="E86" s="10" t="s">
        <v>6</v>
      </c>
      <c r="F86" s="10" t="s">
        <v>11</v>
      </c>
      <c r="G86" s="10" t="s">
        <v>12</v>
      </c>
      <c r="H86" s="10" t="s">
        <v>13</v>
      </c>
      <c r="I86" s="10" t="s">
        <v>14</v>
      </c>
      <c r="J86" s="10" t="s">
        <v>15</v>
      </c>
      <c r="K86" s="10" t="s">
        <v>16</v>
      </c>
      <c r="L86" s="10" t="s">
        <v>17</v>
      </c>
      <c r="M86" s="10" t="s">
        <v>18</v>
      </c>
      <c r="N86" s="10" t="s">
        <v>19</v>
      </c>
    </row>
    <row r="87" spans="1:14" x14ac:dyDescent="0.35">
      <c r="A87" s="11" t="str">
        <f>B79</f>
        <v xml:space="preserve">Refining material production - Volatilization kiln and multi chamber furnace </v>
      </c>
      <c r="B87" s="11" t="str">
        <f>B80</f>
        <v>Refining material</v>
      </c>
      <c r="C87" s="11" t="s">
        <v>4</v>
      </c>
      <c r="D87" s="11">
        <v>1</v>
      </c>
      <c r="E87" s="11" t="s">
        <v>7</v>
      </c>
      <c r="F87" s="13" t="str">
        <f>F56</f>
        <v>Cadmium</v>
      </c>
      <c r="G87" s="11" t="s">
        <v>20</v>
      </c>
    </row>
    <row r="88" spans="1:14" s="18" customFormat="1" x14ac:dyDescent="0.35">
      <c r="A88" s="18" t="str">
        <f>A113</f>
        <v>Zn and Copper (Cu) waste treatment</v>
      </c>
      <c r="B88" s="18" t="str">
        <f t="shared" ref="B88:C88" si="1">B113</f>
        <v>Zn material</v>
      </c>
      <c r="C88" s="18" t="str">
        <f t="shared" si="1"/>
        <v>CN</v>
      </c>
      <c r="D88" s="18">
        <v>3.4505321011829618E-3</v>
      </c>
      <c r="E88" s="18" t="s">
        <v>7</v>
      </c>
      <c r="F88" s="13" t="str">
        <f>F56</f>
        <v>Cadmium</v>
      </c>
      <c r="G88" s="18" t="s">
        <v>25</v>
      </c>
      <c r="J88" s="18" t="s">
        <v>61</v>
      </c>
    </row>
    <row r="89" spans="1:14" s="18" customFormat="1" x14ac:dyDescent="0.35">
      <c r="A89" s="18" t="str">
        <f>A137</f>
        <v>Zn and Lead (Pb) waste treatment</v>
      </c>
      <c r="B89" s="18" t="str">
        <f t="shared" ref="B89:C89" si="2">B137</f>
        <v>Zn material</v>
      </c>
      <c r="C89" s="18" t="str">
        <f t="shared" si="2"/>
        <v>CN</v>
      </c>
      <c r="D89" s="18">
        <v>5.2433851241895063E-2</v>
      </c>
      <c r="E89" s="18" t="s">
        <v>7</v>
      </c>
      <c r="F89" s="13" t="str">
        <f>F56</f>
        <v>Cadmium</v>
      </c>
      <c r="G89" s="18" t="s">
        <v>25</v>
      </c>
      <c r="J89" s="18" t="s">
        <v>61</v>
      </c>
    </row>
    <row r="90" spans="1:14" x14ac:dyDescent="0.35">
      <c r="A90" s="11" t="s">
        <v>46</v>
      </c>
      <c r="B90" s="11" t="s">
        <v>47</v>
      </c>
      <c r="C90" s="11" t="s">
        <v>4</v>
      </c>
      <c r="D90" s="11">
        <v>1.9678942280681999E-5</v>
      </c>
      <c r="E90" s="11" t="s">
        <v>39</v>
      </c>
      <c r="F90" s="11" t="s">
        <v>24</v>
      </c>
      <c r="G90" s="11" t="s">
        <v>25</v>
      </c>
      <c r="J90" s="11" t="s">
        <v>61</v>
      </c>
    </row>
    <row r="91" spans="1:14" x14ac:dyDescent="0.35">
      <c r="A91" s="11" t="s">
        <v>62</v>
      </c>
      <c r="B91" s="11" t="s">
        <v>63</v>
      </c>
      <c r="C91" s="11" t="s">
        <v>4</v>
      </c>
      <c r="D91" s="11">
        <v>1.189566804031909E-2</v>
      </c>
      <c r="E91" s="11" t="s">
        <v>7</v>
      </c>
      <c r="F91" s="11" t="s">
        <v>24</v>
      </c>
      <c r="G91" s="11" t="s">
        <v>25</v>
      </c>
      <c r="J91" s="11" t="s">
        <v>61</v>
      </c>
    </row>
    <row r="92" spans="1:14" x14ac:dyDescent="0.35">
      <c r="A92" s="11" t="s">
        <v>71</v>
      </c>
      <c r="B92" s="11" t="s">
        <v>72</v>
      </c>
      <c r="C92" s="11" t="s">
        <v>4</v>
      </c>
      <c r="D92" s="11">
        <v>11.040815854776239</v>
      </c>
      <c r="E92" s="11" t="s">
        <v>35</v>
      </c>
      <c r="F92" s="11" t="s">
        <v>24</v>
      </c>
      <c r="G92" s="11" t="s">
        <v>25</v>
      </c>
      <c r="J92" s="11" t="s">
        <v>61</v>
      </c>
    </row>
    <row r="93" spans="1:14" x14ac:dyDescent="0.35">
      <c r="A93" s="11" t="s">
        <v>73</v>
      </c>
      <c r="B93" s="11" t="s">
        <v>74</v>
      </c>
      <c r="C93" s="11" t="s">
        <v>23</v>
      </c>
      <c r="D93" s="11">
        <v>-0.70771095362872305</v>
      </c>
      <c r="E93" s="11" t="s">
        <v>7</v>
      </c>
      <c r="F93" s="11" t="s">
        <v>24</v>
      </c>
      <c r="G93" s="11" t="s">
        <v>25</v>
      </c>
      <c r="J93" s="11" t="s">
        <v>61</v>
      </c>
    </row>
    <row r="94" spans="1:14" x14ac:dyDescent="0.35">
      <c r="A94" s="11" t="s">
        <v>75</v>
      </c>
      <c r="B94" s="11" t="s">
        <v>76</v>
      </c>
      <c r="C94" s="11" t="s">
        <v>30</v>
      </c>
      <c r="D94" s="11">
        <v>-7.2427013521034504E-3</v>
      </c>
      <c r="E94" s="11" t="s">
        <v>7</v>
      </c>
      <c r="F94" s="11" t="s">
        <v>24</v>
      </c>
      <c r="G94" s="11" t="s">
        <v>25</v>
      </c>
      <c r="J94" s="11" t="s">
        <v>61</v>
      </c>
    </row>
    <row r="95" spans="1:14" x14ac:dyDescent="0.35">
      <c r="A95" s="11" t="s">
        <v>45</v>
      </c>
      <c r="D95" s="11">
        <v>1.6652827681314169E-3</v>
      </c>
      <c r="E95" s="11" t="s">
        <v>39</v>
      </c>
      <c r="F95" s="11" t="s">
        <v>42</v>
      </c>
      <c r="G95" s="11" t="s">
        <v>43</v>
      </c>
      <c r="H95" s="11" t="s">
        <v>44</v>
      </c>
      <c r="J95" s="11" t="s">
        <v>61</v>
      </c>
    </row>
    <row r="96" spans="1:14" x14ac:dyDescent="0.35">
      <c r="A96" s="11" t="s">
        <v>54</v>
      </c>
      <c r="D96" s="11">
        <v>5.512986333985112E-5</v>
      </c>
      <c r="E96" s="11" t="s">
        <v>7</v>
      </c>
      <c r="F96" s="11" t="s">
        <v>42</v>
      </c>
      <c r="G96" s="11" t="s">
        <v>43</v>
      </c>
      <c r="H96" s="11" t="s">
        <v>50</v>
      </c>
      <c r="J96" s="11" t="s">
        <v>61</v>
      </c>
    </row>
    <row r="97" spans="1:14" x14ac:dyDescent="0.35">
      <c r="A97" s="11" t="s">
        <v>49</v>
      </c>
      <c r="D97" s="11">
        <v>6.8445654259408845E-7</v>
      </c>
      <c r="E97" s="11" t="s">
        <v>7</v>
      </c>
      <c r="F97" s="11" t="s">
        <v>42</v>
      </c>
      <c r="G97" s="11" t="s">
        <v>43</v>
      </c>
      <c r="H97" s="11" t="s">
        <v>50</v>
      </c>
      <c r="J97" s="11" t="s">
        <v>61</v>
      </c>
    </row>
    <row r="98" spans="1:14" x14ac:dyDescent="0.35">
      <c r="A98" s="11" t="s">
        <v>68</v>
      </c>
      <c r="D98" s="11">
        <v>1.2444664410801609E-6</v>
      </c>
      <c r="E98" s="11" t="s">
        <v>7</v>
      </c>
      <c r="F98" s="11" t="s">
        <v>42</v>
      </c>
      <c r="G98" s="11" t="s">
        <v>43</v>
      </c>
      <c r="H98" s="11" t="s">
        <v>50</v>
      </c>
      <c r="J98" s="11" t="s">
        <v>61</v>
      </c>
    </row>
    <row r="99" spans="1:14" x14ac:dyDescent="0.35">
      <c r="A99" s="11" t="s">
        <v>52</v>
      </c>
      <c r="D99" s="11">
        <v>2.2089279329172848E-6</v>
      </c>
      <c r="E99" s="11" t="s">
        <v>7</v>
      </c>
      <c r="F99" s="11" t="s">
        <v>42</v>
      </c>
      <c r="G99" s="11" t="s">
        <v>43</v>
      </c>
      <c r="H99" s="11" t="s">
        <v>50</v>
      </c>
      <c r="J99" s="11" t="s">
        <v>61</v>
      </c>
    </row>
    <row r="100" spans="1:14" x14ac:dyDescent="0.35">
      <c r="A100" s="11" t="s">
        <v>58</v>
      </c>
      <c r="D100" s="11">
        <v>6.5334488156708445E-7</v>
      </c>
      <c r="E100" s="11" t="s">
        <v>7</v>
      </c>
      <c r="F100" s="11" t="s">
        <v>42</v>
      </c>
      <c r="G100" s="11" t="s">
        <v>43</v>
      </c>
      <c r="H100" s="11" t="s">
        <v>50</v>
      </c>
      <c r="J100" s="11" t="s">
        <v>61</v>
      </c>
    </row>
    <row r="101" spans="1:14" x14ac:dyDescent="0.35">
      <c r="A101" s="11" t="s">
        <v>59</v>
      </c>
      <c r="D101" s="11">
        <v>2.1778162718902819E-7</v>
      </c>
      <c r="E101" s="11" t="s">
        <v>7</v>
      </c>
      <c r="F101" s="11" t="s">
        <v>42</v>
      </c>
      <c r="G101" s="11" t="s">
        <v>43</v>
      </c>
      <c r="H101" s="11" t="s">
        <v>50</v>
      </c>
      <c r="J101" s="11" t="s">
        <v>61</v>
      </c>
    </row>
    <row r="102" spans="1:14" x14ac:dyDescent="0.35">
      <c r="A102" s="11" t="s">
        <v>49</v>
      </c>
      <c r="D102" s="11">
        <v>5.2930268905241934E-4</v>
      </c>
      <c r="E102" s="11" t="s">
        <v>7</v>
      </c>
      <c r="F102" s="11" t="s">
        <v>42</v>
      </c>
      <c r="G102" s="11" t="s">
        <v>43</v>
      </c>
      <c r="H102" s="11" t="s">
        <v>50</v>
      </c>
      <c r="J102" s="11" t="s">
        <v>61</v>
      </c>
    </row>
    <row r="103" spans="1:14" x14ac:dyDescent="0.35">
      <c r="A103" s="11" t="s">
        <v>77</v>
      </c>
      <c r="D103" s="11">
        <v>4.4275004807529418E-4</v>
      </c>
      <c r="E103" s="11" t="s">
        <v>7</v>
      </c>
      <c r="F103" s="11" t="s">
        <v>42</v>
      </c>
      <c r="G103" s="11" t="s">
        <v>43</v>
      </c>
      <c r="H103" s="11" t="s">
        <v>50</v>
      </c>
      <c r="J103" s="11" t="s">
        <v>61</v>
      </c>
    </row>
    <row r="104" spans="1:14" s="7" customFormat="1" x14ac:dyDescent="0.35"/>
    <row r="105" spans="1:14" x14ac:dyDescent="0.35">
      <c r="A105" s="10" t="s">
        <v>0</v>
      </c>
      <c r="B105" s="15" t="s">
        <v>120</v>
      </c>
    </row>
    <row r="106" spans="1:14" x14ac:dyDescent="0.35">
      <c r="A106" s="12" t="s">
        <v>1</v>
      </c>
      <c r="B106" s="11" t="s">
        <v>121</v>
      </c>
    </row>
    <row r="107" spans="1:14" x14ac:dyDescent="0.35">
      <c r="A107" s="12" t="s">
        <v>3</v>
      </c>
      <c r="B107" s="11" t="s">
        <v>4</v>
      </c>
    </row>
    <row r="108" spans="1:14" x14ac:dyDescent="0.35">
      <c r="A108" s="12" t="s">
        <v>5</v>
      </c>
      <c r="B108" s="11">
        <v>1</v>
      </c>
    </row>
    <row r="109" spans="1:14" x14ac:dyDescent="0.35">
      <c r="A109" s="12" t="s">
        <v>6</v>
      </c>
      <c r="B109" s="11" t="s">
        <v>7</v>
      </c>
    </row>
    <row r="110" spans="1:14" x14ac:dyDescent="0.35">
      <c r="A110" s="12" t="s">
        <v>8</v>
      </c>
      <c r="B110" s="17" t="s">
        <v>123</v>
      </c>
    </row>
    <row r="111" spans="1:14" x14ac:dyDescent="0.35">
      <c r="A111" s="12" t="s">
        <v>9</v>
      </c>
    </row>
    <row r="112" spans="1:14" x14ac:dyDescent="0.35">
      <c r="A112" s="10" t="s">
        <v>10</v>
      </c>
      <c r="B112" s="10" t="s">
        <v>1</v>
      </c>
      <c r="C112" s="10" t="s">
        <v>3</v>
      </c>
      <c r="D112" s="10" t="s">
        <v>5</v>
      </c>
      <c r="E112" s="10" t="s">
        <v>6</v>
      </c>
      <c r="F112" s="10" t="s">
        <v>11</v>
      </c>
      <c r="G112" s="10" t="s">
        <v>12</v>
      </c>
      <c r="H112" s="10" t="s">
        <v>13</v>
      </c>
      <c r="I112" s="10" t="s">
        <v>14</v>
      </c>
      <c r="J112" s="10" t="s">
        <v>15</v>
      </c>
      <c r="K112" s="10" t="s">
        <v>16</v>
      </c>
      <c r="L112" s="10" t="s">
        <v>17</v>
      </c>
      <c r="M112" s="10" t="s">
        <v>18</v>
      </c>
      <c r="N112" s="10" t="s">
        <v>19</v>
      </c>
    </row>
    <row r="113" spans="1:10" x14ac:dyDescent="0.35">
      <c r="A113" s="11" t="str">
        <f>B105</f>
        <v>Zn and Copper (Cu) waste treatment</v>
      </c>
      <c r="B113" s="11" t="str">
        <f>B106</f>
        <v>Zn material</v>
      </c>
      <c r="C113" s="11" t="str">
        <f>B107</f>
        <v>CN</v>
      </c>
      <c r="D113" s="11">
        <v>1</v>
      </c>
      <c r="E113" s="11" t="str">
        <f>B109</f>
        <v>kilogram</v>
      </c>
      <c r="F113" s="13" t="str">
        <f>F56</f>
        <v>Cadmium</v>
      </c>
      <c r="G113" s="11" t="s">
        <v>20</v>
      </c>
    </row>
    <row r="114" spans="1:10" x14ac:dyDescent="0.35">
      <c r="A114" s="11" t="s">
        <v>66</v>
      </c>
      <c r="B114" s="11" t="s">
        <v>67</v>
      </c>
      <c r="C114" s="11" t="s">
        <v>23</v>
      </c>
      <c r="D114" s="11">
        <v>2.3821576615156428E-3</v>
      </c>
      <c r="E114" s="11" t="s">
        <v>7</v>
      </c>
      <c r="F114" s="11" t="s">
        <v>24</v>
      </c>
      <c r="G114" s="11" t="s">
        <v>25</v>
      </c>
      <c r="J114" s="11" t="s">
        <v>61</v>
      </c>
    </row>
    <row r="115" spans="1:10" x14ac:dyDescent="0.35">
      <c r="A115" s="11" t="s">
        <v>46</v>
      </c>
      <c r="B115" s="11" t="s">
        <v>47</v>
      </c>
      <c r="C115" s="11" t="s">
        <v>4</v>
      </c>
      <c r="D115" s="11">
        <v>3.2916137366570248E-7</v>
      </c>
      <c r="E115" s="11" t="s">
        <v>39</v>
      </c>
      <c r="F115" s="11" t="s">
        <v>24</v>
      </c>
      <c r="G115" s="11" t="s">
        <v>25</v>
      </c>
      <c r="J115" s="11" t="s">
        <v>61</v>
      </c>
    </row>
    <row r="116" spans="1:10" x14ac:dyDescent="0.35">
      <c r="A116" s="11" t="s">
        <v>62</v>
      </c>
      <c r="B116" s="11" t="s">
        <v>63</v>
      </c>
      <c r="C116" s="11" t="s">
        <v>4</v>
      </c>
      <c r="D116" s="11">
        <v>8.8764680076145169E-4</v>
      </c>
      <c r="E116" s="11" t="s">
        <v>7</v>
      </c>
      <c r="F116" s="11" t="s">
        <v>24</v>
      </c>
      <c r="G116" s="11" t="s">
        <v>25</v>
      </c>
      <c r="J116" s="11" t="s">
        <v>61</v>
      </c>
    </row>
    <row r="117" spans="1:10" x14ac:dyDescent="0.35">
      <c r="A117" s="11" t="s">
        <v>71</v>
      </c>
      <c r="B117" s="11" t="s">
        <v>72</v>
      </c>
      <c r="C117" s="11" t="s">
        <v>4</v>
      </c>
      <c r="D117" s="11">
        <v>1.8603684386012461E-3</v>
      </c>
      <c r="E117" s="11" t="s">
        <v>35</v>
      </c>
      <c r="F117" s="11" t="s">
        <v>24</v>
      </c>
      <c r="G117" s="11" t="s">
        <v>25</v>
      </c>
      <c r="J117" s="11" t="s">
        <v>61</v>
      </c>
    </row>
    <row r="118" spans="1:10" x14ac:dyDescent="0.35">
      <c r="A118" s="11" t="s">
        <v>78</v>
      </c>
      <c r="B118" s="11" t="s">
        <v>79</v>
      </c>
      <c r="C118" s="11" t="s">
        <v>30</v>
      </c>
      <c r="D118" s="11">
        <v>-7.3211960728745897E-4</v>
      </c>
      <c r="E118" s="11" t="s">
        <v>7</v>
      </c>
      <c r="F118" s="11" t="s">
        <v>24</v>
      </c>
      <c r="G118" s="11" t="s">
        <v>25</v>
      </c>
      <c r="J118" s="11" t="s">
        <v>61</v>
      </c>
    </row>
    <row r="119" spans="1:10" s="17" customFormat="1" x14ac:dyDescent="0.35">
      <c r="A119" s="17" t="s">
        <v>97</v>
      </c>
      <c r="B119" s="17" t="s">
        <v>98</v>
      </c>
      <c r="C119" s="17" t="s">
        <v>30</v>
      </c>
      <c r="D119" s="17">
        <v>-3.2163653932674202E-5</v>
      </c>
      <c r="E119" s="17" t="s">
        <v>7</v>
      </c>
      <c r="F119" s="17" t="s">
        <v>24</v>
      </c>
      <c r="G119" s="17" t="s">
        <v>25</v>
      </c>
      <c r="J119" s="17" t="s">
        <v>61</v>
      </c>
    </row>
    <row r="120" spans="1:10" x14ac:dyDescent="0.35">
      <c r="A120" s="11" t="s">
        <v>45</v>
      </c>
      <c r="D120" s="11">
        <v>4.7226816982449511E-5</v>
      </c>
      <c r="E120" s="11" t="s">
        <v>39</v>
      </c>
      <c r="F120" s="11" t="s">
        <v>42</v>
      </c>
      <c r="G120" s="11" t="s">
        <v>43</v>
      </c>
      <c r="H120" s="11" t="s">
        <v>44</v>
      </c>
      <c r="J120" s="11" t="s">
        <v>61</v>
      </c>
    </row>
    <row r="121" spans="1:10" x14ac:dyDescent="0.35">
      <c r="A121" s="11" t="s">
        <v>54</v>
      </c>
      <c r="D121" s="11">
        <v>2.5822678652413341E-6</v>
      </c>
      <c r="E121" s="11" t="s">
        <v>7</v>
      </c>
      <c r="F121" s="11" t="s">
        <v>42</v>
      </c>
      <c r="G121" s="11" t="s">
        <v>43</v>
      </c>
      <c r="H121" s="11" t="s">
        <v>50</v>
      </c>
      <c r="J121" s="11" t="s">
        <v>61</v>
      </c>
    </row>
    <row r="122" spans="1:10" x14ac:dyDescent="0.35">
      <c r="A122" s="11" t="s">
        <v>52</v>
      </c>
      <c r="D122" s="11">
        <v>3.1111661027004021E-8</v>
      </c>
      <c r="E122" s="11" t="s">
        <v>7</v>
      </c>
      <c r="F122" s="11" t="s">
        <v>42</v>
      </c>
      <c r="G122" s="11" t="s">
        <v>43</v>
      </c>
      <c r="H122" s="11" t="s">
        <v>50</v>
      </c>
      <c r="J122" s="11" t="s">
        <v>61</v>
      </c>
    </row>
    <row r="123" spans="1:10" x14ac:dyDescent="0.35">
      <c r="A123" s="11" t="s">
        <v>58</v>
      </c>
      <c r="D123" s="11">
        <v>6.2223322054008039E-9</v>
      </c>
      <c r="E123" s="11" t="s">
        <v>7</v>
      </c>
      <c r="F123" s="11" t="s">
        <v>42</v>
      </c>
      <c r="G123" s="11" t="s">
        <v>43</v>
      </c>
      <c r="H123" s="11" t="s">
        <v>50</v>
      </c>
      <c r="J123" s="11" t="s">
        <v>61</v>
      </c>
    </row>
    <row r="124" spans="1:10" x14ac:dyDescent="0.35">
      <c r="A124" s="11" t="s">
        <v>59</v>
      </c>
      <c r="D124" s="11">
        <v>3.031700698105228E-10</v>
      </c>
      <c r="E124" s="11" t="s">
        <v>7</v>
      </c>
      <c r="F124" s="11" t="s">
        <v>42</v>
      </c>
      <c r="G124" s="11" t="s">
        <v>43</v>
      </c>
      <c r="H124" s="11" t="s">
        <v>50</v>
      </c>
      <c r="J124" s="11" t="s">
        <v>61</v>
      </c>
    </row>
    <row r="125" spans="1:10" x14ac:dyDescent="0.35">
      <c r="A125" s="11" t="s">
        <v>51</v>
      </c>
      <c r="D125" s="11">
        <v>8.4001484772910857E-7</v>
      </c>
      <c r="E125" s="11" t="s">
        <v>7</v>
      </c>
      <c r="F125" s="11" t="s">
        <v>42</v>
      </c>
      <c r="G125" s="11" t="s">
        <v>43</v>
      </c>
      <c r="H125" s="11" t="s">
        <v>50</v>
      </c>
      <c r="J125" s="11" t="s">
        <v>61</v>
      </c>
    </row>
    <row r="126" spans="1:10" x14ac:dyDescent="0.35">
      <c r="A126" s="11" t="s">
        <v>49</v>
      </c>
      <c r="D126" s="11">
        <v>1.4186917428313831E-5</v>
      </c>
      <c r="E126" s="11" t="s">
        <v>7</v>
      </c>
      <c r="F126" s="11" t="s">
        <v>42</v>
      </c>
      <c r="G126" s="11" t="s">
        <v>43</v>
      </c>
      <c r="H126" s="11" t="s">
        <v>50</v>
      </c>
      <c r="J126" s="11" t="s">
        <v>61</v>
      </c>
    </row>
    <row r="127" spans="1:10" x14ac:dyDescent="0.35">
      <c r="A127" s="11" t="s">
        <v>77</v>
      </c>
      <c r="D127" s="11">
        <v>8.7423767485881308E-6</v>
      </c>
      <c r="E127" s="11" t="s">
        <v>7</v>
      </c>
      <c r="F127" s="11" t="s">
        <v>42</v>
      </c>
      <c r="G127" s="11" t="s">
        <v>43</v>
      </c>
      <c r="H127" s="11" t="s">
        <v>50</v>
      </c>
      <c r="J127" s="11" t="s">
        <v>61</v>
      </c>
    </row>
    <row r="128" spans="1:10" s="7" customFormat="1" x14ac:dyDescent="0.35"/>
    <row r="129" spans="1:14" x14ac:dyDescent="0.35">
      <c r="A129" s="10" t="s">
        <v>0</v>
      </c>
      <c r="B129" s="15" t="s">
        <v>122</v>
      </c>
    </row>
    <row r="130" spans="1:14" x14ac:dyDescent="0.35">
      <c r="A130" s="12" t="s">
        <v>1</v>
      </c>
      <c r="B130" s="11" t="s">
        <v>121</v>
      </c>
    </row>
    <row r="131" spans="1:14" x14ac:dyDescent="0.35">
      <c r="A131" s="12" t="s">
        <v>3</v>
      </c>
      <c r="B131" s="11" t="s">
        <v>4</v>
      </c>
    </row>
    <row r="132" spans="1:14" x14ac:dyDescent="0.35">
      <c r="A132" s="12" t="s">
        <v>5</v>
      </c>
      <c r="B132" s="11">
        <v>1</v>
      </c>
    </row>
    <row r="133" spans="1:14" x14ac:dyDescent="0.35">
      <c r="A133" s="12" t="s">
        <v>6</v>
      </c>
      <c r="B133" s="11" t="s">
        <v>7</v>
      </c>
    </row>
    <row r="134" spans="1:14" x14ac:dyDescent="0.35">
      <c r="A134" s="12" t="s">
        <v>8</v>
      </c>
      <c r="B134" s="17" t="s">
        <v>123</v>
      </c>
    </row>
    <row r="135" spans="1:14" x14ac:dyDescent="0.35">
      <c r="A135" s="12" t="s">
        <v>9</v>
      </c>
    </row>
    <row r="136" spans="1:14" x14ac:dyDescent="0.35">
      <c r="A136" s="10" t="s">
        <v>10</v>
      </c>
      <c r="B136" s="10" t="s">
        <v>1</v>
      </c>
      <c r="C136" s="10" t="s">
        <v>3</v>
      </c>
      <c r="D136" s="10" t="s">
        <v>5</v>
      </c>
      <c r="E136" s="10" t="s">
        <v>6</v>
      </c>
      <c r="F136" s="10" t="s">
        <v>11</v>
      </c>
      <c r="G136" s="10" t="s">
        <v>12</v>
      </c>
      <c r="H136" s="10" t="s">
        <v>13</v>
      </c>
      <c r="I136" s="10" t="s">
        <v>14</v>
      </c>
      <c r="J136" s="10" t="s">
        <v>15</v>
      </c>
      <c r="K136" s="10" t="s">
        <v>16</v>
      </c>
      <c r="L136" s="10" t="s">
        <v>17</v>
      </c>
      <c r="M136" s="10" t="s">
        <v>18</v>
      </c>
      <c r="N136" s="10" t="s">
        <v>19</v>
      </c>
    </row>
    <row r="137" spans="1:14" x14ac:dyDescent="0.35">
      <c r="A137" s="11" t="str">
        <f>B129</f>
        <v>Zn and Lead (Pb) waste treatment</v>
      </c>
      <c r="B137" s="11" t="str">
        <f>B130</f>
        <v>Zn material</v>
      </c>
      <c r="C137" s="11" t="str">
        <f>B131</f>
        <v>CN</v>
      </c>
      <c r="D137" s="11">
        <v>1</v>
      </c>
      <c r="E137" s="11" t="str">
        <f>B133</f>
        <v>kilogram</v>
      </c>
      <c r="F137" s="13" t="str">
        <f>F113</f>
        <v>Cadmium</v>
      </c>
      <c r="G137" s="11" t="s">
        <v>20</v>
      </c>
    </row>
    <row r="138" spans="1:14" x14ac:dyDescent="0.35">
      <c r="A138" s="11" t="s">
        <v>66</v>
      </c>
      <c r="B138" s="11" t="s">
        <v>67</v>
      </c>
      <c r="C138" s="11" t="s">
        <v>23</v>
      </c>
      <c r="D138" s="11">
        <v>9.9507536628769635E-4</v>
      </c>
      <c r="E138" s="11" t="s">
        <v>7</v>
      </c>
      <c r="F138" s="11" t="s">
        <v>24</v>
      </c>
      <c r="G138" s="11" t="s">
        <v>25</v>
      </c>
      <c r="J138" s="11" t="s">
        <v>61</v>
      </c>
    </row>
    <row r="139" spans="1:14" x14ac:dyDescent="0.35">
      <c r="A139" s="11" t="s">
        <v>46</v>
      </c>
      <c r="B139" s="11" t="s">
        <v>47</v>
      </c>
      <c r="C139" s="11" t="s">
        <v>4</v>
      </c>
      <c r="D139" s="11">
        <v>1.745597521072627E-6</v>
      </c>
      <c r="E139" s="11" t="s">
        <v>39</v>
      </c>
      <c r="F139" s="11" t="s">
        <v>24</v>
      </c>
      <c r="G139" s="11" t="s">
        <v>25</v>
      </c>
      <c r="J139" s="11" t="s">
        <v>61</v>
      </c>
    </row>
    <row r="140" spans="1:14" x14ac:dyDescent="0.35">
      <c r="A140" s="11" t="s">
        <v>62</v>
      </c>
      <c r="B140" s="11" t="s">
        <v>63</v>
      </c>
      <c r="C140" s="11" t="s">
        <v>4</v>
      </c>
      <c r="D140" s="11">
        <v>1.0342138358596679E-3</v>
      </c>
      <c r="E140" s="11" t="s">
        <v>7</v>
      </c>
      <c r="F140" s="11" t="s">
        <v>24</v>
      </c>
      <c r="G140" s="11" t="s">
        <v>25</v>
      </c>
      <c r="J140" s="11" t="s">
        <v>61</v>
      </c>
    </row>
    <row r="141" spans="1:14" x14ac:dyDescent="0.35">
      <c r="A141" s="11" t="s">
        <v>71</v>
      </c>
      <c r="B141" s="11" t="s">
        <v>72</v>
      </c>
      <c r="C141" s="11" t="s">
        <v>4</v>
      </c>
      <c r="D141" s="11">
        <v>0.23677066060852109</v>
      </c>
      <c r="E141" s="11" t="s">
        <v>35</v>
      </c>
      <c r="F141" s="11" t="s">
        <v>24</v>
      </c>
      <c r="G141" s="11" t="s">
        <v>25</v>
      </c>
      <c r="J141" s="11" t="s">
        <v>61</v>
      </c>
    </row>
    <row r="142" spans="1:14" x14ac:dyDescent="0.35">
      <c r="A142" s="11" t="s">
        <v>80</v>
      </c>
      <c r="B142" s="11" t="s">
        <v>81</v>
      </c>
      <c r="C142" s="11" t="s">
        <v>23</v>
      </c>
      <c r="D142" s="11">
        <v>3.9927865747209232E-2</v>
      </c>
      <c r="E142" s="11" t="s">
        <v>7</v>
      </c>
      <c r="F142" s="11" t="s">
        <v>24</v>
      </c>
      <c r="G142" s="11" t="s">
        <v>25</v>
      </c>
      <c r="J142" s="11" t="s">
        <v>61</v>
      </c>
    </row>
    <row r="143" spans="1:14" s="17" customFormat="1" x14ac:dyDescent="0.35">
      <c r="A143" s="17" t="s">
        <v>97</v>
      </c>
      <c r="B143" s="17" t="s">
        <v>98</v>
      </c>
      <c r="C143" s="17" t="s">
        <v>30</v>
      </c>
      <c r="D143" s="17">
        <v>-2.9923424246480999E-2</v>
      </c>
      <c r="E143" s="17" t="s">
        <v>7</v>
      </c>
      <c r="F143" s="17" t="s">
        <v>24</v>
      </c>
      <c r="G143" s="17" t="s">
        <v>25</v>
      </c>
      <c r="J143" s="17" t="s">
        <v>61</v>
      </c>
    </row>
    <row r="144" spans="1:14" x14ac:dyDescent="0.35">
      <c r="A144" s="11" t="s">
        <v>45</v>
      </c>
      <c r="D144" s="11">
        <v>3.6333442213776372E-5</v>
      </c>
      <c r="E144" s="11" t="s">
        <v>39</v>
      </c>
      <c r="F144" s="11" t="s">
        <v>42</v>
      </c>
      <c r="G144" s="11" t="s">
        <v>43</v>
      </c>
      <c r="H144" s="11" t="s">
        <v>44</v>
      </c>
      <c r="J144" s="11" t="s">
        <v>61</v>
      </c>
    </row>
    <row r="145" spans="1:10" x14ac:dyDescent="0.35">
      <c r="A145" s="11" t="s">
        <v>54</v>
      </c>
      <c r="D145" s="11">
        <v>1.8324768344905369E-5</v>
      </c>
      <c r="E145" s="11" t="s">
        <v>7</v>
      </c>
      <c r="F145" s="11" t="s">
        <v>42</v>
      </c>
      <c r="G145" s="11" t="s">
        <v>43</v>
      </c>
      <c r="H145" s="11" t="s">
        <v>50</v>
      </c>
      <c r="J145" s="11" t="s">
        <v>61</v>
      </c>
    </row>
    <row r="146" spans="1:10" x14ac:dyDescent="0.35">
      <c r="A146" s="11" t="s">
        <v>68</v>
      </c>
      <c r="D146" s="11">
        <v>2.1778162718902819E-7</v>
      </c>
      <c r="E146" s="11" t="s">
        <v>7</v>
      </c>
      <c r="F146" s="11" t="s">
        <v>42</v>
      </c>
      <c r="G146" s="11" t="s">
        <v>43</v>
      </c>
      <c r="H146" s="11" t="s">
        <v>50</v>
      </c>
      <c r="J146" s="11" t="s">
        <v>61</v>
      </c>
    </row>
    <row r="147" spans="1:10" x14ac:dyDescent="0.35">
      <c r="A147" s="11" t="s">
        <v>52</v>
      </c>
      <c r="D147" s="11">
        <v>9.0223816978311657E-7</v>
      </c>
      <c r="E147" s="11" t="s">
        <v>7</v>
      </c>
      <c r="F147" s="11" t="s">
        <v>42</v>
      </c>
      <c r="G147" s="11" t="s">
        <v>43</v>
      </c>
      <c r="H147" s="11" t="s">
        <v>50</v>
      </c>
      <c r="J147" s="11" t="s">
        <v>61</v>
      </c>
    </row>
    <row r="148" spans="1:10" x14ac:dyDescent="0.35">
      <c r="A148" s="11" t="s">
        <v>58</v>
      </c>
      <c r="D148" s="11">
        <v>6.2223322054008042E-8</v>
      </c>
      <c r="E148" s="11" t="s">
        <v>7</v>
      </c>
      <c r="F148" s="11" t="s">
        <v>42</v>
      </c>
      <c r="G148" s="11" t="s">
        <v>43</v>
      </c>
      <c r="H148" s="11" t="s">
        <v>50</v>
      </c>
      <c r="J148" s="11" t="s">
        <v>61</v>
      </c>
    </row>
    <row r="149" spans="1:10" x14ac:dyDescent="0.35">
      <c r="A149" s="11" t="s">
        <v>59</v>
      </c>
      <c r="D149" s="11">
        <v>2.177816271890281E-8</v>
      </c>
      <c r="E149" s="11" t="s">
        <v>7</v>
      </c>
      <c r="F149" s="11" t="s">
        <v>42</v>
      </c>
      <c r="G149" s="11" t="s">
        <v>43</v>
      </c>
      <c r="H149" s="11" t="s">
        <v>50</v>
      </c>
      <c r="J149" s="11" t="s">
        <v>61</v>
      </c>
    </row>
    <row r="150" spans="1:10" x14ac:dyDescent="0.35">
      <c r="A150" s="11" t="s">
        <v>51</v>
      </c>
      <c r="D150" s="11">
        <v>1.4311364072421849E-6</v>
      </c>
      <c r="E150" s="11" t="s">
        <v>7</v>
      </c>
      <c r="F150" s="11" t="s">
        <v>42</v>
      </c>
      <c r="G150" s="11" t="s">
        <v>43</v>
      </c>
      <c r="H150" s="11" t="s">
        <v>50</v>
      </c>
      <c r="J150" s="11" t="s">
        <v>61</v>
      </c>
    </row>
    <row r="151" spans="1:10" x14ac:dyDescent="0.35">
      <c r="A151" s="11" t="s">
        <v>49</v>
      </c>
      <c r="D151" s="11">
        <v>1.4392254391092061E-4</v>
      </c>
      <c r="E151" s="11" t="s">
        <v>7</v>
      </c>
      <c r="F151" s="11" t="s">
        <v>42</v>
      </c>
      <c r="G151" s="11" t="s">
        <v>43</v>
      </c>
      <c r="H151" s="11" t="s">
        <v>50</v>
      </c>
      <c r="J151" s="11" t="s">
        <v>61</v>
      </c>
    </row>
    <row r="152" spans="1:10" x14ac:dyDescent="0.35">
      <c r="A152" s="11" t="s">
        <v>77</v>
      </c>
      <c r="D152" s="11">
        <v>5.2423148830501792E-5</v>
      </c>
      <c r="E152" s="11" t="s">
        <v>7</v>
      </c>
      <c r="F152" s="11" t="s">
        <v>42</v>
      </c>
      <c r="G152" s="11" t="s">
        <v>43</v>
      </c>
      <c r="H152" s="11" t="s">
        <v>50</v>
      </c>
      <c r="J152" s="11" t="s">
        <v>61</v>
      </c>
    </row>
    <row r="153" spans="1:10" s="7" customFormat="1" x14ac:dyDescent="0.35"/>
    <row r="154" spans="1:10" x14ac:dyDescent="0.35">
      <c r="A154" s="10" t="s">
        <v>0</v>
      </c>
      <c r="B154" s="10" t="s">
        <v>83</v>
      </c>
    </row>
    <row r="155" spans="1:10" x14ac:dyDescent="0.35">
      <c r="A155" s="12" t="s">
        <v>1</v>
      </c>
      <c r="B155" s="11" t="s">
        <v>84</v>
      </c>
    </row>
    <row r="156" spans="1:10" x14ac:dyDescent="0.35">
      <c r="A156" s="12" t="s">
        <v>3</v>
      </c>
      <c r="B156" s="11" t="s">
        <v>4</v>
      </c>
    </row>
    <row r="157" spans="1:10" x14ac:dyDescent="0.35">
      <c r="A157" s="12" t="s">
        <v>5</v>
      </c>
      <c r="B157" s="11">
        <v>-1</v>
      </c>
    </row>
    <row r="158" spans="1:10" x14ac:dyDescent="0.35">
      <c r="A158" s="12" t="s">
        <v>6</v>
      </c>
      <c r="B158" s="11" t="s">
        <v>7</v>
      </c>
    </row>
    <row r="159" spans="1:10" x14ac:dyDescent="0.35">
      <c r="A159" s="12" t="s">
        <v>8</v>
      </c>
      <c r="B159" s="18" t="s">
        <v>60</v>
      </c>
    </row>
    <row r="160" spans="1:10" x14ac:dyDescent="0.35">
      <c r="A160" s="12" t="s">
        <v>9</v>
      </c>
    </row>
    <row r="161" spans="1:14" x14ac:dyDescent="0.35">
      <c r="A161" s="10" t="s">
        <v>10</v>
      </c>
      <c r="B161" s="10" t="s">
        <v>1</v>
      </c>
      <c r="C161" s="10" t="s">
        <v>3</v>
      </c>
      <c r="D161" s="10" t="s">
        <v>5</v>
      </c>
      <c r="E161" s="10" t="s">
        <v>6</v>
      </c>
      <c r="F161" s="10" t="s">
        <v>11</v>
      </c>
      <c r="G161" s="10" t="s">
        <v>12</v>
      </c>
      <c r="H161" s="10" t="s">
        <v>13</v>
      </c>
      <c r="I161" s="10" t="s">
        <v>14</v>
      </c>
      <c r="J161" s="10" t="s">
        <v>15</v>
      </c>
      <c r="K161" s="10" t="s">
        <v>16</v>
      </c>
      <c r="L161" s="10" t="s">
        <v>17</v>
      </c>
      <c r="M161" s="10" t="s">
        <v>18</v>
      </c>
      <c r="N161" s="10" t="s">
        <v>19</v>
      </c>
    </row>
    <row r="162" spans="1:14" x14ac:dyDescent="0.35">
      <c r="A162" s="11" t="s">
        <v>83</v>
      </c>
      <c r="B162" s="11" t="s">
        <v>84</v>
      </c>
      <c r="C162" s="11" t="s">
        <v>4</v>
      </c>
      <c r="D162" s="11">
        <v>-1</v>
      </c>
      <c r="E162" s="11" t="s">
        <v>7</v>
      </c>
      <c r="F162" s="13" t="str">
        <f>F137</f>
        <v>Cadmium</v>
      </c>
      <c r="G162" s="11" t="s">
        <v>20</v>
      </c>
    </row>
    <row r="163" spans="1:14" x14ac:dyDescent="0.35">
      <c r="A163" s="11" t="s">
        <v>66</v>
      </c>
      <c r="B163" s="11" t="s">
        <v>67</v>
      </c>
      <c r="C163" s="11" t="s">
        <v>23</v>
      </c>
      <c r="D163" s="11">
        <v>9.4890566132362266E-3</v>
      </c>
      <c r="E163" s="11" t="s">
        <v>7</v>
      </c>
      <c r="F163" s="11" t="s">
        <v>24</v>
      </c>
      <c r="G163" s="11" t="s">
        <v>25</v>
      </c>
      <c r="J163" s="11" t="s">
        <v>61</v>
      </c>
    </row>
    <row r="164" spans="1:14" x14ac:dyDescent="0.35">
      <c r="A164" s="11" t="s">
        <v>62</v>
      </c>
      <c r="B164" s="11" t="s">
        <v>63</v>
      </c>
      <c r="C164" s="11" t="s">
        <v>4</v>
      </c>
      <c r="D164" s="11">
        <v>2.944563157900796E-3</v>
      </c>
      <c r="E164" s="11" t="s">
        <v>7</v>
      </c>
      <c r="F164" s="11" t="s">
        <v>24</v>
      </c>
      <c r="G164" s="11" t="s">
        <v>25</v>
      </c>
      <c r="J164" s="11" t="s">
        <v>61</v>
      </c>
    </row>
    <row r="165" spans="1:14" x14ac:dyDescent="0.35">
      <c r="A165" s="11" t="s">
        <v>73</v>
      </c>
      <c r="B165" s="11" t="s">
        <v>74</v>
      </c>
      <c r="C165" s="11" t="s">
        <v>23</v>
      </c>
      <c r="D165" s="11">
        <v>-4.2311858996725502E-3</v>
      </c>
      <c r="E165" s="11" t="s">
        <v>7</v>
      </c>
      <c r="F165" s="11" t="s">
        <v>24</v>
      </c>
      <c r="G165" s="11" t="s">
        <v>25</v>
      </c>
      <c r="J165" s="11" t="s">
        <v>61</v>
      </c>
    </row>
    <row r="166" spans="1:14" x14ac:dyDescent="0.35">
      <c r="A166" s="11" t="s">
        <v>82</v>
      </c>
      <c r="B166" s="11" t="s">
        <v>40</v>
      </c>
      <c r="C166" s="11" t="s">
        <v>30</v>
      </c>
      <c r="D166" s="11">
        <v>-1.10881959900242E-2</v>
      </c>
      <c r="E166" s="11" t="s">
        <v>7</v>
      </c>
      <c r="F166" s="11" t="s">
        <v>24</v>
      </c>
      <c r="G166" s="11" t="s">
        <v>25</v>
      </c>
      <c r="J166" s="11" t="s">
        <v>61</v>
      </c>
    </row>
    <row r="167" spans="1:14" x14ac:dyDescent="0.35">
      <c r="A167" s="11" t="s">
        <v>73</v>
      </c>
      <c r="B167" s="11" t="s">
        <v>74</v>
      </c>
      <c r="C167" s="11" t="s">
        <v>23</v>
      </c>
      <c r="D167" s="11">
        <v>-1.02668481389113E-3</v>
      </c>
      <c r="E167" s="11" t="s">
        <v>7</v>
      </c>
      <c r="F167" s="11" t="s">
        <v>24</v>
      </c>
      <c r="G167" s="11" t="s">
        <v>25</v>
      </c>
      <c r="J167" s="11" t="s">
        <v>61</v>
      </c>
    </row>
    <row r="168" spans="1:14" x14ac:dyDescent="0.35">
      <c r="A168" s="11" t="s">
        <v>45</v>
      </c>
      <c r="D168" s="11">
        <v>8.7268209180746271E-5</v>
      </c>
      <c r="E168" s="11" t="s">
        <v>39</v>
      </c>
      <c r="F168" s="11" t="s">
        <v>42</v>
      </c>
      <c r="G168" s="11" t="s">
        <v>43</v>
      </c>
      <c r="H168" s="11" t="s">
        <v>44</v>
      </c>
      <c r="J168" s="11" t="s">
        <v>61</v>
      </c>
    </row>
    <row r="169" spans="1:14" s="8" customFormat="1" x14ac:dyDescent="0.35"/>
    <row r="170" spans="1:14" x14ac:dyDescent="0.35">
      <c r="A170" s="10" t="s">
        <v>0</v>
      </c>
      <c r="B170" s="10" t="s">
        <v>127</v>
      </c>
    </row>
    <row r="171" spans="1:14" x14ac:dyDescent="0.35">
      <c r="A171" s="12" t="s">
        <v>1</v>
      </c>
      <c r="B171" s="11" t="s">
        <v>126</v>
      </c>
    </row>
    <row r="172" spans="1:14" x14ac:dyDescent="0.35">
      <c r="A172" s="12" t="s">
        <v>3</v>
      </c>
      <c r="B172" s="11" t="s">
        <v>4</v>
      </c>
    </row>
    <row r="173" spans="1:14" x14ac:dyDescent="0.35">
      <c r="A173" s="12" t="s">
        <v>5</v>
      </c>
      <c r="B173" s="11">
        <v>1</v>
      </c>
    </row>
    <row r="174" spans="1:14" x14ac:dyDescent="0.35">
      <c r="A174" s="12" t="s">
        <v>6</v>
      </c>
      <c r="B174" s="11" t="s">
        <v>7</v>
      </c>
    </row>
    <row r="175" spans="1:14" x14ac:dyDescent="0.35">
      <c r="A175" s="12" t="s">
        <v>8</v>
      </c>
      <c r="B175" s="16" t="s">
        <v>156</v>
      </c>
    </row>
    <row r="176" spans="1:14" x14ac:dyDescent="0.35">
      <c r="A176" s="12" t="s">
        <v>9</v>
      </c>
    </row>
    <row r="177" spans="1:14" x14ac:dyDescent="0.35">
      <c r="A177" s="10" t="s">
        <v>10</v>
      </c>
      <c r="B177" s="10" t="s">
        <v>1</v>
      </c>
      <c r="C177" s="10" t="s">
        <v>3</v>
      </c>
      <c r="D177" s="10" t="s">
        <v>5</v>
      </c>
      <c r="E177" s="10" t="s">
        <v>6</v>
      </c>
      <c r="F177" s="10" t="s">
        <v>11</v>
      </c>
      <c r="G177" s="10" t="s">
        <v>12</v>
      </c>
      <c r="H177" s="10" t="s">
        <v>13</v>
      </c>
      <c r="I177" s="10" t="s">
        <v>14</v>
      </c>
      <c r="J177" s="10" t="s">
        <v>15</v>
      </c>
      <c r="K177" s="10" t="s">
        <v>16</v>
      </c>
      <c r="L177" s="10" t="s">
        <v>17</v>
      </c>
      <c r="M177" s="10" t="s">
        <v>18</v>
      </c>
      <c r="N177" s="10" t="s">
        <v>19</v>
      </c>
    </row>
    <row r="178" spans="1:14" x14ac:dyDescent="0.35">
      <c r="A178" s="11" t="str">
        <f>B170</f>
        <v>Cd recovery from Zn production in China/Yangtze through Hydrometallurgy</v>
      </c>
      <c r="B178" s="11" t="str">
        <f>B171</f>
        <v>Refined Cd</v>
      </c>
      <c r="C178" s="11" t="str">
        <f>B172</f>
        <v>CN</v>
      </c>
      <c r="D178" s="11">
        <v>1</v>
      </c>
      <c r="E178" s="11" t="str">
        <f>B174</f>
        <v>kilogram</v>
      </c>
      <c r="F178" s="13" t="str">
        <f>F162</f>
        <v>Cadmium</v>
      </c>
      <c r="G178" s="11" t="s">
        <v>20</v>
      </c>
    </row>
    <row r="179" spans="1:14" x14ac:dyDescent="0.35">
      <c r="A179" s="11" t="str">
        <f>A56</f>
        <v>[P+R] Refined Cadmium (Cd) production - Hydrometallurgy (Yangtze)</v>
      </c>
      <c r="B179" s="11" t="str">
        <f>B56</f>
        <v>Refined Cd</v>
      </c>
      <c r="C179" s="11" t="str">
        <f>C56</f>
        <v>CN</v>
      </c>
      <c r="D179" s="11">
        <v>1</v>
      </c>
      <c r="E179" s="11" t="str">
        <f>E56</f>
        <v>kilogram</v>
      </c>
      <c r="F179" s="13" t="str">
        <f>F56</f>
        <v>Cadmium</v>
      </c>
      <c r="G179" s="11" t="s">
        <v>25</v>
      </c>
    </row>
    <row r="180" spans="1:14" x14ac:dyDescent="0.35">
      <c r="A180" s="11" t="str">
        <f>A9</f>
        <v>[M+C] Zinc (Zn) ore mining and concentration (Guangdong)</v>
      </c>
      <c r="B180" s="11" t="str">
        <f>B9</f>
        <v>Zn concentrate</v>
      </c>
      <c r="C180" s="11" t="str">
        <f>C9</f>
        <v>CN</v>
      </c>
      <c r="D180" s="16">
        <v>1.693120123121798</v>
      </c>
      <c r="E180" s="11" t="str">
        <f>E9</f>
        <v>kilogram</v>
      </c>
      <c r="F180" s="13" t="str">
        <f>F9</f>
        <v>Cadmium</v>
      </c>
      <c r="G180" s="11" t="s">
        <v>25</v>
      </c>
    </row>
    <row r="181" spans="1:14" x14ac:dyDescent="0.35">
      <c r="A181" s="11" t="str">
        <f>A162</f>
        <v>Wastewater treatment</v>
      </c>
      <c r="B181" s="11" t="str">
        <f t="shared" ref="B181:F181" si="3">B162</f>
        <v>Wastewater</v>
      </c>
      <c r="C181" s="11" t="str">
        <f t="shared" si="3"/>
        <v>CN</v>
      </c>
      <c r="D181" s="16">
        <v>-0.8868448660527023</v>
      </c>
      <c r="E181" s="11" t="str">
        <f t="shared" si="3"/>
        <v>kilogram</v>
      </c>
      <c r="F181" s="13" t="str">
        <f t="shared" si="3"/>
        <v>Cadmium</v>
      </c>
      <c r="G181" s="11" t="s">
        <v>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41122952C13D46BBBC92EEAE11CF32" ma:contentTypeVersion="13" ma:contentTypeDescription="Crée un document." ma:contentTypeScope="" ma:versionID="d96b5fa62e5213e7d24e66b2bac0c378">
  <xsd:schema xmlns:xsd="http://www.w3.org/2001/XMLSchema" xmlns:xs="http://www.w3.org/2001/XMLSchema" xmlns:p="http://schemas.microsoft.com/office/2006/metadata/properties" xmlns:ns2="d78c010b-218d-4be4-b2d9-423b1f51aae5" xmlns:ns3="adc0c41a-12c1-4165-8422-5f5ca88e9f6a" targetNamespace="http://schemas.microsoft.com/office/2006/metadata/properties" ma:root="true" ma:fieldsID="c2e8fc9a9c70fab2c0f7259df75af726" ns2:_="" ns3:_="">
    <xsd:import namespace="d78c010b-218d-4be4-b2d9-423b1f51aae5"/>
    <xsd:import namespace="adc0c41a-12c1-4165-8422-5f5ca88e9f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8c010b-218d-4be4-b2d9-423b1f51a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dd53d8bb-88b5-477e-9788-ab5cb1008f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0c41a-12c1-4165-8422-5f5ca88e9f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f8ce134-c725-4f6f-a6f6-5df0359a5c7e}" ma:internalName="TaxCatchAll" ma:showField="CatchAllData" ma:web="adc0c41a-12c1-4165-8422-5f5ca88e9f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78c010b-218d-4be4-b2d9-423b1f51aae5">
      <Terms xmlns="http://schemas.microsoft.com/office/infopath/2007/PartnerControls"/>
    </lcf76f155ced4ddcb4097134ff3c332f>
    <TaxCatchAll xmlns="adc0c41a-12c1-4165-8422-5f5ca88e9f6a" xsi:nil="true"/>
  </documentManagement>
</p:properties>
</file>

<file path=customXml/itemProps1.xml><?xml version="1.0" encoding="utf-8"?>
<ds:datastoreItem xmlns:ds="http://schemas.openxmlformats.org/officeDocument/2006/customXml" ds:itemID="{6C032568-175A-46BA-93DB-E2343B2AD7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8c010b-218d-4be4-b2d9-423b1f51aae5"/>
    <ds:schemaRef ds:uri="adc0c41a-12c1-4165-8422-5f5ca88e9f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C2C308C-DA06-4004-B941-7BF03EED63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906E57-5E5F-48B6-90EF-E5DAD8107967}">
  <ds:schemaRefs>
    <ds:schemaRef ds:uri="http://schemas.microsoft.com/office/2006/metadata/properties"/>
    <ds:schemaRef ds:uri="http://schemas.microsoft.com/office/infopath/2007/PartnerControls"/>
    <ds:schemaRef ds:uri="d78c010b-218d-4be4-b2d9-423b1f51aae5"/>
    <ds:schemaRef ds:uri="adc0c41a-12c1-4165-8422-5f5ca88e9f6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Note</vt:lpstr>
      <vt:lpstr>Cd_Market_GLO</vt:lpstr>
      <vt:lpstr>PR1_Cd_CA_KiddCreek</vt:lpstr>
      <vt:lpstr>PR2_Cd_CN_Yangtze_Hydro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 Frederic</cp:lastModifiedBy>
  <dcterms:created xsi:type="dcterms:W3CDTF">2015-06-05T18:19:34Z</dcterms:created>
  <dcterms:modified xsi:type="dcterms:W3CDTF">2025-05-05T09:15:59Z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0x0101004741122952C13D46BBBC92EEAE11CF32</vt:lpwstr>
  </property>
  <property fmtid="{D5CDD505-2E9C-101B-9397-08002B2CF9AE}" pid="3" name="MediaServiceImageTags">
    <vt:lpwstr/>
  </property>
</Properties>
</file>