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Mn_Manganese/"/>
    </mc:Choice>
  </mc:AlternateContent>
  <xr:revisionPtr revIDLastSave="165" documentId="8_{36DDC810-6801-4103-8260-169E99850A5B}" xr6:coauthVersionLast="47" xr6:coauthVersionMax="47" xr10:uidLastSave="{8ACF0A46-7BFE-478E-B850-6378F92EAAF0}"/>
  <bookViews>
    <workbookView xWindow="-120" yWindow="-120" windowWidth="29040" windowHeight="15840" xr2:uid="{00000000-000D-0000-FFFF-FFFF00000000}"/>
  </bookViews>
  <sheets>
    <sheet name="Note" sheetId="1" r:id="rId1"/>
    <sheet name="Mn_Market_GLO" sheetId="5" r:id="rId2"/>
    <sheet name="PR1_Mn_CN" sheetId="2" r:id="rId3"/>
    <sheet name="PR2_FeMn_AU_Tasmania" sheetId="3" r:id="rId4"/>
    <sheet name="PR3_SiMn_AU_Tasmani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5" l="1"/>
  <c r="C27" i="5"/>
  <c r="E27" i="5"/>
  <c r="F27" i="5"/>
  <c r="A27" i="5"/>
  <c r="B26" i="5"/>
  <c r="C26" i="5"/>
  <c r="E26" i="5"/>
  <c r="F26" i="5"/>
  <c r="A26" i="5"/>
  <c r="B25" i="5"/>
  <c r="C25" i="5"/>
  <c r="E25" i="5"/>
  <c r="F25" i="5"/>
  <c r="A25" i="5"/>
  <c r="B14" i="5"/>
  <c r="C14" i="5"/>
  <c r="E14" i="5"/>
  <c r="A14" i="5"/>
  <c r="B13" i="5"/>
  <c r="C13" i="5"/>
  <c r="E13" i="5"/>
  <c r="A13" i="5"/>
  <c r="B12" i="5"/>
  <c r="C12" i="5"/>
  <c r="E12" i="5"/>
  <c r="A12" i="5"/>
  <c r="D51" i="4"/>
  <c r="B51" i="4"/>
  <c r="C51" i="4"/>
  <c r="E51" i="4"/>
  <c r="F51" i="4"/>
  <c r="A51" i="4"/>
  <c r="B40" i="4"/>
  <c r="C40" i="4"/>
  <c r="D40" i="4"/>
  <c r="E40" i="4"/>
  <c r="A40" i="4"/>
  <c r="F9" i="4"/>
  <c r="F40" i="4" s="1"/>
  <c r="C9" i="4"/>
  <c r="B9" i="4"/>
  <c r="A9" i="4"/>
  <c r="E50" i="4"/>
  <c r="B50" i="4"/>
  <c r="A50" i="4"/>
  <c r="C39" i="4"/>
  <c r="C50" i="4" s="1"/>
  <c r="B39" i="4"/>
  <c r="A39" i="4"/>
  <c r="D50" i="3"/>
  <c r="B50" i="3"/>
  <c r="C50" i="3"/>
  <c r="E50" i="3"/>
  <c r="F50" i="3"/>
  <c r="A50" i="3"/>
  <c r="E49" i="3"/>
  <c r="C49" i="3"/>
  <c r="B49" i="3"/>
  <c r="A49" i="3"/>
  <c r="B39" i="3"/>
  <c r="C39" i="3"/>
  <c r="D39" i="3"/>
  <c r="E39" i="3"/>
  <c r="F39" i="3"/>
  <c r="A39" i="3"/>
  <c r="F38" i="3"/>
  <c r="F49" i="3" s="1"/>
  <c r="F9" i="3"/>
  <c r="C9" i="3"/>
  <c r="B9" i="3"/>
  <c r="A9" i="3"/>
  <c r="C38" i="3"/>
  <c r="B38" i="3"/>
  <c r="A38" i="3"/>
  <c r="B68" i="2"/>
  <c r="C68" i="2"/>
  <c r="D68" i="2"/>
  <c r="E68" i="2"/>
  <c r="F68" i="2"/>
  <c r="A68" i="2"/>
  <c r="C67" i="2"/>
  <c r="B67" i="2"/>
  <c r="A67" i="2"/>
  <c r="F9" i="2"/>
  <c r="F67" i="2" s="1"/>
  <c r="F12" i="5" s="1"/>
  <c r="C9" i="2"/>
  <c r="B9" i="2"/>
  <c r="A9" i="2"/>
  <c r="E24" i="5"/>
  <c r="C24" i="5"/>
  <c r="B24" i="5"/>
  <c r="A24" i="5"/>
  <c r="F11" i="5"/>
  <c r="F24" i="5" s="1"/>
  <c r="E11" i="5"/>
  <c r="C11" i="5"/>
  <c r="B11" i="5"/>
  <c r="A11" i="5"/>
  <c r="F13" i="5" l="1"/>
  <c r="F39" i="4"/>
  <c r="F50" i="4" l="1"/>
  <c r="F14" i="5"/>
</calcChain>
</file>

<file path=xl/sharedStrings.xml><?xml version="1.0" encoding="utf-8"?>
<sst xmlns="http://schemas.openxmlformats.org/spreadsheetml/2006/main" count="878" uniqueCount="158">
  <si>
    <t>Activity</t>
  </si>
  <si>
    <t>reference product</t>
  </si>
  <si>
    <t>location</t>
  </si>
  <si>
    <t>CN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</si>
  <si>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</si>
  <si>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</si>
  <si>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</si>
  <si>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</si>
  <si>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</si>
  <si>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</si>
  <si>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</si>
  <si>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</si>
  <si>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</si>
  <si>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</si>
  <si>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</si>
  <si>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</si>
  <si>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</si>
  <si>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</si>
  <si>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</si>
  <si>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</si>
  <si>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</si>
  <si>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explosive, tovex</t>
  </si>
  <si>
    <t>explosive, tovex</t>
  </si>
  <si>
    <t>GLO</t>
  </si>
  <si>
    <t>ecoinvent 3.10 cutoff</t>
  </si>
  <si>
    <t>technosphere</t>
  </si>
  <si>
    <t>(1,1,2,1,1)</t>
  </si>
  <si>
    <t>market for tungsten carbide powder</t>
  </si>
  <si>
    <t>tungsten carbide powder</t>
  </si>
  <si>
    <t>market for light fuel oil</t>
  </si>
  <si>
    <t>light fuel oil</t>
  </si>
  <si>
    <t>RoW</t>
  </si>
  <si>
    <t>market for glued laminated timber, average glue mix</t>
  </si>
  <si>
    <t>glued laminated timber, average glue mix</t>
  </si>
  <si>
    <t>cubic meter</t>
  </si>
  <si>
    <t>market for sulfuric acid</t>
  </si>
  <si>
    <t>sulfuric acid</t>
  </si>
  <si>
    <t>market for ammonia, anhydrous, liquid</t>
  </si>
  <si>
    <t>ammonia, anhydrous, liquid</t>
  </si>
  <si>
    <t>SAS</t>
  </si>
  <si>
    <t>market for dithiocarbamate-compound</t>
  </si>
  <si>
    <t>dithiocarbamate-compound</t>
  </si>
  <si>
    <t>market for selenium</t>
  </si>
  <si>
    <t>selenium</t>
  </si>
  <si>
    <t>market for chemical, organic</t>
  </si>
  <si>
    <t>chemical, organic</t>
  </si>
  <si>
    <t>market for sodium dichromate</t>
  </si>
  <si>
    <t>sodium dichromate</t>
  </si>
  <si>
    <t>market for calcium carbonate, precipitated</t>
  </si>
  <si>
    <t>calcium carbonate, precipitated</t>
  </si>
  <si>
    <t>market for charcoal</t>
  </si>
  <si>
    <t>charcoal</t>
  </si>
  <si>
    <t>market for tap water</t>
  </si>
  <si>
    <t>tap water</t>
  </si>
  <si>
    <t>market for electricity, medium voltage</t>
  </si>
  <si>
    <t>electricity, medium voltage</t>
  </si>
  <si>
    <t>kilowatt hour</t>
  </si>
  <si>
    <t>treatment of wastewater, average, wastewater treatment</t>
  </si>
  <si>
    <t>wastewater, average</t>
  </si>
  <si>
    <t>market for sulfidic tailings, generic</t>
  </si>
  <si>
    <t>sulfidic tailings, generic</t>
  </si>
  <si>
    <t>treatment of sulfidic tailings, generic, tailings impoundment</t>
  </si>
  <si>
    <t>treatment of municipal solid waste, sanitary landfill</t>
  </si>
  <si>
    <t>municipal solid waste</t>
  </si>
  <si>
    <t>treatment of hazardous waste, hazardous waste incineration</t>
  </si>
  <si>
    <t>hazardous waste, for incineration</t>
  </si>
  <si>
    <t>Manganese</t>
  </si>
  <si>
    <t>biosphere3</t>
  </si>
  <si>
    <t>biosphere</t>
  </si>
  <si>
    <t>natural resource::in ground</t>
  </si>
  <si>
    <t>Water, unspecified natural origin</t>
  </si>
  <si>
    <t>Particulate Matter, &gt; 2.5 um and &lt; 10um</t>
  </si>
  <si>
    <t>Nitrogen oxides</t>
  </si>
  <si>
    <t>Sulfur dioxide</t>
  </si>
  <si>
    <t>Sulfuric acid</t>
  </si>
  <si>
    <t>Ammonia</t>
  </si>
  <si>
    <t>Dimethylamine</t>
  </si>
  <si>
    <t>Carbon disulfide</t>
  </si>
  <si>
    <t>Hydrogen sulfide</t>
  </si>
  <si>
    <t>Hydrocarbons, unspecified</t>
  </si>
  <si>
    <t>Suspended solids, unspecified</t>
  </si>
  <si>
    <t>COD, Chemical Oxygen Demand</t>
  </si>
  <si>
    <t>Phosphate</t>
  </si>
  <si>
    <t>Mercury II</t>
  </si>
  <si>
    <t>Zinc II</t>
  </si>
  <si>
    <t>Copper ion</t>
  </si>
  <si>
    <t>Sulfide</t>
  </si>
  <si>
    <t>Lead II</t>
  </si>
  <si>
    <t>Cadmium II</t>
  </si>
  <si>
    <t>Arsenic ion</t>
  </si>
  <si>
    <t>Nickel II</t>
  </si>
  <si>
    <t>Chromium III</t>
  </si>
  <si>
    <t>Manganese II</t>
  </si>
  <si>
    <t>AU</t>
  </si>
  <si>
    <t>market for diesel, burned in building machine</t>
  </si>
  <si>
    <t>diesel, burned in building machine</t>
  </si>
  <si>
    <t>megajoule</t>
  </si>
  <si>
    <t>(4,5,4,2,1)</t>
  </si>
  <si>
    <t>market for diesel, burned in diesel-electric generating set, 18.5kW</t>
  </si>
  <si>
    <t>diesel, burned in diesel-electric generating set, 18.5kW</t>
  </si>
  <si>
    <t>market for transport, freight, sea, ferry</t>
  </si>
  <si>
    <t>transport, freight, sea, ferry</t>
  </si>
  <si>
    <t>ton kilometer</t>
  </si>
  <si>
    <t>market for coke</t>
  </si>
  <si>
    <t>coke</t>
  </si>
  <si>
    <t>market for iron ore concentrate</t>
  </si>
  <si>
    <t>iron ore concentrate</t>
  </si>
  <si>
    <t>limestone production, crushed, washed</t>
  </si>
  <si>
    <t>limestone, crushed, washed</t>
  </si>
  <si>
    <t>market for hard coal</t>
  </si>
  <si>
    <t>hard coal</t>
  </si>
  <si>
    <t>market for pitch</t>
  </si>
  <si>
    <t>pitch</t>
  </si>
  <si>
    <t>market for electric arc furnace slag, for recovery</t>
  </si>
  <si>
    <t>electric arc furnace slag, for recovery</t>
  </si>
  <si>
    <t>Gangue</t>
  </si>
  <si>
    <t>market for diesel, burned in diesel-electric generating set, 10MW</t>
  </si>
  <si>
    <t>diesel, burned in diesel-electric generating set, 10MW</t>
  </si>
  <si>
    <t>market for silica sand</t>
  </si>
  <si>
    <t>silica sand</t>
  </si>
  <si>
    <t>market for dolomite</t>
  </si>
  <si>
    <t>dolomite</t>
  </si>
  <si>
    <t>treatment of electric arc furnace slag, residual material landfill</t>
  </si>
  <si>
    <t>electric arc furnace slag</t>
  </si>
  <si>
    <t>market for steel, low-alloyed</t>
  </si>
  <si>
    <t>steel, low-alloyed</t>
  </si>
  <si>
    <t>market group for electricity, medium voltage</t>
  </si>
  <si>
    <t>air</t>
  </si>
  <si>
    <t>water</t>
  </si>
  <si>
    <t>Manganese (Mn) global market</t>
  </si>
  <si>
    <t>Mn commodities</t>
  </si>
  <si>
    <t>Manganese (Mn) global market (Mn content)</t>
  </si>
  <si>
    <t>Mn content</t>
  </si>
  <si>
    <t>Activity expressed for 1 kg Mn contained</t>
  </si>
  <si>
    <t>[M+C+P+R] Manganese (Mn) metal production</t>
  </si>
  <si>
    <t>Mn metal</t>
  </si>
  <si>
    <t>Mn ore mining and Mn metal production in China</t>
  </si>
  <si>
    <t>[M+C+P+R] Ferromanganese (FeMn) production</t>
  </si>
  <si>
    <t>FeMn</t>
  </si>
  <si>
    <t>Mn ore mining and FeMn production in Australia/Tasmania</t>
  </si>
  <si>
    <t>Mn ore mining and FeMn production in Australia/Tasmania (Mn content)</t>
  </si>
  <si>
    <t>FeMn (Mn content)</t>
  </si>
  <si>
    <t>[M+C+P+R] Silicomanganese (SiMn) production</t>
  </si>
  <si>
    <t>SiMn</t>
  </si>
  <si>
    <t>Mn ore mining and SiMn production in Australia/Tasmania</t>
  </si>
  <si>
    <t>Mn ore mining and SiMn production in Australia/Tasmania (Mn content)</t>
  </si>
  <si>
    <t>SiMn (Mn content)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</si>
  <si>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</si>
  <si>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</si>
  <si>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</si>
  <si>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Manganese (Mn)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</si>
  <si>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Mn global market</t>
  </si>
  <si>
    <t>Mn_Market_GLO</t>
  </si>
  <si>
    <t>PR1_Mn_CN</t>
  </si>
  <si>
    <t>PR2_FeMn_AU_Tasmania</t>
  </si>
  <si>
    <t>PR3_SiMn_AU_Tasmania</t>
  </si>
  <si>
    <t>air::non-urban air or from high stacks</t>
  </si>
  <si>
    <t>Ammonium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</si>
</sst>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7"/>
  <sheetViews>
    <sheetView showGridLines="0" tabSelected="1" workbookViewId="0">
      <selection activeCell="G39" sqref="G39"/>
    </sheetView>
  </sheetViews>
  <sheetFormatPr baseColWidth="10" defaultRowHeight="15" x14ac:dyDescent="0.25"/>
  <cols>
    <col min="1" max="1" width="1.85546875" customWidth="1"/>
    <col min="2" max="2" width="31.85546875" bestFit="1" customWidth="1"/>
  </cols>
  <sheetData>
    <row r="1" spans="1:17" ht="15.75" thickBot="1" x14ac:dyDescent="0.3">
      <c r="A1" t="s">
        <v>147</v>
      </c>
    </row>
    <row r="2" spans="1:17" ht="15" customHeight="1" x14ac:dyDescent="0.25">
      <c r="B2" s="23" t="s">
        <v>150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5"/>
    </row>
    <row r="3" spans="1:17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</row>
    <row r="4" spans="1:17" x14ac:dyDescent="0.25"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1:17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8"/>
    </row>
    <row r="6" spans="1:17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1:17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</row>
    <row r="8" spans="1:17" x14ac:dyDescent="0.25"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8"/>
    </row>
    <row r="9" spans="1:17" x14ac:dyDescent="0.25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x14ac:dyDescent="0.25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</row>
    <row r="11" spans="1:17" x14ac:dyDescent="0.25"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</row>
    <row r="12" spans="1:17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</row>
    <row r="13" spans="1:17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8"/>
    </row>
    <row r="14" spans="1:17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</row>
    <row r="15" spans="1:17" x14ac:dyDescent="0.25"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spans="1:17" x14ac:dyDescent="0.25"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</row>
    <row r="17" spans="2:17" x14ac:dyDescent="0.25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2:17" x14ac:dyDescent="0.25"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2:17" x14ac:dyDescent="0.25"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2:17" x14ac:dyDescent="0.25"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2:17" x14ac:dyDescent="0.25"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2:17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</row>
    <row r="23" spans="2:17" x14ac:dyDescent="0.25"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8"/>
    </row>
    <row r="24" spans="2:17" ht="15" customHeight="1" x14ac:dyDescent="0.25"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8"/>
    </row>
    <row r="25" spans="2:17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/>
    </row>
    <row r="26" spans="2:17" x14ac:dyDescent="0.25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</row>
    <row r="27" spans="2:17" x14ac:dyDescent="0.25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8"/>
    </row>
    <row r="28" spans="2:17" x14ac:dyDescent="0.25"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</row>
    <row r="29" spans="2:17" x14ac:dyDescent="0.25"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</row>
    <row r="30" spans="2:17" x14ac:dyDescent="0.25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</row>
    <row r="31" spans="2:17" ht="15.75" thickBot="1" x14ac:dyDescent="0.3"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1"/>
    </row>
    <row r="32" spans="2:17" ht="15.75" thickBot="1" x14ac:dyDescent="0.3"/>
    <row r="33" spans="2:10" x14ac:dyDescent="0.25">
      <c r="B33" s="12" t="s">
        <v>148</v>
      </c>
      <c r="C33" s="13" t="s">
        <v>149</v>
      </c>
      <c r="D33" s="14"/>
      <c r="E33" s="14"/>
      <c r="F33" s="14"/>
      <c r="G33" s="15"/>
      <c r="H33" s="22"/>
      <c r="I33" s="22"/>
      <c r="J33" s="22"/>
    </row>
    <row r="34" spans="2:10" x14ac:dyDescent="0.25">
      <c r="B34" s="16" t="s">
        <v>152</v>
      </c>
      <c r="C34" s="2" t="s">
        <v>151</v>
      </c>
      <c r="D34" s="22"/>
      <c r="E34" s="22"/>
      <c r="F34" s="22"/>
      <c r="G34" s="17"/>
      <c r="H34" s="22"/>
      <c r="I34" s="22"/>
      <c r="J34" s="22"/>
    </row>
    <row r="35" spans="2:10" x14ac:dyDescent="0.25">
      <c r="B35" s="16" t="s">
        <v>153</v>
      </c>
      <c r="C35" s="2" t="s">
        <v>136</v>
      </c>
      <c r="D35" s="22"/>
      <c r="E35" s="22"/>
      <c r="F35" s="22"/>
      <c r="G35" s="17"/>
      <c r="H35" s="22"/>
      <c r="I35" s="22"/>
      <c r="J35" s="22"/>
    </row>
    <row r="36" spans="2:10" x14ac:dyDescent="0.25">
      <c r="B36" s="16" t="s">
        <v>154</v>
      </c>
      <c r="C36" s="2" t="s">
        <v>139</v>
      </c>
      <c r="D36" s="22"/>
      <c r="E36" s="22"/>
      <c r="F36" s="22"/>
      <c r="G36" s="17"/>
      <c r="H36" s="22"/>
      <c r="I36" s="22"/>
      <c r="J36" s="22"/>
    </row>
    <row r="37" spans="2:10" ht="15.75" thickBot="1" x14ac:dyDescent="0.3">
      <c r="B37" s="18" t="s">
        <v>155</v>
      </c>
      <c r="C37" s="19" t="s">
        <v>144</v>
      </c>
      <c r="D37" s="20"/>
      <c r="E37" s="20"/>
      <c r="F37" s="20"/>
      <c r="G37" s="21"/>
      <c r="H37" s="22"/>
      <c r="I37" s="22"/>
      <c r="J37" s="22"/>
    </row>
  </sheetData>
  <mergeCells count="1">
    <mergeCell ref="B2:Q31"/>
  </mergeCells>
  <hyperlinks>
    <hyperlink ref="B34" location="Mn_Market_GLO!A1" display="Mn_Market_GLO" xr:uid="{4E5F4EC0-CF60-4444-A84D-538206ADC968}"/>
    <hyperlink ref="B35" location="PR1_Mn_CN!A1" display="PR1_Mn_CN" xr:uid="{D43D2004-1F1A-4D98-95DC-FCD095A7ADD6}"/>
    <hyperlink ref="B36" location="PR2_FeMn_AU_Tasmania!A1" display="PR2_FeMn_AU_Tasmania" xr:uid="{EBECB71E-B98C-472A-925F-A0C706B6CB9F}"/>
    <hyperlink ref="B37" location="PR3_SiMn_AU_Tasmania!A1" display="PR3_SiMn_AU_Tasmania" xr:uid="{85C8DFC7-1ADE-402F-8482-3A0631F2A1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AAF0-88DF-4ED4-A43F-B37CE1CECF4A}">
  <sheetPr>
    <tabColor theme="8" tint="0.39997558519241921"/>
  </sheetPr>
  <dimension ref="A1:N29"/>
  <sheetViews>
    <sheetView workbookViewId="0"/>
  </sheetViews>
  <sheetFormatPr baseColWidth="10" defaultRowHeight="15" x14ac:dyDescent="0.25"/>
  <cols>
    <col min="1" max="1" width="94.85546875" bestFit="1" customWidth="1"/>
    <col min="2" max="2" width="41.5703125" bestFit="1" customWidth="1"/>
    <col min="3" max="3" width="8.140625" bestFit="1" customWidth="1"/>
    <col min="4" max="4" width="12" bestFit="1" customWidth="1"/>
    <col min="5" max="5" width="8.7109375" bestFit="1" customWidth="1"/>
    <col min="6" max="6" width="11.14062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85546875" bestFit="1" customWidth="1"/>
  </cols>
  <sheetData>
    <row r="1" spans="1:14" x14ac:dyDescent="0.25">
      <c r="A1" t="s">
        <v>11</v>
      </c>
      <c r="B1" s="4" t="s">
        <v>66</v>
      </c>
    </row>
    <row r="2" spans="1:14" s="5" customFormat="1" x14ac:dyDescent="0.25"/>
    <row r="3" spans="1:14" x14ac:dyDescent="0.25">
      <c r="A3" s="6" t="s">
        <v>0</v>
      </c>
      <c r="B3" s="6" t="s">
        <v>129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8" t="s">
        <v>1</v>
      </c>
      <c r="B4" s="7" t="s">
        <v>130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8" t="s">
        <v>2</v>
      </c>
      <c r="B5" s="7" t="s">
        <v>23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A6" s="8" t="s">
        <v>4</v>
      </c>
      <c r="B6" s="7">
        <v>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8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8" t="s">
        <v>7</v>
      </c>
      <c r="B8" s="7" t="s">
        <v>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8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6" t="s">
        <v>10</v>
      </c>
      <c r="B10" s="6" t="s">
        <v>1</v>
      </c>
      <c r="C10" s="6" t="s">
        <v>2</v>
      </c>
      <c r="D10" s="6" t="s">
        <v>4</v>
      </c>
      <c r="E10" s="6" t="s">
        <v>5</v>
      </c>
      <c r="F10" s="6" t="s">
        <v>11</v>
      </c>
      <c r="G10" s="6" t="s">
        <v>12</v>
      </c>
      <c r="H10" s="6" t="s">
        <v>13</v>
      </c>
      <c r="I10" s="6" t="s">
        <v>14</v>
      </c>
      <c r="J10" s="6" t="s">
        <v>15</v>
      </c>
      <c r="K10" s="6" t="s">
        <v>16</v>
      </c>
      <c r="L10" s="6" t="s">
        <v>17</v>
      </c>
      <c r="M10" s="6" t="s">
        <v>18</v>
      </c>
      <c r="N10" s="6" t="s">
        <v>19</v>
      </c>
    </row>
    <row r="11" spans="1:14" x14ac:dyDescent="0.25">
      <c r="A11" t="str">
        <f>B3</f>
        <v>Manganese (Mn) global market</v>
      </c>
      <c r="B11" t="str">
        <f>B4</f>
        <v>Mn commodities</v>
      </c>
      <c r="C11" t="str">
        <f>B5</f>
        <v>GLO</v>
      </c>
      <c r="D11" s="7">
        <v>1</v>
      </c>
      <c r="E11" s="7" t="str">
        <f>B7</f>
        <v>kilogram</v>
      </c>
      <c r="F11" s="4" t="str">
        <f>B1</f>
        <v>Manganese</v>
      </c>
      <c r="G11" s="7" t="s">
        <v>20</v>
      </c>
    </row>
    <row r="12" spans="1:14" s="7" customFormat="1" x14ac:dyDescent="0.25">
      <c r="A12" s="7" t="str">
        <f>PR1_Mn_CN!A67</f>
        <v>Mn ore mining and Mn metal production in China</v>
      </c>
      <c r="B12" s="7" t="str">
        <f>PR1_Mn_CN!B67</f>
        <v>Mn metal</v>
      </c>
      <c r="C12" s="7" t="str">
        <f>PR1_Mn_CN!C67</f>
        <v>CN</v>
      </c>
      <c r="D12" s="7">
        <v>0.72932330827067671</v>
      </c>
      <c r="E12" s="7" t="str">
        <f>PR1_Mn_CN!E67</f>
        <v>kilogram</v>
      </c>
      <c r="F12" s="4" t="str">
        <f>PR1_Mn_CN!F67</f>
        <v>Manganese</v>
      </c>
      <c r="G12" s="2" t="s">
        <v>25</v>
      </c>
    </row>
    <row r="13" spans="1:14" s="7" customFormat="1" x14ac:dyDescent="0.25">
      <c r="A13" s="7" t="str">
        <f>PR2_FeMn_AU_Tasmania!A38</f>
        <v>Mn ore mining and FeMn production in Australia/Tasmania</v>
      </c>
      <c r="B13" s="7" t="str">
        <f>PR2_FeMn_AU_Tasmania!B38</f>
        <v>FeMn</v>
      </c>
      <c r="C13" s="7" t="str">
        <f>PR2_FeMn_AU_Tasmania!C38</f>
        <v>AU</v>
      </c>
      <c r="D13" s="7">
        <v>0.16240601503759397</v>
      </c>
      <c r="E13" s="7" t="str">
        <f>PR2_FeMn_AU_Tasmania!E38</f>
        <v>kilogram</v>
      </c>
      <c r="F13" s="4" t="str">
        <f>PR2_FeMn_AU_Tasmania!F38</f>
        <v>Manganese</v>
      </c>
      <c r="G13" s="2" t="s">
        <v>25</v>
      </c>
    </row>
    <row r="14" spans="1:14" s="7" customFormat="1" x14ac:dyDescent="0.25">
      <c r="A14" s="7" t="str">
        <f>PR3_SiMn_AU_Tasmania!A39</f>
        <v>Mn ore mining and SiMn production in Australia/Tasmania</v>
      </c>
      <c r="B14" s="7" t="str">
        <f>PR3_SiMn_AU_Tasmania!B39</f>
        <v>SiMn</v>
      </c>
      <c r="C14" s="7" t="str">
        <f>PR3_SiMn_AU_Tasmania!C39</f>
        <v>AU</v>
      </c>
      <c r="D14" s="7">
        <v>0.10827067669172932</v>
      </c>
      <c r="E14" s="7" t="str">
        <f>PR3_SiMn_AU_Tasmania!E39</f>
        <v>kilogram</v>
      </c>
      <c r="F14" s="4" t="str">
        <f>PR3_SiMn_AU_Tasmania!F39</f>
        <v>Manganese</v>
      </c>
      <c r="G14" s="2" t="s">
        <v>25</v>
      </c>
    </row>
    <row r="15" spans="1:14" s="5" customFormat="1" x14ac:dyDescent="0.25"/>
    <row r="16" spans="1:14" x14ac:dyDescent="0.25">
      <c r="A16" s="6" t="s">
        <v>0</v>
      </c>
      <c r="B16" s="6" t="s">
        <v>131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25">
      <c r="A17" s="8" t="s">
        <v>1</v>
      </c>
      <c r="B17" s="7" t="s">
        <v>132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5">
      <c r="A18" s="8" t="s">
        <v>2</v>
      </c>
      <c r="B18" s="7" t="s">
        <v>23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8" t="s">
        <v>4</v>
      </c>
      <c r="B19" s="7">
        <v>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5">
      <c r="A20" s="8" t="s">
        <v>5</v>
      </c>
      <c r="B20" s="7" t="s">
        <v>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5">
      <c r="A21" s="8" t="s">
        <v>7</v>
      </c>
      <c r="B21" s="7" t="s">
        <v>133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5">
      <c r="A22" s="8" t="s">
        <v>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25">
      <c r="A23" s="6" t="s">
        <v>10</v>
      </c>
      <c r="B23" s="6" t="s">
        <v>1</v>
      </c>
      <c r="C23" s="6" t="s">
        <v>2</v>
      </c>
      <c r="D23" s="6" t="s">
        <v>4</v>
      </c>
      <c r="E23" s="6" t="s">
        <v>5</v>
      </c>
      <c r="F23" s="6" t="s">
        <v>11</v>
      </c>
      <c r="G23" s="6" t="s">
        <v>12</v>
      </c>
      <c r="H23" s="6" t="s">
        <v>13</v>
      </c>
      <c r="I23" s="6" t="s">
        <v>14</v>
      </c>
      <c r="J23" s="6" t="s">
        <v>15</v>
      </c>
      <c r="K23" s="6" t="s">
        <v>16</v>
      </c>
      <c r="L23" s="6" t="s">
        <v>17</v>
      </c>
      <c r="M23" s="6" t="s">
        <v>18</v>
      </c>
      <c r="N23" s="6" t="s">
        <v>19</v>
      </c>
    </row>
    <row r="24" spans="1:14" x14ac:dyDescent="0.25">
      <c r="A24" t="str">
        <f>B16</f>
        <v>Manganese (Mn) global market (Mn content)</v>
      </c>
      <c r="B24" t="str">
        <f>B17</f>
        <v>Mn content</v>
      </c>
      <c r="C24" t="str">
        <f>B18</f>
        <v>GLO</v>
      </c>
      <c r="D24" s="7">
        <v>1</v>
      </c>
      <c r="E24" s="7" t="str">
        <f>B20</f>
        <v>kilogram</v>
      </c>
      <c r="F24" s="4" t="str">
        <f>F11</f>
        <v>Manganese</v>
      </c>
      <c r="G24" s="7" t="s">
        <v>20</v>
      </c>
    </row>
    <row r="25" spans="1:14" s="7" customFormat="1" x14ac:dyDescent="0.25">
      <c r="A25" s="7" t="str">
        <f>PR1_Mn_CN!A67</f>
        <v>Mn ore mining and Mn metal production in China</v>
      </c>
      <c r="B25" s="7" t="str">
        <f>PR1_Mn_CN!B67</f>
        <v>Mn metal</v>
      </c>
      <c r="C25" s="7" t="str">
        <f>PR1_Mn_CN!C67</f>
        <v>CN</v>
      </c>
      <c r="D25" s="7">
        <v>0.72932330827067671</v>
      </c>
      <c r="E25" s="7" t="str">
        <f>PR1_Mn_CN!E67</f>
        <v>kilogram</v>
      </c>
      <c r="F25" s="4" t="str">
        <f>PR1_Mn_CN!F67</f>
        <v>Manganese</v>
      </c>
      <c r="G25" s="2" t="s">
        <v>25</v>
      </c>
    </row>
    <row r="26" spans="1:14" s="7" customFormat="1" x14ac:dyDescent="0.25">
      <c r="A26" s="7" t="str">
        <f>PR2_FeMn_AU_Tasmania!A49</f>
        <v>Mn ore mining and FeMn production in Australia/Tasmania (Mn content)</v>
      </c>
      <c r="B26" s="7" t="str">
        <f>PR2_FeMn_AU_Tasmania!B49</f>
        <v>FeMn (Mn content)</v>
      </c>
      <c r="C26" s="7" t="str">
        <f>PR2_FeMn_AU_Tasmania!C49</f>
        <v>AU</v>
      </c>
      <c r="D26" s="7">
        <v>0.16240601503759397</v>
      </c>
      <c r="E26" s="7" t="str">
        <f>PR2_FeMn_AU_Tasmania!E49</f>
        <v>kilogram</v>
      </c>
      <c r="F26" s="4" t="str">
        <f>PR2_FeMn_AU_Tasmania!F49</f>
        <v>Manganese</v>
      </c>
      <c r="G26" s="2" t="s">
        <v>25</v>
      </c>
    </row>
    <row r="27" spans="1:14" s="7" customFormat="1" x14ac:dyDescent="0.25">
      <c r="A27" s="7" t="str">
        <f>PR3_SiMn_AU_Tasmania!A50</f>
        <v>Mn ore mining and SiMn production in Australia/Tasmania (Mn content)</v>
      </c>
      <c r="B27" s="7" t="str">
        <f>PR3_SiMn_AU_Tasmania!B50</f>
        <v>SiMn (Mn content)</v>
      </c>
      <c r="C27" s="7" t="str">
        <f>PR3_SiMn_AU_Tasmania!C50</f>
        <v>AU</v>
      </c>
      <c r="D27" s="7">
        <v>0.10827067669172932</v>
      </c>
      <c r="E27" s="7" t="str">
        <f>PR3_SiMn_AU_Tasmania!E50</f>
        <v>kilogram</v>
      </c>
      <c r="F27" s="4" t="str">
        <f>PR3_SiMn_AU_Tasmania!F50</f>
        <v>Manganese</v>
      </c>
      <c r="G27" s="2" t="s">
        <v>25</v>
      </c>
    </row>
    <row r="28" spans="1:14" s="7" customFormat="1" x14ac:dyDescent="0.25">
      <c r="F28" s="4"/>
    </row>
    <row r="29" spans="1:14" s="7" customFormat="1" x14ac:dyDescent="0.25">
      <c r="F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68"/>
  <sheetViews>
    <sheetView workbookViewId="0">
      <selection activeCell="A46" sqref="A46"/>
    </sheetView>
  </sheetViews>
  <sheetFormatPr baseColWidth="10" defaultColWidth="9.140625" defaultRowHeight="15" x14ac:dyDescent="0.25"/>
  <cols>
    <col min="1" max="1" width="55.42578125" style="2" bestFit="1" customWidth="1"/>
    <col min="2" max="2" width="46.140625" style="2" bestFit="1" customWidth="1"/>
    <col min="3" max="3" width="8.140625" style="2" bestFit="1" customWidth="1"/>
    <col min="4" max="4" width="12" style="2" bestFit="1" customWidth="1"/>
    <col min="5" max="5" width="12.85546875" style="2" bestFit="1" customWidth="1"/>
    <col min="6" max="6" width="19.7109375" style="2" bestFit="1" customWidth="1"/>
    <col min="7" max="7" width="13.28515625" style="2" bestFit="1" customWidth="1"/>
    <col min="8" max="8" width="25.28515625" style="2" bestFit="1" customWidth="1"/>
    <col min="9" max="9" width="15.5703125" style="2" bestFit="1" customWidth="1"/>
    <col min="10" max="10" width="9.7109375" style="2" bestFit="1" customWidth="1"/>
    <col min="11" max="11" width="3.5703125" style="2" bestFit="1" customWidth="1"/>
    <col min="12" max="12" width="5.42578125" style="2" bestFit="1" customWidth="1"/>
    <col min="13" max="13" width="9.5703125" style="2" bestFit="1" customWidth="1"/>
    <col min="14" max="14" width="9.85546875" style="2" bestFit="1" customWidth="1"/>
    <col min="15" max="16384" width="9.140625" style="2"/>
  </cols>
  <sheetData>
    <row r="1" spans="1:14" x14ac:dyDescent="0.25">
      <c r="A1" s="1" t="s">
        <v>0</v>
      </c>
      <c r="B1" s="10" t="s">
        <v>134</v>
      </c>
    </row>
    <row r="2" spans="1:14" x14ac:dyDescent="0.25">
      <c r="A2" s="9" t="s">
        <v>1</v>
      </c>
      <c r="B2" s="2" t="s">
        <v>135</v>
      </c>
    </row>
    <row r="3" spans="1:14" x14ac:dyDescent="0.25">
      <c r="A3" s="9" t="s">
        <v>2</v>
      </c>
      <c r="B3" s="2" t="s">
        <v>3</v>
      </c>
    </row>
    <row r="4" spans="1:14" x14ac:dyDescent="0.25">
      <c r="A4" s="9" t="s">
        <v>4</v>
      </c>
      <c r="B4" s="2">
        <v>1</v>
      </c>
    </row>
    <row r="5" spans="1:14" x14ac:dyDescent="0.25">
      <c r="A5" s="9" t="s">
        <v>5</v>
      </c>
      <c r="B5" s="2" t="s">
        <v>6</v>
      </c>
    </row>
    <row r="6" spans="1:14" x14ac:dyDescent="0.25">
      <c r="A6" s="9" t="s">
        <v>7</v>
      </c>
      <c r="B6" s="2" t="s">
        <v>8</v>
      </c>
    </row>
    <row r="7" spans="1:14" x14ac:dyDescent="0.25">
      <c r="A7" s="9" t="s">
        <v>9</v>
      </c>
    </row>
    <row r="8" spans="1:14" x14ac:dyDescent="0.25">
      <c r="A8" s="1" t="s">
        <v>10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[M+C+P+R] Manganese (Mn) metal production</v>
      </c>
      <c r="B9" s="2" t="str">
        <f>B2</f>
        <v>Mn metal</v>
      </c>
      <c r="C9" s="2" t="str">
        <f>B3</f>
        <v>CN</v>
      </c>
      <c r="D9" s="2">
        <v>1</v>
      </c>
      <c r="E9" s="2" t="s">
        <v>6</v>
      </c>
      <c r="F9" s="3" t="str">
        <f>Mn_Market_GLO!B1</f>
        <v>Manganese</v>
      </c>
      <c r="G9" s="2" t="s">
        <v>20</v>
      </c>
    </row>
    <row r="10" spans="1:14" x14ac:dyDescent="0.25">
      <c r="A10" s="2" t="s">
        <v>21</v>
      </c>
      <c r="B10" s="2" t="s">
        <v>22</v>
      </c>
      <c r="C10" s="2" t="s">
        <v>23</v>
      </c>
      <c r="D10" s="2">
        <v>6.4999999999999997E-4</v>
      </c>
      <c r="E10" s="2" t="s">
        <v>6</v>
      </c>
      <c r="F10" s="2" t="s">
        <v>24</v>
      </c>
      <c r="G10" s="2" t="s">
        <v>25</v>
      </c>
      <c r="J10" s="2" t="s">
        <v>26</v>
      </c>
    </row>
    <row r="11" spans="1:14" x14ac:dyDescent="0.25">
      <c r="A11" s="2" t="s">
        <v>27</v>
      </c>
      <c r="B11" s="2" t="s">
        <v>28</v>
      </c>
      <c r="C11" s="2" t="s">
        <v>23</v>
      </c>
      <c r="D11" s="2">
        <v>1.3E-6</v>
      </c>
      <c r="E11" s="2" t="s">
        <v>6</v>
      </c>
      <c r="F11" s="2" t="s">
        <v>24</v>
      </c>
      <c r="G11" s="2" t="s">
        <v>25</v>
      </c>
      <c r="J11" s="2" t="s">
        <v>26</v>
      </c>
    </row>
    <row r="12" spans="1:14" x14ac:dyDescent="0.25">
      <c r="A12" s="2" t="s">
        <v>124</v>
      </c>
      <c r="B12" s="2" t="s">
        <v>125</v>
      </c>
      <c r="C12" s="2" t="s">
        <v>23</v>
      </c>
      <c r="D12" s="2">
        <v>3.9060000000000002E-5</v>
      </c>
      <c r="E12" s="2" t="s">
        <v>6</v>
      </c>
      <c r="F12" s="2" t="s">
        <v>24</v>
      </c>
      <c r="G12" s="2" t="s">
        <v>25</v>
      </c>
      <c r="J12" s="2" t="s">
        <v>26</v>
      </c>
    </row>
    <row r="13" spans="1:14" x14ac:dyDescent="0.25">
      <c r="A13" s="2" t="s">
        <v>29</v>
      </c>
      <c r="B13" s="2" t="s">
        <v>30</v>
      </c>
      <c r="C13" s="2" t="s">
        <v>31</v>
      </c>
      <c r="D13" s="2">
        <v>4.2999999999999999E-4</v>
      </c>
      <c r="E13" s="2" t="s">
        <v>6</v>
      </c>
      <c r="F13" s="2" t="s">
        <v>24</v>
      </c>
      <c r="G13" s="2" t="s">
        <v>25</v>
      </c>
      <c r="J13" s="2" t="s">
        <v>26</v>
      </c>
    </row>
    <row r="14" spans="1:14" x14ac:dyDescent="0.25">
      <c r="A14" s="2" t="s">
        <v>32</v>
      </c>
      <c r="B14" s="2" t="s">
        <v>33</v>
      </c>
      <c r="C14" s="2" t="s">
        <v>31</v>
      </c>
      <c r="D14" s="2">
        <v>1.2999999999999998E-6</v>
      </c>
      <c r="E14" s="2" t="s">
        <v>34</v>
      </c>
      <c r="F14" s="2" t="s">
        <v>24</v>
      </c>
      <c r="G14" s="2" t="s">
        <v>25</v>
      </c>
      <c r="J14" s="2" t="s">
        <v>26</v>
      </c>
    </row>
    <row r="15" spans="1:14" x14ac:dyDescent="0.25">
      <c r="A15" s="2" t="s">
        <v>35</v>
      </c>
      <c r="B15" s="2" t="s">
        <v>36</v>
      </c>
      <c r="C15" s="2" t="s">
        <v>31</v>
      </c>
      <c r="D15" s="2">
        <v>0.81</v>
      </c>
      <c r="E15" s="2" t="s">
        <v>6</v>
      </c>
      <c r="F15" s="2" t="s">
        <v>24</v>
      </c>
      <c r="G15" s="2" t="s">
        <v>25</v>
      </c>
      <c r="J15" s="2" t="s">
        <v>26</v>
      </c>
    </row>
    <row r="16" spans="1:14" x14ac:dyDescent="0.25">
      <c r="A16" s="2" t="s">
        <v>37</v>
      </c>
      <c r="B16" s="2" t="s">
        <v>38</v>
      </c>
      <c r="C16" s="2" t="s">
        <v>39</v>
      </c>
      <c r="D16" s="2">
        <v>5.0500000000000003E-2</v>
      </c>
      <c r="E16" s="2" t="s">
        <v>6</v>
      </c>
      <c r="F16" s="2" t="s">
        <v>24</v>
      </c>
      <c r="G16" s="2" t="s">
        <v>25</v>
      </c>
      <c r="J16" s="2" t="s">
        <v>26</v>
      </c>
    </row>
    <row r="17" spans="1:10" x14ac:dyDescent="0.25">
      <c r="A17" s="2" t="s">
        <v>40</v>
      </c>
      <c r="B17" s="2" t="s">
        <v>41</v>
      </c>
      <c r="C17" s="2" t="s">
        <v>23</v>
      </c>
      <c r="D17" s="2">
        <v>2E-3</v>
      </c>
      <c r="E17" s="2" t="s">
        <v>6</v>
      </c>
      <c r="F17" s="2" t="s">
        <v>24</v>
      </c>
      <c r="G17" s="2" t="s">
        <v>25</v>
      </c>
      <c r="J17" s="2" t="s">
        <v>26</v>
      </c>
    </row>
    <row r="18" spans="1:10" x14ac:dyDescent="0.25">
      <c r="A18" s="2" t="s">
        <v>42</v>
      </c>
      <c r="B18" s="2" t="s">
        <v>43</v>
      </c>
      <c r="C18" s="2" t="s">
        <v>23</v>
      </c>
      <c r="D18" s="2">
        <v>1.1000000000000001E-3</v>
      </c>
      <c r="E18" s="2" t="s">
        <v>6</v>
      </c>
      <c r="F18" s="2" t="s">
        <v>24</v>
      </c>
      <c r="G18" s="2" t="s">
        <v>25</v>
      </c>
      <c r="J18" s="2" t="s">
        <v>26</v>
      </c>
    </row>
    <row r="19" spans="1:10" x14ac:dyDescent="0.25">
      <c r="A19" s="2" t="s">
        <v>44</v>
      </c>
      <c r="B19" s="2" t="s">
        <v>45</v>
      </c>
      <c r="C19" s="2" t="s">
        <v>23</v>
      </c>
      <c r="D19" s="2">
        <v>1.0869999999999999E-5</v>
      </c>
      <c r="E19" s="2" t="s">
        <v>6</v>
      </c>
      <c r="F19" s="2" t="s">
        <v>24</v>
      </c>
      <c r="G19" s="2" t="s">
        <v>25</v>
      </c>
      <c r="J19" s="2" t="s">
        <v>26</v>
      </c>
    </row>
    <row r="20" spans="1:10" x14ac:dyDescent="0.25">
      <c r="A20" s="2" t="s">
        <v>46</v>
      </c>
      <c r="B20" s="2" t="s">
        <v>47</v>
      </c>
      <c r="C20" s="2" t="s">
        <v>23</v>
      </c>
      <c r="D20" s="2">
        <v>5.6999999999999998E-4</v>
      </c>
      <c r="E20" s="2" t="s">
        <v>6</v>
      </c>
      <c r="F20" s="2" t="s">
        <v>24</v>
      </c>
      <c r="G20" s="2" t="s">
        <v>25</v>
      </c>
      <c r="J20" s="2" t="s">
        <v>26</v>
      </c>
    </row>
    <row r="21" spans="1:10" x14ac:dyDescent="0.25">
      <c r="A21" s="2" t="s">
        <v>48</v>
      </c>
      <c r="B21" s="2" t="s">
        <v>49</v>
      </c>
      <c r="C21" s="2" t="s">
        <v>31</v>
      </c>
      <c r="D21" s="2">
        <v>9.0699999999999999E-3</v>
      </c>
      <c r="E21" s="2" t="s">
        <v>6</v>
      </c>
      <c r="F21" s="2" t="s">
        <v>24</v>
      </c>
      <c r="G21" s="2" t="s">
        <v>25</v>
      </c>
      <c r="J21" s="2" t="s">
        <v>26</v>
      </c>
    </row>
    <row r="22" spans="1:10" x14ac:dyDescent="0.25">
      <c r="A22" s="2" t="s">
        <v>50</v>
      </c>
      <c r="B22" s="2" t="s">
        <v>51</v>
      </c>
      <c r="C22" s="2" t="s">
        <v>23</v>
      </c>
      <c r="D22" s="2">
        <v>0.5</v>
      </c>
      <c r="E22" s="2" t="s">
        <v>6</v>
      </c>
      <c r="F22" s="2" t="s">
        <v>24</v>
      </c>
      <c r="G22" s="2" t="s">
        <v>25</v>
      </c>
      <c r="J22" s="2" t="s">
        <v>26</v>
      </c>
    </row>
    <row r="23" spans="1:10" x14ac:dyDescent="0.25">
      <c r="A23" s="2" t="s">
        <v>52</v>
      </c>
      <c r="B23" s="2" t="s">
        <v>53</v>
      </c>
      <c r="C23" s="2" t="s">
        <v>31</v>
      </c>
      <c r="D23" s="2">
        <v>0.25</v>
      </c>
      <c r="E23" s="2" t="s">
        <v>6</v>
      </c>
      <c r="F23" s="2" t="s">
        <v>24</v>
      </c>
      <c r="G23" s="2" t="s">
        <v>25</v>
      </c>
      <c r="J23" s="2" t="s">
        <v>26</v>
      </c>
    </row>
    <row r="24" spans="1:10" x14ac:dyDescent="0.25">
      <c r="A24" s="2" t="s">
        <v>126</v>
      </c>
      <c r="B24" s="2" t="s">
        <v>55</v>
      </c>
      <c r="C24" s="2" t="s">
        <v>3</v>
      </c>
      <c r="D24" s="2">
        <v>7.3852399999999996</v>
      </c>
      <c r="E24" s="2" t="s">
        <v>56</v>
      </c>
      <c r="F24" s="2" t="s">
        <v>24</v>
      </c>
      <c r="G24" s="2" t="s">
        <v>25</v>
      </c>
      <c r="J24" s="2" t="s">
        <v>26</v>
      </c>
    </row>
    <row r="25" spans="1:10" x14ac:dyDescent="0.25">
      <c r="A25" s="2" t="s">
        <v>57</v>
      </c>
      <c r="B25" s="2" t="s">
        <v>58</v>
      </c>
      <c r="C25" s="2" t="s">
        <v>31</v>
      </c>
      <c r="D25" s="2">
        <v>-2.6137000000000003E-4</v>
      </c>
      <c r="E25" s="2" t="s">
        <v>34</v>
      </c>
      <c r="F25" s="2" t="s">
        <v>24</v>
      </c>
      <c r="G25" s="2" t="s">
        <v>25</v>
      </c>
      <c r="J25" s="2" t="s">
        <v>26</v>
      </c>
    </row>
    <row r="26" spans="1:10" x14ac:dyDescent="0.25">
      <c r="A26" s="2" t="s">
        <v>57</v>
      </c>
      <c r="B26" s="2" t="s">
        <v>58</v>
      </c>
      <c r="C26" s="2" t="s">
        <v>31</v>
      </c>
      <c r="D26" s="2">
        <v>-1.6873999999999999E-4</v>
      </c>
      <c r="E26" s="2" t="s">
        <v>34</v>
      </c>
      <c r="F26" s="2" t="s">
        <v>24</v>
      </c>
      <c r="G26" s="2" t="s">
        <v>25</v>
      </c>
      <c r="J26" s="2" t="s">
        <v>26</v>
      </c>
    </row>
    <row r="27" spans="1:10" x14ac:dyDescent="0.25">
      <c r="A27" s="2" t="s">
        <v>57</v>
      </c>
      <c r="B27" s="2" t="s">
        <v>58</v>
      </c>
      <c r="C27" s="2" t="s">
        <v>31</v>
      </c>
      <c r="D27" s="2">
        <v>-2.0000000000000002E-5</v>
      </c>
      <c r="E27" s="2" t="s">
        <v>34</v>
      </c>
      <c r="F27" s="2" t="s">
        <v>24</v>
      </c>
      <c r="G27" s="2" t="s">
        <v>25</v>
      </c>
      <c r="J27" s="2" t="s">
        <v>26</v>
      </c>
    </row>
    <row r="28" spans="1:10" x14ac:dyDescent="0.25">
      <c r="A28" s="2" t="s">
        <v>59</v>
      </c>
      <c r="B28" s="2" t="s">
        <v>60</v>
      </c>
      <c r="C28" s="2" t="s">
        <v>23</v>
      </c>
      <c r="D28" s="2">
        <v>-2.34</v>
      </c>
      <c r="E28" s="2" t="s">
        <v>6</v>
      </c>
      <c r="F28" s="2" t="s">
        <v>24</v>
      </c>
      <c r="G28" s="2" t="s">
        <v>25</v>
      </c>
      <c r="J28" s="2" t="s">
        <v>26</v>
      </c>
    </row>
    <row r="29" spans="1:10" x14ac:dyDescent="0.25">
      <c r="A29" s="2" t="s">
        <v>61</v>
      </c>
      <c r="B29" s="2" t="s">
        <v>60</v>
      </c>
      <c r="C29" s="2" t="s">
        <v>23</v>
      </c>
      <c r="D29" s="2">
        <v>-4.0999999999999996</v>
      </c>
      <c r="E29" s="2" t="s">
        <v>6</v>
      </c>
      <c r="F29" s="2" t="s">
        <v>24</v>
      </c>
      <c r="G29" s="2" t="s">
        <v>25</v>
      </c>
      <c r="J29" s="2" t="s">
        <v>26</v>
      </c>
    </row>
    <row r="30" spans="1:10" x14ac:dyDescent="0.25">
      <c r="A30" s="2" t="s">
        <v>62</v>
      </c>
      <c r="B30" s="2" t="s">
        <v>63</v>
      </c>
      <c r="C30" s="2" t="s">
        <v>31</v>
      </c>
      <c r="D30" s="2">
        <v>-0.20998</v>
      </c>
      <c r="E30" s="2" t="s">
        <v>6</v>
      </c>
      <c r="F30" s="2" t="s">
        <v>24</v>
      </c>
      <c r="G30" s="2" t="s">
        <v>25</v>
      </c>
      <c r="J30" s="2" t="s">
        <v>26</v>
      </c>
    </row>
    <row r="31" spans="1:10" x14ac:dyDescent="0.25">
      <c r="A31" s="2" t="s">
        <v>64</v>
      </c>
      <c r="B31" s="2" t="s">
        <v>65</v>
      </c>
      <c r="C31" s="2" t="s">
        <v>31</v>
      </c>
      <c r="D31" s="2">
        <v>-2.2000000000000001E-4</v>
      </c>
      <c r="E31" s="2" t="s">
        <v>6</v>
      </c>
      <c r="F31" s="2" t="s">
        <v>24</v>
      </c>
      <c r="G31" s="2" t="s">
        <v>25</v>
      </c>
      <c r="J31" s="2" t="s">
        <v>26</v>
      </c>
    </row>
    <row r="32" spans="1:10" x14ac:dyDescent="0.25">
      <c r="A32" s="2" t="s">
        <v>66</v>
      </c>
      <c r="D32" s="2">
        <v>1.5</v>
      </c>
      <c r="E32" s="2" t="s">
        <v>6</v>
      </c>
      <c r="F32" s="2" t="s">
        <v>67</v>
      </c>
      <c r="G32" s="2" t="s">
        <v>68</v>
      </c>
      <c r="H32" s="2" t="s">
        <v>69</v>
      </c>
      <c r="J32" s="2" t="s">
        <v>26</v>
      </c>
    </row>
    <row r="33" spans="1:10" x14ac:dyDescent="0.25">
      <c r="A33" s="2" t="s">
        <v>70</v>
      </c>
      <c r="D33" s="2">
        <v>4.2399999999999998E-3</v>
      </c>
      <c r="E33" s="2" t="s">
        <v>34</v>
      </c>
      <c r="F33" s="2" t="s">
        <v>67</v>
      </c>
      <c r="G33" s="2" t="s">
        <v>68</v>
      </c>
      <c r="H33" s="2" t="s">
        <v>69</v>
      </c>
      <c r="J33" s="2" t="s">
        <v>26</v>
      </c>
    </row>
    <row r="34" spans="1:10" x14ac:dyDescent="0.25">
      <c r="A34" s="2" t="s">
        <v>71</v>
      </c>
      <c r="D34" s="2">
        <v>3.7100000000000002E-3</v>
      </c>
      <c r="E34" s="2" t="s">
        <v>6</v>
      </c>
      <c r="F34" s="2" t="s">
        <v>67</v>
      </c>
      <c r="G34" s="2" t="s">
        <v>68</v>
      </c>
      <c r="H34" s="2" t="s">
        <v>127</v>
      </c>
      <c r="J34" s="2" t="s">
        <v>26</v>
      </c>
    </row>
    <row r="35" spans="1:10" x14ac:dyDescent="0.25">
      <c r="A35" s="2" t="s">
        <v>72</v>
      </c>
      <c r="D35" s="2">
        <v>1.8673999999999999E-4</v>
      </c>
      <c r="E35" s="2" t="s">
        <v>6</v>
      </c>
      <c r="F35" s="2" t="s">
        <v>67</v>
      </c>
      <c r="G35" s="2" t="s">
        <v>68</v>
      </c>
      <c r="H35" s="2" t="s">
        <v>127</v>
      </c>
      <c r="J35" s="2" t="s">
        <v>26</v>
      </c>
    </row>
    <row r="36" spans="1:10" x14ac:dyDescent="0.25">
      <c r="A36" s="2" t="s">
        <v>73</v>
      </c>
      <c r="D36" s="2">
        <v>3.2240000000000003E-5</v>
      </c>
      <c r="E36" s="2" t="s">
        <v>6</v>
      </c>
      <c r="F36" s="2" t="s">
        <v>67</v>
      </c>
      <c r="G36" s="2" t="s">
        <v>68</v>
      </c>
      <c r="H36" s="2" t="s">
        <v>127</v>
      </c>
      <c r="J36" s="2" t="s">
        <v>26</v>
      </c>
    </row>
    <row r="37" spans="1:10" x14ac:dyDescent="0.25">
      <c r="A37" s="2" t="s">
        <v>72</v>
      </c>
      <c r="D37" s="2">
        <v>2.828E-5</v>
      </c>
      <c r="E37" s="2" t="s">
        <v>6</v>
      </c>
      <c r="F37" s="2" t="s">
        <v>67</v>
      </c>
      <c r="G37" s="2" t="s">
        <v>68</v>
      </c>
      <c r="H37" s="2" t="s">
        <v>127</v>
      </c>
      <c r="J37" s="2" t="s">
        <v>26</v>
      </c>
    </row>
    <row r="38" spans="1:10" x14ac:dyDescent="0.25">
      <c r="A38" s="2" t="s">
        <v>74</v>
      </c>
      <c r="D38" s="2">
        <v>1.3292999999999999E-4</v>
      </c>
      <c r="E38" s="2" t="s">
        <v>6</v>
      </c>
      <c r="F38" s="2" t="s">
        <v>67</v>
      </c>
      <c r="G38" s="2" t="s">
        <v>68</v>
      </c>
      <c r="H38" s="2" t="s">
        <v>127</v>
      </c>
      <c r="J38" s="2" t="s">
        <v>26</v>
      </c>
    </row>
    <row r="39" spans="1:10" x14ac:dyDescent="0.25">
      <c r="A39" s="2" t="s">
        <v>75</v>
      </c>
      <c r="D39" s="2">
        <v>2.137E-5</v>
      </c>
      <c r="E39" s="2" t="s">
        <v>6</v>
      </c>
      <c r="F39" s="2" t="s">
        <v>67</v>
      </c>
      <c r="G39" s="2" t="s">
        <v>68</v>
      </c>
      <c r="H39" s="2" t="s">
        <v>127</v>
      </c>
      <c r="J39" s="2" t="s">
        <v>26</v>
      </c>
    </row>
    <row r="40" spans="1:10" x14ac:dyDescent="0.25">
      <c r="A40" s="2" t="s">
        <v>76</v>
      </c>
      <c r="D40" s="2">
        <v>2.5000000000000002E-6</v>
      </c>
      <c r="E40" s="2" t="s">
        <v>6</v>
      </c>
      <c r="F40" s="2" t="s">
        <v>67</v>
      </c>
      <c r="G40" s="2" t="s">
        <v>68</v>
      </c>
      <c r="H40" s="2" t="s">
        <v>127</v>
      </c>
      <c r="J40" s="2" t="s">
        <v>26</v>
      </c>
    </row>
    <row r="41" spans="1:10" x14ac:dyDescent="0.25">
      <c r="A41" s="2" t="s">
        <v>77</v>
      </c>
      <c r="D41" s="2">
        <v>4.1999999999999996E-6</v>
      </c>
      <c r="E41" s="2" t="s">
        <v>6</v>
      </c>
      <c r="F41" s="2" t="s">
        <v>67</v>
      </c>
      <c r="G41" s="2" t="s">
        <v>68</v>
      </c>
      <c r="H41" s="2" t="s">
        <v>127</v>
      </c>
      <c r="J41" s="2" t="s">
        <v>26</v>
      </c>
    </row>
    <row r="42" spans="1:10" x14ac:dyDescent="0.25">
      <c r="A42" s="2" t="s">
        <v>78</v>
      </c>
      <c r="D42" s="2">
        <v>9.9999999999999986E-10</v>
      </c>
      <c r="E42" s="2" t="s">
        <v>6</v>
      </c>
      <c r="F42" s="2" t="s">
        <v>67</v>
      </c>
      <c r="G42" s="2" t="s">
        <v>68</v>
      </c>
      <c r="H42" s="2" t="s">
        <v>127</v>
      </c>
      <c r="J42" s="2" t="s">
        <v>26</v>
      </c>
    </row>
    <row r="43" spans="1:10" x14ac:dyDescent="0.25">
      <c r="A43" s="2" t="s">
        <v>79</v>
      </c>
      <c r="D43" s="2">
        <v>0.5</v>
      </c>
      <c r="E43" s="2" t="s">
        <v>6</v>
      </c>
      <c r="F43" s="2" t="s">
        <v>67</v>
      </c>
      <c r="G43" s="2" t="s">
        <v>68</v>
      </c>
      <c r="H43" s="2" t="s">
        <v>156</v>
      </c>
      <c r="J43" s="2" t="s">
        <v>26</v>
      </c>
    </row>
    <row r="44" spans="1:10" x14ac:dyDescent="0.25">
      <c r="A44" s="2" t="s">
        <v>80</v>
      </c>
      <c r="D44" s="2">
        <v>1.2629999999999999E-5</v>
      </c>
      <c r="E44" s="2" t="s">
        <v>6</v>
      </c>
      <c r="F44" s="2" t="s">
        <v>67</v>
      </c>
      <c r="G44" s="2" t="s">
        <v>68</v>
      </c>
      <c r="H44" s="2" t="s">
        <v>128</v>
      </c>
      <c r="J44" s="2" t="s">
        <v>26</v>
      </c>
    </row>
    <row r="45" spans="1:10" x14ac:dyDescent="0.25">
      <c r="A45" s="2" t="s">
        <v>81</v>
      </c>
      <c r="D45" s="2">
        <v>2.6910000000000002E-5</v>
      </c>
      <c r="E45" s="2" t="s">
        <v>6</v>
      </c>
      <c r="F45" s="2" t="s">
        <v>67</v>
      </c>
      <c r="G45" s="2" t="s">
        <v>68</v>
      </c>
      <c r="H45" s="2" t="s">
        <v>128</v>
      </c>
      <c r="J45" s="2" t="s">
        <v>26</v>
      </c>
    </row>
    <row r="46" spans="1:10" x14ac:dyDescent="0.25">
      <c r="A46" s="2" t="s">
        <v>157</v>
      </c>
      <c r="D46" s="2">
        <v>1.9999999999999999E-7</v>
      </c>
      <c r="E46" s="2" t="s">
        <v>6</v>
      </c>
      <c r="F46" s="2" t="s">
        <v>67</v>
      </c>
      <c r="G46" s="2" t="s">
        <v>68</v>
      </c>
      <c r="H46" s="2" t="s">
        <v>128</v>
      </c>
      <c r="J46" s="2" t="s">
        <v>26</v>
      </c>
    </row>
    <row r="47" spans="1:10" x14ac:dyDescent="0.25">
      <c r="A47" s="2" t="s">
        <v>82</v>
      </c>
      <c r="D47" s="2">
        <v>2.8900000000000001E-8</v>
      </c>
      <c r="E47" s="2" t="s">
        <v>6</v>
      </c>
      <c r="F47" s="2" t="s">
        <v>67</v>
      </c>
      <c r="G47" s="2" t="s">
        <v>68</v>
      </c>
      <c r="H47" s="2" t="s">
        <v>128</v>
      </c>
      <c r="J47" s="2" t="s">
        <v>26</v>
      </c>
    </row>
    <row r="48" spans="1:10" x14ac:dyDescent="0.25">
      <c r="A48" s="2" t="s">
        <v>83</v>
      </c>
      <c r="D48" s="2">
        <v>2.3800000000000001E-10</v>
      </c>
      <c r="E48" s="2" t="s">
        <v>6</v>
      </c>
      <c r="F48" s="2" t="s">
        <v>67</v>
      </c>
      <c r="G48" s="2" t="s">
        <v>68</v>
      </c>
      <c r="H48" s="2" t="s">
        <v>128</v>
      </c>
      <c r="J48" s="2" t="s">
        <v>26</v>
      </c>
    </row>
    <row r="49" spans="1:10" x14ac:dyDescent="0.25">
      <c r="A49" s="2" t="s">
        <v>84</v>
      </c>
      <c r="D49" s="2">
        <v>2.4999999999999999E-7</v>
      </c>
      <c r="E49" s="2" t="s">
        <v>6</v>
      </c>
      <c r="F49" s="2" t="s">
        <v>67</v>
      </c>
      <c r="G49" s="2" t="s">
        <v>68</v>
      </c>
      <c r="H49" s="2" t="s">
        <v>128</v>
      </c>
      <c r="J49" s="2" t="s">
        <v>26</v>
      </c>
    </row>
    <row r="50" spans="1:10" x14ac:dyDescent="0.25">
      <c r="A50" s="2" t="s">
        <v>85</v>
      </c>
      <c r="D50" s="2">
        <v>2.3800000000000001E-8</v>
      </c>
      <c r="E50" s="2" t="s">
        <v>6</v>
      </c>
      <c r="F50" s="2" t="s">
        <v>67</v>
      </c>
      <c r="G50" s="2" t="s">
        <v>68</v>
      </c>
      <c r="H50" s="2" t="s">
        <v>128</v>
      </c>
      <c r="J50" s="2" t="s">
        <v>26</v>
      </c>
    </row>
    <row r="51" spans="1:10" x14ac:dyDescent="0.25">
      <c r="A51" s="2" t="s">
        <v>86</v>
      </c>
      <c r="D51" s="2">
        <v>1.74E-8</v>
      </c>
      <c r="E51" s="2" t="s">
        <v>6</v>
      </c>
      <c r="F51" s="2" t="s">
        <v>67</v>
      </c>
      <c r="G51" s="2" t="s">
        <v>68</v>
      </c>
      <c r="H51" s="2" t="s">
        <v>128</v>
      </c>
      <c r="J51" s="2" t="s">
        <v>26</v>
      </c>
    </row>
    <row r="52" spans="1:10" x14ac:dyDescent="0.25">
      <c r="A52" s="2" t="s">
        <v>87</v>
      </c>
      <c r="D52" s="2">
        <v>2.3800000000000001E-8</v>
      </c>
      <c r="E52" s="2" t="s">
        <v>6</v>
      </c>
      <c r="F52" s="2" t="s">
        <v>67</v>
      </c>
      <c r="G52" s="2" t="s">
        <v>68</v>
      </c>
      <c r="H52" s="2" t="s">
        <v>128</v>
      </c>
      <c r="J52" s="2" t="s">
        <v>26</v>
      </c>
    </row>
    <row r="53" spans="1:10" x14ac:dyDescent="0.25">
      <c r="A53" s="2" t="s">
        <v>88</v>
      </c>
      <c r="D53" s="2">
        <v>7.1299999999999997E-8</v>
      </c>
      <c r="E53" s="2" t="s">
        <v>6</v>
      </c>
      <c r="F53" s="2" t="s">
        <v>67</v>
      </c>
      <c r="G53" s="2" t="s">
        <v>68</v>
      </c>
      <c r="H53" s="2" t="s">
        <v>128</v>
      </c>
      <c r="J53" s="2" t="s">
        <v>26</v>
      </c>
    </row>
    <row r="54" spans="1:10" x14ac:dyDescent="0.25">
      <c r="A54" s="2" t="s">
        <v>89</v>
      </c>
      <c r="D54" s="2">
        <v>2.3800000000000001E-10</v>
      </c>
      <c r="E54" s="2" t="s">
        <v>6</v>
      </c>
      <c r="F54" s="2" t="s">
        <v>67</v>
      </c>
      <c r="G54" s="2" t="s">
        <v>68</v>
      </c>
      <c r="H54" s="2" t="s">
        <v>128</v>
      </c>
      <c r="J54" s="2" t="s">
        <v>26</v>
      </c>
    </row>
    <row r="55" spans="1:10" x14ac:dyDescent="0.25">
      <c r="A55" s="2" t="s">
        <v>90</v>
      </c>
      <c r="D55" s="2">
        <v>9.5000000000000004E-8</v>
      </c>
      <c r="E55" s="2" t="s">
        <v>6</v>
      </c>
      <c r="F55" s="2" t="s">
        <v>67</v>
      </c>
      <c r="G55" s="2" t="s">
        <v>68</v>
      </c>
      <c r="H55" s="2" t="s">
        <v>128</v>
      </c>
      <c r="J55" s="2" t="s">
        <v>26</v>
      </c>
    </row>
    <row r="56" spans="1:10" x14ac:dyDescent="0.25">
      <c r="A56" s="2" t="s">
        <v>91</v>
      </c>
      <c r="D56" s="2">
        <v>2.3800000000000001E-8</v>
      </c>
      <c r="E56" s="2" t="s">
        <v>6</v>
      </c>
      <c r="F56" s="2" t="s">
        <v>67</v>
      </c>
      <c r="G56" s="2" t="s">
        <v>68</v>
      </c>
      <c r="H56" s="2" t="s">
        <v>128</v>
      </c>
      <c r="J56" s="2" t="s">
        <v>26</v>
      </c>
    </row>
    <row r="57" spans="1:10" x14ac:dyDescent="0.25">
      <c r="A57" s="2" t="s">
        <v>92</v>
      </c>
      <c r="D57" s="2">
        <v>6.3299999999999991E-8</v>
      </c>
      <c r="E57" s="2" t="s">
        <v>6</v>
      </c>
      <c r="F57" s="2" t="s">
        <v>67</v>
      </c>
      <c r="G57" s="2" t="s">
        <v>68</v>
      </c>
      <c r="H57" s="2" t="s">
        <v>128</v>
      </c>
      <c r="J57" s="2" t="s">
        <v>26</v>
      </c>
    </row>
    <row r="58" spans="1:10" s="11" customFormat="1" x14ac:dyDescent="0.25"/>
    <row r="59" spans="1:10" x14ac:dyDescent="0.25">
      <c r="A59" s="1" t="s">
        <v>0</v>
      </c>
      <c r="B59" s="1" t="s">
        <v>136</v>
      </c>
    </row>
    <row r="60" spans="1:10" x14ac:dyDescent="0.25">
      <c r="A60" s="9" t="s">
        <v>1</v>
      </c>
      <c r="B60" s="2" t="s">
        <v>135</v>
      </c>
    </row>
    <row r="61" spans="1:10" x14ac:dyDescent="0.25">
      <c r="A61" s="9" t="s">
        <v>2</v>
      </c>
      <c r="B61" s="2" t="s">
        <v>3</v>
      </c>
    </row>
    <row r="62" spans="1:10" x14ac:dyDescent="0.25">
      <c r="A62" s="9" t="s">
        <v>4</v>
      </c>
      <c r="B62" s="2">
        <v>1</v>
      </c>
    </row>
    <row r="63" spans="1:10" x14ac:dyDescent="0.25">
      <c r="A63" s="9" t="s">
        <v>5</v>
      </c>
      <c r="B63" s="2" t="s">
        <v>6</v>
      </c>
    </row>
    <row r="64" spans="1:10" x14ac:dyDescent="0.25">
      <c r="A64" s="9" t="s">
        <v>7</v>
      </c>
      <c r="B64" s="2" t="s">
        <v>8</v>
      </c>
    </row>
    <row r="65" spans="1:14" x14ac:dyDescent="0.25">
      <c r="A65" s="9" t="s">
        <v>9</v>
      </c>
    </row>
    <row r="66" spans="1:14" x14ac:dyDescent="0.25">
      <c r="A66" s="1" t="s">
        <v>10</v>
      </c>
      <c r="B66" s="1" t="s">
        <v>1</v>
      </c>
      <c r="C66" s="1" t="s">
        <v>2</v>
      </c>
      <c r="D66" s="1" t="s">
        <v>4</v>
      </c>
      <c r="E66" s="1" t="s">
        <v>5</v>
      </c>
      <c r="F66" s="1" t="s">
        <v>11</v>
      </c>
      <c r="G66" s="1" t="s">
        <v>12</v>
      </c>
      <c r="H66" s="1" t="s">
        <v>13</v>
      </c>
      <c r="I66" s="1" t="s">
        <v>14</v>
      </c>
      <c r="J66" s="1" t="s">
        <v>15</v>
      </c>
      <c r="K66" s="1" t="s">
        <v>16</v>
      </c>
      <c r="L66" s="1" t="s">
        <v>17</v>
      </c>
      <c r="M66" s="1" t="s">
        <v>18</v>
      </c>
      <c r="N66" s="1" t="s">
        <v>19</v>
      </c>
    </row>
    <row r="67" spans="1:14" x14ac:dyDescent="0.25">
      <c r="A67" s="2" t="str">
        <f>B59</f>
        <v>Mn ore mining and Mn metal production in China</v>
      </c>
      <c r="B67" s="2" t="str">
        <f>B60</f>
        <v>Mn metal</v>
      </c>
      <c r="C67" s="2" t="str">
        <f>B61</f>
        <v>CN</v>
      </c>
      <c r="D67" s="2">
        <v>1</v>
      </c>
      <c r="E67" s="2" t="s">
        <v>6</v>
      </c>
      <c r="F67" s="3" t="str">
        <f>F9</f>
        <v>Manganese</v>
      </c>
      <c r="G67" s="2" t="s">
        <v>20</v>
      </c>
    </row>
    <row r="68" spans="1:14" x14ac:dyDescent="0.25">
      <c r="A68" s="2" t="str">
        <f>A9</f>
        <v>[M+C+P+R] Manganese (Mn) metal production</v>
      </c>
      <c r="B68" s="2" t="str">
        <f t="shared" ref="B68:F68" si="0">B9</f>
        <v>Mn metal</v>
      </c>
      <c r="C68" s="2" t="str">
        <f t="shared" si="0"/>
        <v>CN</v>
      </c>
      <c r="D68" s="2">
        <f t="shared" si="0"/>
        <v>1</v>
      </c>
      <c r="E68" s="2" t="str">
        <f t="shared" si="0"/>
        <v>kilogram</v>
      </c>
      <c r="F68" s="3" t="str">
        <f t="shared" si="0"/>
        <v>Manganese</v>
      </c>
      <c r="G68" s="2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50"/>
  <sheetViews>
    <sheetView workbookViewId="0"/>
  </sheetViews>
  <sheetFormatPr baseColWidth="10" defaultColWidth="9.140625" defaultRowHeight="15" x14ac:dyDescent="0.25"/>
  <cols>
    <col min="1" max="1" width="66.140625" style="2" bestFit="1" customWidth="1"/>
    <col min="2" max="2" width="66.5703125" style="2" bestFit="1" customWidth="1"/>
    <col min="3" max="3" width="25.85546875" style="2" bestFit="1" customWidth="1"/>
    <col min="4" max="4" width="12" style="2" bestFit="1" customWidth="1"/>
    <col min="5" max="5" width="13.140625" style="2" bestFit="1" customWidth="1"/>
    <col min="6" max="6" width="19.7109375" style="2" bestFit="1" customWidth="1"/>
    <col min="7" max="7" width="13.28515625" style="2" bestFit="1" customWidth="1"/>
    <col min="8" max="8" width="25.28515625" style="2" bestFit="1" customWidth="1"/>
    <col min="9" max="9" width="15.5703125" style="2" bestFit="1" customWidth="1"/>
    <col min="10" max="10" width="9.7109375" style="2" bestFit="1" customWidth="1"/>
    <col min="11" max="11" width="3.5703125" style="2" bestFit="1" customWidth="1"/>
    <col min="12" max="12" width="5.42578125" style="2" bestFit="1" customWidth="1"/>
    <col min="13" max="13" width="9.5703125" style="2" bestFit="1" customWidth="1"/>
    <col min="14" max="14" width="9.85546875" style="2" bestFit="1" customWidth="1"/>
    <col min="15" max="16384" width="9.140625" style="2"/>
  </cols>
  <sheetData>
    <row r="1" spans="1:14" x14ac:dyDescent="0.25">
      <c r="A1" s="1" t="s">
        <v>0</v>
      </c>
      <c r="B1" s="10" t="s">
        <v>137</v>
      </c>
    </row>
    <row r="2" spans="1:14" x14ac:dyDescent="0.25">
      <c r="A2" s="2" t="s">
        <v>1</v>
      </c>
      <c r="B2" s="2" t="s">
        <v>138</v>
      </c>
    </row>
    <row r="3" spans="1:14" x14ac:dyDescent="0.25">
      <c r="A3" s="2" t="s">
        <v>2</v>
      </c>
      <c r="B3" s="2" t="s">
        <v>93</v>
      </c>
    </row>
    <row r="4" spans="1:14" x14ac:dyDescent="0.25">
      <c r="A4" s="2" t="s">
        <v>4</v>
      </c>
      <c r="B4" s="2">
        <v>1</v>
      </c>
    </row>
    <row r="5" spans="1:14" x14ac:dyDescent="0.25">
      <c r="A5" s="2" t="s">
        <v>5</v>
      </c>
      <c r="B5" s="2" t="s">
        <v>6</v>
      </c>
    </row>
    <row r="6" spans="1:14" x14ac:dyDescent="0.25">
      <c r="A6" s="2" t="s">
        <v>7</v>
      </c>
      <c r="B6" s="2" t="s">
        <v>8</v>
      </c>
    </row>
    <row r="7" spans="1:14" x14ac:dyDescent="0.25">
      <c r="A7" s="2" t="s">
        <v>9</v>
      </c>
    </row>
    <row r="8" spans="1:14" x14ac:dyDescent="0.25">
      <c r="A8" s="1" t="s">
        <v>10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[M+C+P+R] Ferromanganese (FeMn) production</v>
      </c>
      <c r="B9" s="2" t="str">
        <f>B2</f>
        <v>FeMn</v>
      </c>
      <c r="C9" s="2" t="str">
        <f>B3</f>
        <v>AU</v>
      </c>
      <c r="D9" s="2">
        <v>1</v>
      </c>
      <c r="E9" s="2" t="s">
        <v>6</v>
      </c>
      <c r="F9" s="3" t="str">
        <f>Mn_Market_GLO!B1</f>
        <v>Manganese</v>
      </c>
      <c r="G9" s="2" t="s">
        <v>20</v>
      </c>
    </row>
    <row r="10" spans="1:14" x14ac:dyDescent="0.25">
      <c r="A10" s="2" t="s">
        <v>94</v>
      </c>
      <c r="B10" s="2" t="s">
        <v>95</v>
      </c>
      <c r="C10" s="2" t="s">
        <v>23</v>
      </c>
      <c r="D10" s="2">
        <v>2.5637976E-2</v>
      </c>
      <c r="E10" s="2" t="s">
        <v>96</v>
      </c>
      <c r="F10" s="2" t="s">
        <v>24</v>
      </c>
      <c r="G10" s="2" t="s">
        <v>25</v>
      </c>
      <c r="J10" s="2" t="s">
        <v>97</v>
      </c>
    </row>
    <row r="11" spans="1:14" x14ac:dyDescent="0.25">
      <c r="A11" s="2" t="s">
        <v>98</v>
      </c>
      <c r="B11" s="2" t="s">
        <v>99</v>
      </c>
      <c r="C11" s="2" t="s">
        <v>23</v>
      </c>
      <c r="D11" s="2">
        <v>2.3014555200000002E-2</v>
      </c>
      <c r="E11" s="2" t="s">
        <v>96</v>
      </c>
      <c r="F11" s="2" t="s">
        <v>24</v>
      </c>
      <c r="G11" s="2" t="s">
        <v>25</v>
      </c>
      <c r="J11" s="2" t="s">
        <v>97</v>
      </c>
    </row>
    <row r="12" spans="1:14" x14ac:dyDescent="0.25">
      <c r="A12" s="2" t="s">
        <v>100</v>
      </c>
      <c r="B12" s="2" t="s">
        <v>101</v>
      </c>
      <c r="C12" s="2" t="s">
        <v>23</v>
      </c>
      <c r="D12" s="2">
        <v>8.2810000000000006</v>
      </c>
      <c r="E12" s="2" t="s">
        <v>102</v>
      </c>
      <c r="F12" s="2" t="s">
        <v>24</v>
      </c>
      <c r="G12" s="2" t="s">
        <v>25</v>
      </c>
      <c r="J12" s="2" t="s">
        <v>97</v>
      </c>
    </row>
    <row r="13" spans="1:14" x14ac:dyDescent="0.25">
      <c r="A13" s="2" t="s">
        <v>103</v>
      </c>
      <c r="B13" s="2" t="s">
        <v>104</v>
      </c>
      <c r="C13" s="2" t="s">
        <v>31</v>
      </c>
      <c r="D13" s="2">
        <v>4.9139999999999997</v>
      </c>
      <c r="E13" s="2" t="s">
        <v>96</v>
      </c>
      <c r="F13" s="2" t="s">
        <v>24</v>
      </c>
      <c r="G13" s="2" t="s">
        <v>25</v>
      </c>
      <c r="J13" s="2" t="s">
        <v>97</v>
      </c>
    </row>
    <row r="14" spans="1:14" x14ac:dyDescent="0.25">
      <c r="A14" s="2" t="s">
        <v>54</v>
      </c>
      <c r="B14" s="2" t="s">
        <v>55</v>
      </c>
      <c r="C14" s="2" t="s">
        <v>93</v>
      </c>
      <c r="D14" s="2">
        <v>5.4600000000000003E-2</v>
      </c>
      <c r="E14" s="2" t="s">
        <v>56</v>
      </c>
      <c r="F14" s="2" t="s">
        <v>24</v>
      </c>
      <c r="G14" s="2" t="s">
        <v>25</v>
      </c>
      <c r="J14" s="2" t="s">
        <v>97</v>
      </c>
    </row>
    <row r="15" spans="1:14" x14ac:dyDescent="0.25">
      <c r="A15" s="2" t="s">
        <v>105</v>
      </c>
      <c r="B15" s="2" t="s">
        <v>106</v>
      </c>
      <c r="C15" s="2" t="s">
        <v>23</v>
      </c>
      <c r="D15" s="2">
        <v>0.14000000000000001</v>
      </c>
      <c r="E15" s="2" t="s">
        <v>6</v>
      </c>
      <c r="F15" s="2" t="s">
        <v>24</v>
      </c>
      <c r="G15" s="2" t="s">
        <v>25</v>
      </c>
      <c r="J15" s="2" t="s">
        <v>97</v>
      </c>
    </row>
    <row r="16" spans="1:14" x14ac:dyDescent="0.25">
      <c r="A16" s="2" t="s">
        <v>100</v>
      </c>
      <c r="B16" s="2" t="s">
        <v>101</v>
      </c>
      <c r="C16" s="2" t="s">
        <v>23</v>
      </c>
      <c r="D16" s="2">
        <v>3</v>
      </c>
      <c r="E16" s="2" t="s">
        <v>102</v>
      </c>
      <c r="F16" s="2" t="s">
        <v>24</v>
      </c>
      <c r="G16" s="2" t="s">
        <v>25</v>
      </c>
      <c r="J16" s="2" t="s">
        <v>97</v>
      </c>
    </row>
    <row r="17" spans="1:10" x14ac:dyDescent="0.25">
      <c r="A17" s="2" t="s">
        <v>107</v>
      </c>
      <c r="B17" s="2" t="s">
        <v>108</v>
      </c>
      <c r="C17" s="2" t="s">
        <v>31</v>
      </c>
      <c r="D17" s="2">
        <v>0.18</v>
      </c>
      <c r="E17" s="2" t="s">
        <v>6</v>
      </c>
      <c r="F17" s="2" t="s">
        <v>24</v>
      </c>
      <c r="G17" s="2" t="s">
        <v>25</v>
      </c>
      <c r="J17" s="2" t="s">
        <v>97</v>
      </c>
    </row>
    <row r="18" spans="1:10" x14ac:dyDescent="0.25">
      <c r="A18" s="2" t="s">
        <v>100</v>
      </c>
      <c r="B18" s="2" t="s">
        <v>101</v>
      </c>
      <c r="C18" s="2" t="s">
        <v>23</v>
      </c>
      <c r="D18" s="2">
        <v>2</v>
      </c>
      <c r="E18" s="2" t="s">
        <v>102</v>
      </c>
      <c r="F18" s="2" t="s">
        <v>24</v>
      </c>
      <c r="G18" s="2" t="s">
        <v>25</v>
      </c>
      <c r="J18" s="2" t="s">
        <v>97</v>
      </c>
    </row>
    <row r="19" spans="1:10" x14ac:dyDescent="0.25">
      <c r="A19" s="2" t="s">
        <v>103</v>
      </c>
      <c r="B19" s="2" t="s">
        <v>104</v>
      </c>
      <c r="C19" s="2" t="s">
        <v>31</v>
      </c>
      <c r="D19" s="2">
        <v>9.3000000000000007</v>
      </c>
      <c r="E19" s="2" t="s">
        <v>96</v>
      </c>
      <c r="F19" s="2" t="s">
        <v>24</v>
      </c>
      <c r="G19" s="2" t="s">
        <v>25</v>
      </c>
      <c r="J19" s="2" t="s">
        <v>97</v>
      </c>
    </row>
    <row r="20" spans="1:10" x14ac:dyDescent="0.25">
      <c r="A20" s="2" t="s">
        <v>100</v>
      </c>
      <c r="B20" s="2" t="s">
        <v>101</v>
      </c>
      <c r="C20" s="2" t="s">
        <v>23</v>
      </c>
      <c r="D20" s="2">
        <v>0.8</v>
      </c>
      <c r="E20" s="2" t="s">
        <v>102</v>
      </c>
      <c r="F20" s="2" t="s">
        <v>24</v>
      </c>
      <c r="G20" s="2" t="s">
        <v>25</v>
      </c>
      <c r="J20" s="2" t="s">
        <v>97</v>
      </c>
    </row>
    <row r="21" spans="1:10" x14ac:dyDescent="0.25">
      <c r="A21" s="2" t="s">
        <v>109</v>
      </c>
      <c r="B21" s="2" t="s">
        <v>110</v>
      </c>
      <c r="C21" s="2" t="s">
        <v>93</v>
      </c>
      <c r="D21" s="2">
        <v>0.13</v>
      </c>
      <c r="E21" s="2" t="s">
        <v>6</v>
      </c>
      <c r="F21" s="2" t="s">
        <v>24</v>
      </c>
      <c r="G21" s="2" t="s">
        <v>25</v>
      </c>
      <c r="J21" s="2" t="s">
        <v>97</v>
      </c>
    </row>
    <row r="22" spans="1:10" x14ac:dyDescent="0.25">
      <c r="A22" s="2" t="s">
        <v>100</v>
      </c>
      <c r="B22" s="2" t="s">
        <v>101</v>
      </c>
      <c r="C22" s="2" t="s">
        <v>23</v>
      </c>
      <c r="D22" s="2">
        <v>1</v>
      </c>
      <c r="E22" s="2" t="s">
        <v>102</v>
      </c>
      <c r="F22" s="2" t="s">
        <v>24</v>
      </c>
      <c r="G22" s="2" t="s">
        <v>25</v>
      </c>
      <c r="J22" s="2" t="s">
        <v>97</v>
      </c>
    </row>
    <row r="23" spans="1:10" x14ac:dyDescent="0.25">
      <c r="A23" s="2" t="s">
        <v>111</v>
      </c>
      <c r="B23" s="2" t="s">
        <v>112</v>
      </c>
      <c r="C23" s="2" t="s">
        <v>31</v>
      </c>
      <c r="D23" s="2">
        <v>0.01</v>
      </c>
      <c r="E23" s="2" t="s">
        <v>6</v>
      </c>
      <c r="F23" s="2" t="s">
        <v>24</v>
      </c>
      <c r="G23" s="2" t="s">
        <v>25</v>
      </c>
      <c r="J23" s="2" t="s">
        <v>97</v>
      </c>
    </row>
    <row r="24" spans="1:10" x14ac:dyDescent="0.25">
      <c r="A24" s="2" t="s">
        <v>54</v>
      </c>
      <c r="B24" s="2" t="s">
        <v>55</v>
      </c>
      <c r="C24" s="2" t="s">
        <v>93</v>
      </c>
      <c r="D24" s="2">
        <v>6.6666666666666664E-4</v>
      </c>
      <c r="E24" s="2" t="s">
        <v>56</v>
      </c>
      <c r="F24" s="2" t="s">
        <v>24</v>
      </c>
      <c r="G24" s="2" t="s">
        <v>25</v>
      </c>
      <c r="J24" s="2" t="s">
        <v>97</v>
      </c>
    </row>
    <row r="25" spans="1:10" x14ac:dyDescent="0.25">
      <c r="A25" s="2" t="s">
        <v>113</v>
      </c>
      <c r="B25" s="2" t="s">
        <v>114</v>
      </c>
      <c r="C25" s="2" t="s">
        <v>31</v>
      </c>
      <c r="D25" s="2">
        <v>-0.63</v>
      </c>
      <c r="E25" s="2" t="s">
        <v>6</v>
      </c>
      <c r="F25" s="2" t="s">
        <v>24</v>
      </c>
      <c r="G25" s="2" t="s">
        <v>25</v>
      </c>
      <c r="J25" s="2" t="s">
        <v>97</v>
      </c>
    </row>
    <row r="26" spans="1:10" x14ac:dyDescent="0.25">
      <c r="A26" s="2" t="s">
        <v>70</v>
      </c>
      <c r="D26" s="2">
        <v>4.3061199999999998E-4</v>
      </c>
      <c r="E26" s="2" t="s">
        <v>34</v>
      </c>
      <c r="F26" s="2" t="s">
        <v>67</v>
      </c>
      <c r="G26" s="2" t="s">
        <v>68</v>
      </c>
      <c r="H26" s="2" t="s">
        <v>69</v>
      </c>
      <c r="J26" s="2" t="s">
        <v>97</v>
      </c>
    </row>
    <row r="27" spans="1:10" x14ac:dyDescent="0.25">
      <c r="A27" s="2" t="s">
        <v>66</v>
      </c>
      <c r="D27" s="2">
        <v>1.7330476800000001</v>
      </c>
      <c r="E27" s="2" t="s">
        <v>6</v>
      </c>
      <c r="F27" s="2" t="s">
        <v>67</v>
      </c>
      <c r="G27" s="2" t="s">
        <v>68</v>
      </c>
      <c r="H27" s="2" t="s">
        <v>69</v>
      </c>
      <c r="J27" s="2" t="s">
        <v>97</v>
      </c>
    </row>
    <row r="28" spans="1:10" x14ac:dyDescent="0.25">
      <c r="A28" s="2" t="s">
        <v>115</v>
      </c>
      <c r="D28" s="2">
        <v>1.28173318</v>
      </c>
      <c r="E28" s="2" t="s">
        <v>6</v>
      </c>
      <c r="F28" s="2" t="s">
        <v>67</v>
      </c>
      <c r="G28" s="2" t="s">
        <v>68</v>
      </c>
      <c r="H28" s="2" t="s">
        <v>69</v>
      </c>
      <c r="J28" s="2" t="s">
        <v>97</v>
      </c>
    </row>
    <row r="29" spans="1:10" s="11" customFormat="1" x14ac:dyDescent="0.25"/>
    <row r="30" spans="1:10" x14ac:dyDescent="0.25">
      <c r="A30" s="1" t="s">
        <v>0</v>
      </c>
      <c r="B30" s="1" t="s">
        <v>139</v>
      </c>
    </row>
    <row r="31" spans="1:10" x14ac:dyDescent="0.25">
      <c r="A31" s="9" t="s">
        <v>1</v>
      </c>
      <c r="B31" s="2" t="s">
        <v>138</v>
      </c>
    </row>
    <row r="32" spans="1:10" x14ac:dyDescent="0.25">
      <c r="A32" s="9" t="s">
        <v>2</v>
      </c>
      <c r="B32" s="2" t="s">
        <v>93</v>
      </c>
    </row>
    <row r="33" spans="1:14" x14ac:dyDescent="0.25">
      <c r="A33" s="9" t="s">
        <v>4</v>
      </c>
      <c r="B33" s="2">
        <v>1</v>
      </c>
    </row>
    <row r="34" spans="1:14" x14ac:dyDescent="0.25">
      <c r="A34" s="9" t="s">
        <v>5</v>
      </c>
      <c r="B34" s="2" t="s">
        <v>6</v>
      </c>
    </row>
    <row r="35" spans="1:14" x14ac:dyDescent="0.25">
      <c r="A35" s="9" t="s">
        <v>7</v>
      </c>
      <c r="B35" s="2" t="s">
        <v>8</v>
      </c>
    </row>
    <row r="36" spans="1:14" x14ac:dyDescent="0.25">
      <c r="A36" s="9" t="s">
        <v>9</v>
      </c>
    </row>
    <row r="37" spans="1:14" x14ac:dyDescent="0.25">
      <c r="A37" s="1" t="s">
        <v>10</v>
      </c>
      <c r="B37" s="1" t="s">
        <v>1</v>
      </c>
      <c r="C37" s="1" t="s">
        <v>2</v>
      </c>
      <c r="D37" s="1" t="s">
        <v>4</v>
      </c>
      <c r="E37" s="1" t="s">
        <v>5</v>
      </c>
      <c r="F37" s="1" t="s">
        <v>11</v>
      </c>
      <c r="G37" s="1" t="s">
        <v>12</v>
      </c>
      <c r="H37" s="1" t="s">
        <v>13</v>
      </c>
      <c r="I37" s="1" t="s">
        <v>14</v>
      </c>
      <c r="J37" s="1" t="s">
        <v>15</v>
      </c>
      <c r="K37" s="1" t="s">
        <v>16</v>
      </c>
      <c r="L37" s="1" t="s">
        <v>17</v>
      </c>
      <c r="M37" s="1" t="s">
        <v>18</v>
      </c>
      <c r="N37" s="1" t="s">
        <v>19</v>
      </c>
    </row>
    <row r="38" spans="1:14" x14ac:dyDescent="0.25">
      <c r="A38" s="2" t="str">
        <f>B30</f>
        <v>Mn ore mining and FeMn production in Australia/Tasmania</v>
      </c>
      <c r="B38" s="2" t="str">
        <f>B31</f>
        <v>FeMn</v>
      </c>
      <c r="C38" s="2" t="str">
        <f>B32</f>
        <v>AU</v>
      </c>
      <c r="D38" s="2">
        <v>1</v>
      </c>
      <c r="E38" s="2" t="s">
        <v>6</v>
      </c>
      <c r="F38" s="3" t="str">
        <f>F9</f>
        <v>Manganese</v>
      </c>
      <c r="G38" s="2" t="s">
        <v>20</v>
      </c>
    </row>
    <row r="39" spans="1:14" x14ac:dyDescent="0.25">
      <c r="A39" s="2" t="str">
        <f>A9</f>
        <v>[M+C+P+R] Ferromanganese (FeMn) production</v>
      </c>
      <c r="B39" s="2" t="str">
        <f t="shared" ref="B39:F39" si="0">B9</f>
        <v>FeMn</v>
      </c>
      <c r="C39" s="2" t="str">
        <f t="shared" si="0"/>
        <v>AU</v>
      </c>
      <c r="D39" s="2">
        <f t="shared" si="0"/>
        <v>1</v>
      </c>
      <c r="E39" s="2" t="str">
        <f t="shared" si="0"/>
        <v>kilogram</v>
      </c>
      <c r="F39" s="3" t="str">
        <f t="shared" si="0"/>
        <v>Manganese</v>
      </c>
      <c r="G39" s="2" t="s">
        <v>25</v>
      </c>
    </row>
    <row r="40" spans="1:14" s="11" customFormat="1" x14ac:dyDescent="0.25"/>
    <row r="41" spans="1:14" x14ac:dyDescent="0.25">
      <c r="A41" s="1" t="s">
        <v>0</v>
      </c>
      <c r="B41" s="10" t="s">
        <v>140</v>
      </c>
    </row>
    <row r="42" spans="1:14" x14ac:dyDescent="0.25">
      <c r="A42" s="9" t="s">
        <v>1</v>
      </c>
      <c r="B42" s="2" t="s">
        <v>141</v>
      </c>
    </row>
    <row r="43" spans="1:14" x14ac:dyDescent="0.25">
      <c r="A43" s="9" t="s">
        <v>2</v>
      </c>
      <c r="B43" s="2" t="s">
        <v>93</v>
      </c>
    </row>
    <row r="44" spans="1:14" x14ac:dyDescent="0.25">
      <c r="A44" s="9" t="s">
        <v>4</v>
      </c>
      <c r="B44" s="2">
        <v>1</v>
      </c>
    </row>
    <row r="45" spans="1:14" x14ac:dyDescent="0.25">
      <c r="A45" s="9" t="s">
        <v>5</v>
      </c>
      <c r="B45" s="2" t="s">
        <v>6</v>
      </c>
    </row>
    <row r="46" spans="1:14" x14ac:dyDescent="0.25">
      <c r="A46" s="9" t="s">
        <v>7</v>
      </c>
      <c r="B46" s="2" t="s">
        <v>133</v>
      </c>
    </row>
    <row r="47" spans="1:14" x14ac:dyDescent="0.25">
      <c r="A47" s="9" t="s">
        <v>9</v>
      </c>
    </row>
    <row r="48" spans="1:14" x14ac:dyDescent="0.25">
      <c r="A48" s="1" t="s">
        <v>10</v>
      </c>
      <c r="B48" s="1" t="s">
        <v>1</v>
      </c>
      <c r="C48" s="1" t="s">
        <v>2</v>
      </c>
      <c r="D48" s="1" t="s">
        <v>4</v>
      </c>
      <c r="E48" s="1" t="s">
        <v>5</v>
      </c>
      <c r="F48" s="1" t="s">
        <v>11</v>
      </c>
      <c r="G48" s="1" t="s">
        <v>12</v>
      </c>
      <c r="H48" s="1" t="s">
        <v>13</v>
      </c>
      <c r="I48" s="1" t="s">
        <v>14</v>
      </c>
      <c r="J48" s="1" t="s">
        <v>15</v>
      </c>
      <c r="K48" s="1" t="s">
        <v>16</v>
      </c>
      <c r="L48" s="1" t="s">
        <v>17</v>
      </c>
      <c r="M48" s="1" t="s">
        <v>18</v>
      </c>
      <c r="N48" s="1" t="s">
        <v>19</v>
      </c>
    </row>
    <row r="49" spans="1:7" x14ac:dyDescent="0.25">
      <c r="A49" s="2" t="str">
        <f>B41</f>
        <v>Mn ore mining and FeMn production in Australia/Tasmania (Mn content)</v>
      </c>
      <c r="B49" s="2" t="str">
        <f>B42</f>
        <v>FeMn (Mn content)</v>
      </c>
      <c r="C49" s="2" t="str">
        <f>C38</f>
        <v>AU</v>
      </c>
      <c r="D49" s="2">
        <v>1</v>
      </c>
      <c r="E49" s="2" t="str">
        <f>B45</f>
        <v>kilogram</v>
      </c>
      <c r="F49" s="3" t="str">
        <f>F38</f>
        <v>Manganese</v>
      </c>
      <c r="G49" s="2" t="s">
        <v>20</v>
      </c>
    </row>
    <row r="50" spans="1:7" x14ac:dyDescent="0.25">
      <c r="A50" s="2" t="str">
        <f>A9</f>
        <v>[M+C+P+R] Ferromanganese (FeMn) production</v>
      </c>
      <c r="B50" s="2" t="str">
        <f t="shared" ref="B50:F50" si="1">B9</f>
        <v>FeMn</v>
      </c>
      <c r="C50" s="2" t="str">
        <f t="shared" si="1"/>
        <v>AU</v>
      </c>
      <c r="D50" s="2">
        <f>D39/0.77</f>
        <v>1.2987012987012987</v>
      </c>
      <c r="E50" s="2" t="str">
        <f t="shared" si="1"/>
        <v>kilogram</v>
      </c>
      <c r="F50" s="3" t="str">
        <f t="shared" si="1"/>
        <v>Manganese</v>
      </c>
      <c r="G50" s="2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N51"/>
  <sheetViews>
    <sheetView workbookViewId="0"/>
  </sheetViews>
  <sheetFormatPr baseColWidth="10" defaultColWidth="9.140625" defaultRowHeight="15" x14ac:dyDescent="0.25"/>
  <cols>
    <col min="1" max="1" width="65.5703125" style="2" bestFit="1" customWidth="1"/>
    <col min="2" max="2" width="66" style="2" bestFit="1" customWidth="1"/>
    <col min="3" max="3" width="25.85546875" style="2" bestFit="1" customWidth="1"/>
    <col min="4" max="4" width="12" style="2" bestFit="1" customWidth="1"/>
    <col min="5" max="5" width="13.140625" style="2" bestFit="1" customWidth="1"/>
    <col min="6" max="6" width="19.7109375" style="2" bestFit="1" customWidth="1"/>
    <col min="7" max="7" width="13.28515625" style="2" bestFit="1" customWidth="1"/>
    <col min="8" max="8" width="25.28515625" style="2" bestFit="1" customWidth="1"/>
    <col min="9" max="9" width="15.5703125" style="2" bestFit="1" customWidth="1"/>
    <col min="10" max="10" width="9.7109375" style="2" bestFit="1" customWidth="1"/>
    <col min="11" max="11" width="3.5703125" style="2" bestFit="1" customWidth="1"/>
    <col min="12" max="12" width="5.42578125" style="2" bestFit="1" customWidth="1"/>
    <col min="13" max="13" width="9.5703125" style="2" bestFit="1" customWidth="1"/>
    <col min="14" max="14" width="9.85546875" style="2" bestFit="1" customWidth="1"/>
    <col min="15" max="16384" width="9.140625" style="2"/>
  </cols>
  <sheetData>
    <row r="1" spans="1:14" x14ac:dyDescent="0.25">
      <c r="A1" s="1" t="s">
        <v>0</v>
      </c>
      <c r="B1" s="10" t="s">
        <v>142</v>
      </c>
    </row>
    <row r="2" spans="1:14" x14ac:dyDescent="0.25">
      <c r="A2" s="2" t="s">
        <v>1</v>
      </c>
      <c r="B2" s="2" t="s">
        <v>143</v>
      </c>
    </row>
    <row r="3" spans="1:14" x14ac:dyDescent="0.25">
      <c r="A3" s="2" t="s">
        <v>2</v>
      </c>
      <c r="B3" s="2" t="s">
        <v>93</v>
      </c>
    </row>
    <row r="4" spans="1:14" x14ac:dyDescent="0.25">
      <c r="A4" s="2" t="s">
        <v>4</v>
      </c>
      <c r="B4" s="2">
        <v>1</v>
      </c>
    </row>
    <row r="5" spans="1:14" x14ac:dyDescent="0.25">
      <c r="A5" s="2" t="s">
        <v>5</v>
      </c>
      <c r="B5" s="2" t="s">
        <v>6</v>
      </c>
    </row>
    <row r="6" spans="1:14" x14ac:dyDescent="0.25">
      <c r="A6" s="2" t="s">
        <v>7</v>
      </c>
      <c r="B6" s="2" t="s">
        <v>8</v>
      </c>
    </row>
    <row r="7" spans="1:14" x14ac:dyDescent="0.25">
      <c r="A7" s="2" t="s">
        <v>9</v>
      </c>
    </row>
    <row r="8" spans="1:14" x14ac:dyDescent="0.25">
      <c r="A8" s="1" t="s">
        <v>10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[M+C+P+R] Silicomanganese (SiMn) production</v>
      </c>
      <c r="B9" s="2" t="str">
        <f>B2</f>
        <v>SiMn</v>
      </c>
      <c r="C9" s="2" t="str">
        <f>B3</f>
        <v>AU</v>
      </c>
      <c r="D9" s="2">
        <v>1</v>
      </c>
      <c r="E9" s="2" t="s">
        <v>6</v>
      </c>
      <c r="F9" s="3" t="str">
        <f>Mn_Market_GLO!B1</f>
        <v>Manganese</v>
      </c>
      <c r="G9" s="2" t="s">
        <v>20</v>
      </c>
    </row>
    <row r="10" spans="1:14" x14ac:dyDescent="0.25">
      <c r="A10" s="2" t="s">
        <v>94</v>
      </c>
      <c r="B10" s="2" t="s">
        <v>95</v>
      </c>
      <c r="C10" s="2" t="s">
        <v>23</v>
      </c>
      <c r="D10" s="2">
        <v>2.3806692000000001E-2</v>
      </c>
      <c r="E10" s="2" t="s">
        <v>96</v>
      </c>
      <c r="F10" s="2" t="s">
        <v>24</v>
      </c>
      <c r="G10" s="2" t="s">
        <v>25</v>
      </c>
      <c r="J10" s="2" t="s">
        <v>97</v>
      </c>
    </row>
    <row r="11" spans="1:14" x14ac:dyDescent="0.25">
      <c r="A11" s="2" t="s">
        <v>116</v>
      </c>
      <c r="B11" s="2" t="s">
        <v>117</v>
      </c>
      <c r="C11" s="2" t="s">
        <v>23</v>
      </c>
      <c r="D11" s="2">
        <v>2.1370658399999999E-2</v>
      </c>
      <c r="E11" s="2" t="s">
        <v>96</v>
      </c>
      <c r="F11" s="2" t="s">
        <v>24</v>
      </c>
      <c r="G11" s="2" t="s">
        <v>25</v>
      </c>
      <c r="J11" s="2" t="s">
        <v>97</v>
      </c>
    </row>
    <row r="12" spans="1:14" x14ac:dyDescent="0.25">
      <c r="A12" s="2" t="s">
        <v>100</v>
      </c>
      <c r="B12" s="2" t="s">
        <v>101</v>
      </c>
      <c r="C12" s="2" t="s">
        <v>23</v>
      </c>
      <c r="D12" s="2">
        <v>7.6894999999999998</v>
      </c>
      <c r="E12" s="2" t="s">
        <v>102</v>
      </c>
      <c r="F12" s="2" t="s">
        <v>24</v>
      </c>
      <c r="G12" s="2" t="s">
        <v>25</v>
      </c>
      <c r="J12" s="2" t="s">
        <v>97</v>
      </c>
    </row>
    <row r="13" spans="1:14" x14ac:dyDescent="0.25">
      <c r="A13" s="2" t="s">
        <v>103</v>
      </c>
      <c r="B13" s="2" t="s">
        <v>104</v>
      </c>
      <c r="C13" s="2" t="s">
        <v>31</v>
      </c>
      <c r="D13" s="2">
        <v>4.5629999999999997</v>
      </c>
      <c r="E13" s="2" t="s">
        <v>96</v>
      </c>
      <c r="F13" s="2" t="s">
        <v>24</v>
      </c>
      <c r="G13" s="2" t="s">
        <v>25</v>
      </c>
      <c r="J13" s="2" t="s">
        <v>97</v>
      </c>
    </row>
    <row r="14" spans="1:14" x14ac:dyDescent="0.25">
      <c r="A14" s="2" t="s">
        <v>54</v>
      </c>
      <c r="B14" s="2" t="s">
        <v>55</v>
      </c>
      <c r="C14" s="2" t="s">
        <v>93</v>
      </c>
      <c r="D14" s="2">
        <v>5.0700000000000002E-2</v>
      </c>
      <c r="E14" s="2" t="s">
        <v>56</v>
      </c>
      <c r="F14" s="2" t="s">
        <v>24</v>
      </c>
      <c r="G14" s="2" t="s">
        <v>25</v>
      </c>
      <c r="J14" s="2" t="s">
        <v>97</v>
      </c>
    </row>
    <row r="15" spans="1:14" x14ac:dyDescent="0.25">
      <c r="A15" s="2" t="s">
        <v>113</v>
      </c>
      <c r="B15" s="2" t="s">
        <v>114</v>
      </c>
      <c r="C15" s="2" t="s">
        <v>31</v>
      </c>
      <c r="D15" s="2">
        <v>0.65</v>
      </c>
      <c r="E15" s="2" t="s">
        <v>6</v>
      </c>
      <c r="F15" s="2" t="s">
        <v>24</v>
      </c>
      <c r="G15" s="2" t="s">
        <v>25</v>
      </c>
      <c r="J15" s="2" t="s">
        <v>97</v>
      </c>
    </row>
    <row r="16" spans="1:14" x14ac:dyDescent="0.25">
      <c r="A16" s="2" t="s">
        <v>105</v>
      </c>
      <c r="B16" s="2" t="s">
        <v>106</v>
      </c>
      <c r="C16" s="2" t="s">
        <v>23</v>
      </c>
      <c r="D16" s="2">
        <v>0.12</v>
      </c>
      <c r="E16" s="2" t="s">
        <v>6</v>
      </c>
      <c r="F16" s="2" t="s">
        <v>24</v>
      </c>
      <c r="G16" s="2" t="s">
        <v>25</v>
      </c>
      <c r="J16" s="2" t="s">
        <v>97</v>
      </c>
    </row>
    <row r="17" spans="1:10" x14ac:dyDescent="0.25">
      <c r="A17" s="2" t="s">
        <v>100</v>
      </c>
      <c r="B17" s="2" t="s">
        <v>101</v>
      </c>
      <c r="C17" s="2" t="s">
        <v>23</v>
      </c>
      <c r="D17" s="2">
        <v>3</v>
      </c>
      <c r="E17" s="2" t="s">
        <v>102</v>
      </c>
      <c r="F17" s="2" t="s">
        <v>24</v>
      </c>
      <c r="G17" s="2" t="s">
        <v>25</v>
      </c>
      <c r="J17" s="2" t="s">
        <v>97</v>
      </c>
    </row>
    <row r="18" spans="1:10" x14ac:dyDescent="0.25">
      <c r="A18" s="2" t="s">
        <v>118</v>
      </c>
      <c r="B18" s="2" t="s">
        <v>119</v>
      </c>
      <c r="C18" s="2" t="s">
        <v>23</v>
      </c>
      <c r="D18" s="2">
        <v>0.55900000000000005</v>
      </c>
      <c r="E18" s="2" t="s">
        <v>6</v>
      </c>
      <c r="F18" s="2" t="s">
        <v>24</v>
      </c>
      <c r="G18" s="2" t="s">
        <v>25</v>
      </c>
      <c r="J18" s="2" t="s">
        <v>97</v>
      </c>
    </row>
    <row r="19" spans="1:10" x14ac:dyDescent="0.25">
      <c r="A19" s="2" t="s">
        <v>120</v>
      </c>
      <c r="B19" s="2" t="s">
        <v>121</v>
      </c>
      <c r="C19" s="2" t="s">
        <v>31</v>
      </c>
      <c r="D19" s="2">
        <v>0.35499999999999998</v>
      </c>
      <c r="E19" s="2" t="s">
        <v>6</v>
      </c>
      <c r="F19" s="2" t="s">
        <v>24</v>
      </c>
      <c r="G19" s="2" t="s">
        <v>25</v>
      </c>
      <c r="J19" s="2" t="s">
        <v>97</v>
      </c>
    </row>
    <row r="20" spans="1:10" x14ac:dyDescent="0.25">
      <c r="A20" s="2" t="s">
        <v>103</v>
      </c>
      <c r="B20" s="2" t="s">
        <v>104</v>
      </c>
      <c r="C20" s="2" t="s">
        <v>31</v>
      </c>
      <c r="D20" s="2">
        <v>13.56</v>
      </c>
      <c r="E20" s="2" t="s">
        <v>96</v>
      </c>
      <c r="F20" s="2" t="s">
        <v>24</v>
      </c>
      <c r="G20" s="2" t="s">
        <v>25</v>
      </c>
      <c r="J20" s="2" t="s">
        <v>97</v>
      </c>
    </row>
    <row r="21" spans="1:10" x14ac:dyDescent="0.25">
      <c r="A21" s="2" t="s">
        <v>100</v>
      </c>
      <c r="B21" s="2" t="s">
        <v>101</v>
      </c>
      <c r="C21" s="2" t="s">
        <v>23</v>
      </c>
      <c r="D21" s="2">
        <v>0.8</v>
      </c>
      <c r="E21" s="2" t="s">
        <v>102</v>
      </c>
      <c r="F21" s="2" t="s">
        <v>24</v>
      </c>
      <c r="G21" s="2" t="s">
        <v>25</v>
      </c>
      <c r="J21" s="2" t="s">
        <v>97</v>
      </c>
    </row>
    <row r="22" spans="1:10" x14ac:dyDescent="0.25">
      <c r="A22" s="2" t="s">
        <v>109</v>
      </c>
      <c r="B22" s="2" t="s">
        <v>110</v>
      </c>
      <c r="C22" s="2" t="s">
        <v>93</v>
      </c>
      <c r="D22" s="2">
        <v>0.112</v>
      </c>
      <c r="E22" s="2" t="s">
        <v>6</v>
      </c>
      <c r="F22" s="2" t="s">
        <v>24</v>
      </c>
      <c r="G22" s="2" t="s">
        <v>25</v>
      </c>
      <c r="J22" s="2" t="s">
        <v>97</v>
      </c>
    </row>
    <row r="23" spans="1:10" x14ac:dyDescent="0.25">
      <c r="A23" s="2" t="s">
        <v>100</v>
      </c>
      <c r="B23" s="2" t="s">
        <v>101</v>
      </c>
      <c r="C23" s="2" t="s">
        <v>23</v>
      </c>
      <c r="D23" s="2">
        <v>1</v>
      </c>
      <c r="E23" s="2" t="s">
        <v>102</v>
      </c>
      <c r="F23" s="2" t="s">
        <v>24</v>
      </c>
      <c r="G23" s="2" t="s">
        <v>25</v>
      </c>
      <c r="J23" s="2" t="s">
        <v>97</v>
      </c>
    </row>
    <row r="24" spans="1:10" x14ac:dyDescent="0.25">
      <c r="A24" s="2" t="s">
        <v>111</v>
      </c>
      <c r="B24" s="2" t="s">
        <v>112</v>
      </c>
      <c r="C24" s="2" t="s">
        <v>31</v>
      </c>
      <c r="D24" s="2">
        <v>3.4000000000000002E-2</v>
      </c>
      <c r="E24" s="2" t="s">
        <v>6</v>
      </c>
      <c r="F24" s="2" t="s">
        <v>24</v>
      </c>
      <c r="G24" s="2" t="s">
        <v>25</v>
      </c>
      <c r="J24" s="2" t="s">
        <v>97</v>
      </c>
    </row>
    <row r="25" spans="1:10" x14ac:dyDescent="0.25">
      <c r="A25" s="2" t="s">
        <v>54</v>
      </c>
      <c r="B25" s="2" t="s">
        <v>55</v>
      </c>
      <c r="C25" s="2" t="s">
        <v>93</v>
      </c>
      <c r="D25" s="2">
        <v>1.1111111111111109E-3</v>
      </c>
      <c r="E25" s="2" t="s">
        <v>56</v>
      </c>
      <c r="F25" s="2" t="s">
        <v>24</v>
      </c>
      <c r="G25" s="2" t="s">
        <v>25</v>
      </c>
      <c r="J25" s="2" t="s">
        <v>97</v>
      </c>
    </row>
    <row r="26" spans="1:10" x14ac:dyDescent="0.25">
      <c r="A26" s="2" t="s">
        <v>122</v>
      </c>
      <c r="B26" s="2" t="s">
        <v>123</v>
      </c>
      <c r="C26" s="2" t="s">
        <v>31</v>
      </c>
      <c r="D26" s="2">
        <v>-1.0489999999999999</v>
      </c>
      <c r="E26" s="2" t="s">
        <v>6</v>
      </c>
      <c r="F26" s="2" t="s">
        <v>24</v>
      </c>
      <c r="G26" s="2" t="s">
        <v>25</v>
      </c>
      <c r="J26" s="2" t="s">
        <v>97</v>
      </c>
    </row>
    <row r="27" spans="1:10" x14ac:dyDescent="0.25">
      <c r="A27" s="2" t="s">
        <v>70</v>
      </c>
      <c r="D27" s="2">
        <v>3.9985400000000011E-4</v>
      </c>
      <c r="E27" s="2" t="s">
        <v>34</v>
      </c>
      <c r="F27" s="2" t="s">
        <v>67</v>
      </c>
      <c r="G27" s="2" t="s">
        <v>68</v>
      </c>
      <c r="H27" s="2" t="s">
        <v>69</v>
      </c>
      <c r="J27" s="2" t="s">
        <v>97</v>
      </c>
    </row>
    <row r="28" spans="1:10" x14ac:dyDescent="0.25">
      <c r="A28" s="2" t="s">
        <v>66</v>
      </c>
      <c r="D28" s="2">
        <v>1.60925856</v>
      </c>
      <c r="E28" s="2" t="s">
        <v>6</v>
      </c>
      <c r="F28" s="2" t="s">
        <v>67</v>
      </c>
      <c r="G28" s="2" t="s">
        <v>68</v>
      </c>
      <c r="H28" s="2" t="s">
        <v>69</v>
      </c>
      <c r="J28" s="2" t="s">
        <v>97</v>
      </c>
    </row>
    <row r="29" spans="1:10" x14ac:dyDescent="0.25">
      <c r="A29" s="2" t="s">
        <v>115</v>
      </c>
      <c r="D29" s="2">
        <v>9.2867999999999992E-2</v>
      </c>
      <c r="E29" s="2" t="s">
        <v>6</v>
      </c>
      <c r="F29" s="2" t="s">
        <v>67</v>
      </c>
      <c r="G29" s="2" t="s">
        <v>68</v>
      </c>
      <c r="H29" s="2" t="s">
        <v>69</v>
      </c>
      <c r="J29" s="2" t="s">
        <v>97</v>
      </c>
    </row>
    <row r="30" spans="1:10" s="11" customFormat="1" x14ac:dyDescent="0.25"/>
    <row r="31" spans="1:10" x14ac:dyDescent="0.25">
      <c r="A31" s="1" t="s">
        <v>0</v>
      </c>
      <c r="B31" s="1" t="s">
        <v>144</v>
      </c>
    </row>
    <row r="32" spans="1:10" x14ac:dyDescent="0.25">
      <c r="A32" s="9" t="s">
        <v>1</v>
      </c>
      <c r="B32" s="2" t="s">
        <v>143</v>
      </c>
    </row>
    <row r="33" spans="1:14" x14ac:dyDescent="0.25">
      <c r="A33" s="9" t="s">
        <v>2</v>
      </c>
      <c r="B33" s="2" t="s">
        <v>93</v>
      </c>
    </row>
    <row r="34" spans="1:14" x14ac:dyDescent="0.25">
      <c r="A34" s="9" t="s">
        <v>4</v>
      </c>
      <c r="B34" s="2">
        <v>1</v>
      </c>
    </row>
    <row r="35" spans="1:14" x14ac:dyDescent="0.25">
      <c r="A35" s="9" t="s">
        <v>5</v>
      </c>
      <c r="B35" s="2" t="s">
        <v>6</v>
      </c>
    </row>
    <row r="36" spans="1:14" x14ac:dyDescent="0.25">
      <c r="A36" s="9" t="s">
        <v>7</v>
      </c>
      <c r="B36" s="2" t="s">
        <v>8</v>
      </c>
    </row>
    <row r="37" spans="1:14" x14ac:dyDescent="0.25">
      <c r="A37" s="9" t="s">
        <v>9</v>
      </c>
    </row>
    <row r="38" spans="1:14" x14ac:dyDescent="0.25">
      <c r="A38" s="1" t="s">
        <v>10</v>
      </c>
      <c r="B38" s="1" t="s">
        <v>1</v>
      </c>
      <c r="C38" s="1" t="s">
        <v>2</v>
      </c>
      <c r="D38" s="1" t="s">
        <v>4</v>
      </c>
      <c r="E38" s="1" t="s">
        <v>5</v>
      </c>
      <c r="F38" s="1" t="s">
        <v>11</v>
      </c>
      <c r="G38" s="1" t="s">
        <v>12</v>
      </c>
      <c r="H38" s="1" t="s">
        <v>13</v>
      </c>
      <c r="I38" s="1" t="s">
        <v>14</v>
      </c>
      <c r="J38" s="1" t="s">
        <v>15</v>
      </c>
      <c r="K38" s="1" t="s">
        <v>16</v>
      </c>
      <c r="L38" s="1" t="s">
        <v>17</v>
      </c>
      <c r="M38" s="1" t="s">
        <v>18</v>
      </c>
      <c r="N38" s="1" t="s">
        <v>19</v>
      </c>
    </row>
    <row r="39" spans="1:14" x14ac:dyDescent="0.25">
      <c r="A39" s="2" t="str">
        <f>B31</f>
        <v>Mn ore mining and SiMn production in Australia/Tasmania</v>
      </c>
      <c r="B39" s="2" t="str">
        <f>B32</f>
        <v>SiMn</v>
      </c>
      <c r="C39" s="2" t="str">
        <f>B33</f>
        <v>AU</v>
      </c>
      <c r="D39" s="2">
        <v>1</v>
      </c>
      <c r="E39" s="2" t="s">
        <v>6</v>
      </c>
      <c r="F39" s="3" t="str">
        <f>F9</f>
        <v>Manganese</v>
      </c>
      <c r="G39" s="2" t="s">
        <v>20</v>
      </c>
    </row>
    <row r="40" spans="1:14" x14ac:dyDescent="0.25">
      <c r="A40" s="2" t="str">
        <f>A9</f>
        <v>[M+C+P+R] Silicomanganese (SiMn) production</v>
      </c>
      <c r="B40" s="2" t="str">
        <f t="shared" ref="B40:F40" si="0">B9</f>
        <v>SiMn</v>
      </c>
      <c r="C40" s="2" t="str">
        <f t="shared" si="0"/>
        <v>AU</v>
      </c>
      <c r="D40" s="2">
        <f t="shared" si="0"/>
        <v>1</v>
      </c>
      <c r="E40" s="2" t="str">
        <f t="shared" si="0"/>
        <v>kilogram</v>
      </c>
      <c r="F40" s="3" t="str">
        <f t="shared" si="0"/>
        <v>Manganese</v>
      </c>
      <c r="G40" s="2" t="s">
        <v>25</v>
      </c>
    </row>
    <row r="41" spans="1:14" s="11" customFormat="1" x14ac:dyDescent="0.25"/>
    <row r="42" spans="1:14" x14ac:dyDescent="0.25">
      <c r="A42" s="1" t="s">
        <v>0</v>
      </c>
      <c r="B42" s="10" t="s">
        <v>145</v>
      </c>
    </row>
    <row r="43" spans="1:14" x14ac:dyDescent="0.25">
      <c r="A43" s="9" t="s">
        <v>1</v>
      </c>
      <c r="B43" s="2" t="s">
        <v>146</v>
      </c>
    </row>
    <row r="44" spans="1:14" x14ac:dyDescent="0.25">
      <c r="A44" s="9" t="s">
        <v>2</v>
      </c>
      <c r="B44" s="2" t="s">
        <v>93</v>
      </c>
    </row>
    <row r="45" spans="1:14" x14ac:dyDescent="0.25">
      <c r="A45" s="9" t="s">
        <v>4</v>
      </c>
      <c r="B45" s="2">
        <v>1</v>
      </c>
    </row>
    <row r="46" spans="1:14" x14ac:dyDescent="0.25">
      <c r="A46" s="9" t="s">
        <v>5</v>
      </c>
      <c r="B46" s="2" t="s">
        <v>6</v>
      </c>
    </row>
    <row r="47" spans="1:14" x14ac:dyDescent="0.25">
      <c r="A47" s="9" t="s">
        <v>7</v>
      </c>
      <c r="B47" s="2" t="s">
        <v>133</v>
      </c>
    </row>
    <row r="48" spans="1:14" x14ac:dyDescent="0.25">
      <c r="A48" s="9" t="s">
        <v>9</v>
      </c>
    </row>
    <row r="49" spans="1:14" x14ac:dyDescent="0.25">
      <c r="A49" s="1" t="s">
        <v>10</v>
      </c>
      <c r="B49" s="1" t="s">
        <v>1</v>
      </c>
      <c r="C49" s="1" t="s">
        <v>2</v>
      </c>
      <c r="D49" s="1" t="s">
        <v>4</v>
      </c>
      <c r="E49" s="1" t="s">
        <v>5</v>
      </c>
      <c r="F49" s="1" t="s">
        <v>11</v>
      </c>
      <c r="G49" s="1" t="s">
        <v>12</v>
      </c>
      <c r="H49" s="1" t="s">
        <v>13</v>
      </c>
      <c r="I49" s="1" t="s">
        <v>14</v>
      </c>
      <c r="J49" s="1" t="s">
        <v>15</v>
      </c>
      <c r="K49" s="1" t="s">
        <v>16</v>
      </c>
      <c r="L49" s="1" t="s">
        <v>17</v>
      </c>
      <c r="M49" s="1" t="s">
        <v>18</v>
      </c>
      <c r="N49" s="1" t="s">
        <v>19</v>
      </c>
    </row>
    <row r="50" spans="1:14" x14ac:dyDescent="0.25">
      <c r="A50" s="2" t="str">
        <f>B42</f>
        <v>Mn ore mining and SiMn production in Australia/Tasmania (Mn content)</v>
      </c>
      <c r="B50" s="2" t="str">
        <f>B43</f>
        <v>SiMn (Mn content)</v>
      </c>
      <c r="C50" s="2" t="str">
        <f>C39</f>
        <v>AU</v>
      </c>
      <c r="D50" s="2">
        <v>1</v>
      </c>
      <c r="E50" s="2" t="str">
        <f>B46</f>
        <v>kilogram</v>
      </c>
      <c r="F50" s="3" t="str">
        <f>F39</f>
        <v>Manganese</v>
      </c>
      <c r="G50" s="2" t="s">
        <v>20</v>
      </c>
    </row>
    <row r="51" spans="1:14" x14ac:dyDescent="0.25">
      <c r="A51" s="2" t="str">
        <f>A9</f>
        <v>[M+C+P+R] Silicomanganese (SiMn) production</v>
      </c>
      <c r="B51" s="2" t="str">
        <f t="shared" ref="B51:F51" si="1">B9</f>
        <v>SiMn</v>
      </c>
      <c r="C51" s="2" t="str">
        <f t="shared" si="1"/>
        <v>AU</v>
      </c>
      <c r="D51" s="2">
        <f>D40/0.67</f>
        <v>1.4925373134328357</v>
      </c>
      <c r="E51" s="2" t="str">
        <f t="shared" si="1"/>
        <v>kilogram</v>
      </c>
      <c r="F51" s="3" t="str">
        <f t="shared" si="1"/>
        <v>Manganese</v>
      </c>
      <c r="G51" s="2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0c41a-12c1-4165-8422-5f5ca88e9f6a" xsi:nil="true"/>
    <lcf76f155ced4ddcb4097134ff3c332f xmlns="d78c010b-218d-4be4-b2d9-423b1f51aae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58D480-0CBB-4DE0-B533-C31255B8F4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4F0B38-9324-4CE4-B5F0-B644BE2460DE}">
  <ds:schemaRefs>
    <ds:schemaRef ds:uri="http://schemas.microsoft.com/office/2006/metadata/properties"/>
    <ds:schemaRef ds:uri="http://schemas.microsoft.com/office/infopath/2007/PartnerControls"/>
    <ds:schemaRef ds:uri="adc0c41a-12c1-4165-8422-5f5ca88e9f6a"/>
    <ds:schemaRef ds:uri="d78c010b-218d-4be4-b2d9-423b1f51aae5"/>
  </ds:schemaRefs>
</ds:datastoreItem>
</file>

<file path=customXml/itemProps3.xml><?xml version="1.0" encoding="utf-8"?>
<ds:datastoreItem xmlns:ds="http://schemas.openxmlformats.org/officeDocument/2006/customXml" ds:itemID="{8B7C421D-7D45-445B-A1C4-9D63F515F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Note</vt:lpstr>
      <vt:lpstr>Mn_Market_GLO</vt:lpstr>
      <vt:lpstr>PR1_Mn_CN</vt:lpstr>
      <vt:lpstr>PR2_FeMn_AU_Tasmania</vt:lpstr>
      <vt:lpstr>PR3_SiMn_AU_Tasmania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2025-06-24T13:33:15Z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