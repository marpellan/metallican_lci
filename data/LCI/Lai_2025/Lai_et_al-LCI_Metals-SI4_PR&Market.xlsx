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not_in_github/Lai_et_al/"/>
    </mc:Choice>
  </mc:AlternateContent>
  <xr:revisionPtr revIDLastSave="56" documentId="8_{29C78AE9-43D0-4745-A564-FA64BF717521}" xr6:coauthVersionLast="47" xr6:coauthVersionMax="47" xr10:uidLastSave="{A79D80D4-51F4-408B-A950-FEAE820A56A9}"/>
  <bookViews>
    <workbookView xWindow="-28920" yWindow="-705" windowWidth="29040" windowHeight="15720" tabRatio="829" activeTab="2" xr2:uid="{BFB1DA43-EC66-4002-8B10-D67E899A2DFE}"/>
  </bookViews>
  <sheets>
    <sheet name="Note" sheetId="1" r:id="rId1"/>
    <sheet name="ProductionRoutes_Overview" sheetId="3" r:id="rId2"/>
    <sheet name="ProductionRoutes_Details" sheetId="2" r:id="rId3"/>
    <sheet name="MarketShares_Parameters&amp;Data" sheetId="6" r:id="rId4"/>
    <sheet name="MarketShares_Calculations" sheetId="7" r:id="rId5"/>
    <sheet name="GlobalMarketCoverage" sheetId="8" r:id="rId6"/>
    <sheet name="References" sheetId="9" r:id="rId7"/>
  </sheets>
  <definedNames>
    <definedName name="_xlnm._FilterDatabase" localSheetId="2" hidden="1">ProductionRoutes_Details!$B$2:$M$165</definedName>
    <definedName name="_xlnm._FilterDatabase" localSheetId="1" hidden="1">ProductionRoutes_Overview!$B$2:$L$37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7" l="1"/>
  <c r="K4" i="7"/>
  <c r="K5" i="7"/>
  <c r="K6" i="7"/>
  <c r="K7" i="7"/>
  <c r="K8" i="7"/>
  <c r="K9" i="7"/>
  <c r="K10" i="7"/>
  <c r="K11" i="7"/>
  <c r="K13" i="7"/>
  <c r="K14" i="7" s="1"/>
  <c r="K15" i="7"/>
  <c r="K16" i="7"/>
  <c r="K17" i="7"/>
  <c r="K18" i="7"/>
  <c r="K19" i="7"/>
  <c r="K20" i="7"/>
  <c r="K22" i="7"/>
  <c r="K23" i="7"/>
  <c r="K25" i="7"/>
  <c r="K26" i="7"/>
  <c r="K28" i="7"/>
  <c r="K29" i="7"/>
  <c r="K30" i="7"/>
  <c r="K31" i="7"/>
  <c r="K32" i="7"/>
  <c r="K33" i="7"/>
  <c r="K34" i="7"/>
  <c r="K35" i="7"/>
  <c r="K36" i="7"/>
  <c r="K37" i="7"/>
  <c r="K38" i="7"/>
  <c r="K39" i="7"/>
  <c r="K41" i="7"/>
  <c r="K42" i="7"/>
  <c r="K43" i="7"/>
  <c r="K44" i="7"/>
  <c r="K45" i="7"/>
  <c r="K47" i="7"/>
  <c r="K48" i="7"/>
  <c r="K49" i="7"/>
  <c r="K50" i="7"/>
  <c r="K52" i="7"/>
  <c r="K53" i="7"/>
  <c r="K54" i="7"/>
  <c r="K55" i="7"/>
  <c r="K58" i="7"/>
  <c r="K59" i="7"/>
  <c r="K60" i="7"/>
  <c r="K62" i="7"/>
  <c r="K63" i="7"/>
  <c r="K64" i="7"/>
  <c r="K66" i="7"/>
  <c r="K67" i="7"/>
  <c r="K68" i="7"/>
  <c r="K69" i="7"/>
  <c r="K70" i="7"/>
  <c r="K71" i="7"/>
  <c r="K72" i="7"/>
  <c r="K73" i="7"/>
  <c r="K74" i="7"/>
  <c r="K75" i="7"/>
  <c r="K76" i="7"/>
  <c r="K77" i="7"/>
  <c r="K78" i="7"/>
  <c r="K80" i="7"/>
  <c r="K81" i="7"/>
  <c r="K82" i="7"/>
  <c r="K83" i="7"/>
  <c r="K84" i="7"/>
  <c r="K85" i="7"/>
  <c r="K86" i="7"/>
  <c r="K88" i="7"/>
  <c r="K89" i="7"/>
  <c r="K90" i="7"/>
  <c r="K91" i="7"/>
  <c r="K92" i="7"/>
  <c r="K93" i="7"/>
  <c r="K94" i="7"/>
  <c r="K95" i="7"/>
  <c r="K96" i="7"/>
  <c r="K97" i="7"/>
  <c r="K98" i="7"/>
  <c r="K100" i="7"/>
  <c r="K101" i="7"/>
  <c r="K102" i="7"/>
  <c r="K103" i="7"/>
  <c r="K104" i="7"/>
  <c r="K105" i="7"/>
  <c r="K106" i="7"/>
  <c r="K107" i="7"/>
  <c r="K108" i="7"/>
  <c r="K109" i="7"/>
  <c r="K110" i="7"/>
  <c r="K111" i="7"/>
  <c r="K112" i="7"/>
  <c r="K113" i="7"/>
  <c r="K114" i="7"/>
  <c r="K115" i="7"/>
  <c r="K116" i="7"/>
  <c r="K118" i="7"/>
  <c r="K119" i="7"/>
  <c r="K120" i="7"/>
  <c r="K121" i="7"/>
  <c r="K122" i="7"/>
  <c r="K124" i="7"/>
  <c r="K125" i="7" s="1"/>
  <c r="K126" i="7"/>
  <c r="K127" i="7" s="1"/>
  <c r="K128" i="7"/>
  <c r="K129" i="7"/>
  <c r="K130" i="7"/>
  <c r="K132" i="7"/>
  <c r="K133" i="7" s="1"/>
  <c r="K134" i="7"/>
  <c r="K135" i="7" s="1"/>
  <c r="K136" i="7"/>
  <c r="K138" i="7" s="1"/>
  <c r="K137" i="7"/>
  <c r="K139" i="7"/>
  <c r="K140" i="7"/>
  <c r="K141" i="7"/>
  <c r="K143" i="7"/>
  <c r="K144" i="7"/>
  <c r="K145" i="7"/>
  <c r="K146" i="7"/>
  <c r="K148" i="7"/>
  <c r="K149" i="7"/>
  <c r="K150" i="7" s="1"/>
  <c r="K151" i="7"/>
  <c r="K152" i="7"/>
  <c r="K153" i="7"/>
  <c r="K155" i="7"/>
  <c r="K156" i="7" s="1"/>
  <c r="K157" i="7"/>
  <c r="K158" i="7"/>
  <c r="K160" i="7"/>
  <c r="K161" i="7"/>
  <c r="K162" i="7"/>
  <c r="K163" i="7"/>
  <c r="K165" i="7"/>
  <c r="K166" i="7"/>
  <c r="K167" i="7"/>
  <c r="K168" i="7"/>
  <c r="K169" i="7"/>
  <c r="K170" i="7"/>
  <c r="K171" i="7"/>
  <c r="K172" i="7"/>
  <c r="K173" i="7"/>
  <c r="K174" i="7"/>
  <c r="K175" i="7"/>
  <c r="K176" i="7"/>
  <c r="K177" i="7"/>
  <c r="K178" i="7"/>
  <c r="K180" i="7"/>
  <c r="K181" i="7" s="1"/>
  <c r="K182" i="7"/>
  <c r="K183" i="7"/>
  <c r="K184" i="7"/>
  <c r="K185" i="7"/>
  <c r="K186" i="7"/>
  <c r="K187" i="7"/>
  <c r="K188" i="7"/>
  <c r="K190" i="7"/>
  <c r="K191" i="7" s="1"/>
  <c r="K192" i="7"/>
  <c r="K194" i="7" s="1"/>
  <c r="K193" i="7"/>
  <c r="K196" i="7"/>
  <c r="K197" i="7"/>
  <c r="K198" i="7"/>
  <c r="K199" i="7"/>
  <c r="K87" i="7" l="1"/>
  <c r="K56" i="7"/>
  <c r="K189" i="7"/>
  <c r="K147" i="7"/>
  <c r="K142" i="7"/>
  <c r="K51" i="7"/>
  <c r="K164" i="7"/>
  <c r="K12" i="7"/>
  <c r="K159" i="7"/>
  <c r="K40" i="7"/>
  <c r="K57" i="7"/>
  <c r="K61" i="7" s="1"/>
  <c r="K131" i="7"/>
  <c r="K117" i="7"/>
  <c r="K21" i="7"/>
  <c r="K79" i="7"/>
  <c r="K179" i="7"/>
  <c r="K46" i="7"/>
  <c r="K154" i="7"/>
  <c r="K123" i="7"/>
  <c r="K99" i="7"/>
  <c r="K65" i="7"/>
  <c r="K27" i="7"/>
  <c r="K24" i="7"/>
  <c r="K195" i="7"/>
  <c r="K200" i="7" s="1"/>
</calcChain>
</file>

<file path=xl/sharedStrings.xml><?xml version="1.0" encoding="utf-8"?>
<sst xmlns="http://schemas.openxmlformats.org/spreadsheetml/2006/main" count="7401" uniqueCount="1034">
  <si>
    <t>Material considerations</t>
  </si>
  <si>
    <t>Geographical considerations</t>
  </si>
  <si>
    <t>Geological and Technological considerations</t>
  </si>
  <si>
    <t>Element</t>
  </si>
  <si>
    <t>LCI datasets/production routes</t>
  </si>
  <si>
    <t>Commodity</t>
  </si>
  <si>
    <t>Country/Area - mining</t>
  </si>
  <si>
    <t>Province/Site - mining</t>
  </si>
  <si>
    <t>Country/Area - processing</t>
  </si>
  <si>
    <t>Province/site - processing</t>
  </si>
  <si>
    <t>Deposit/Waste stream type</t>
  </si>
  <si>
    <t xml:space="preserve">Feedstock type </t>
  </si>
  <si>
    <t>Process - Technology</t>
  </si>
  <si>
    <t>Process - Type</t>
  </si>
  <si>
    <t>Lithium (Li)</t>
  </si>
  <si>
    <t>Schenker et al., 2022</t>
  </si>
  <si>
    <t xml:space="preserve">Li2CO3 production in Argentina/Salar de Olaroz </t>
  </si>
  <si>
    <t xml:space="preserve">Li2CO3 production in China/Chaerhan Salt Lake </t>
  </si>
  <si>
    <t>Li2CO3 production in Argentina/Salar de Hombre Muerto</t>
  </si>
  <si>
    <t>Kelly et al., 2021; Schenker et al., 2022</t>
  </si>
  <si>
    <t xml:space="preserve">Li2CO3 production in Chile/Salar de Atacama </t>
  </si>
  <si>
    <t xml:space="preserve">LiOH.H2O production in Chile/Salar de Atacama </t>
  </si>
  <si>
    <t>Kelly et al., 2021; Mas-Fons et al., 2024; Stamp et al., 2012</t>
  </si>
  <si>
    <t>Spodumene ore mining in Australia/Greenbushes and Li2CO3 production in China/Shehong</t>
  </si>
  <si>
    <t>Spodumene ore mining in Australia/Greenbushes and LiOH.H2O production in China/Shehong</t>
  </si>
  <si>
    <t>Jiang et al., 2020</t>
  </si>
  <si>
    <t xml:space="preserve">Li2CO3 production in China/Zhangjiagang </t>
  </si>
  <si>
    <t>Chordia et al., 2022; Schenker et al., 2022</t>
  </si>
  <si>
    <t>Li2CO3 production in Argentina/Salar de Cauchari</t>
  </si>
  <si>
    <t>Beryllium (Be)</t>
  </si>
  <si>
    <t>Nuss and Eckelman, 2014</t>
  </si>
  <si>
    <t>Bertrandite ore mining and Be metal production in the US</t>
  </si>
  <si>
    <t>Boron (B)</t>
  </si>
  <si>
    <t>Türkbay et al., 2022</t>
  </si>
  <si>
    <t>Colemanite ore mining and Boric acid production in Turkey</t>
  </si>
  <si>
    <t>Tincal ore mining and Borax pentahydrate production in Turkey</t>
  </si>
  <si>
    <t>Tincal ore mining and Borax decahydrate production in Turkey</t>
  </si>
  <si>
    <t>An and Xue, 2014</t>
  </si>
  <si>
    <t>Szaibelyite ore mining and Borax production in China/Liaoning through CO2-soda process</t>
  </si>
  <si>
    <t>Szaibelyite ore mining and Boric acid production in China/Liaoning through floatation</t>
  </si>
  <si>
    <t>Szaibelyite ore mining and Boric acid production in China/Liaoning through two-step process</t>
  </si>
  <si>
    <t>Graphite (C)</t>
  </si>
  <si>
    <t>Engels et al., 2022</t>
  </si>
  <si>
    <t>Graphite ore mining in China/Heilongjiang and natural graphite production in China/Shandong</t>
  </si>
  <si>
    <t>Carrère et al., 2024</t>
  </si>
  <si>
    <t>Synthetic graphite production worldwide</t>
  </si>
  <si>
    <t>Magnesium (Mg)</t>
  </si>
  <si>
    <t>Ehrenberger, 2020; Ehrenberger, 2013; Cherubini et al., 2008</t>
  </si>
  <si>
    <t>Dolomite ore mining and Mg production in China through Pidgeon process</t>
  </si>
  <si>
    <t>Cherubini et al., 2008</t>
  </si>
  <si>
    <t>Dolomite ore mining and Mg production in Brazil through Bolzano process</t>
  </si>
  <si>
    <t>Aluminium (Al)</t>
  </si>
  <si>
    <t>Zhang et al., 2016</t>
  </si>
  <si>
    <t>Al production in China through Al scraps recycling</t>
  </si>
  <si>
    <t>Yang et al., 2019</t>
  </si>
  <si>
    <t>Bauxite mining and Al ingot production in China</t>
  </si>
  <si>
    <t>International Aluminium Association, 2022</t>
  </si>
  <si>
    <t>Bauxite mining and Al ingot production in South America</t>
  </si>
  <si>
    <t>Bauxite mining and Al ingot production in Oceania</t>
  </si>
  <si>
    <t>Al ingot production in North America</t>
  </si>
  <si>
    <t>Al ingot production in Europe</t>
  </si>
  <si>
    <t>Al ingot production in Russia and rest-of-Europe</t>
  </si>
  <si>
    <t>Al ingot production in Gulf Cooperation Council (GCC) countries</t>
  </si>
  <si>
    <t>Al ingot production in Africa</t>
  </si>
  <si>
    <t>Al ingot production in rest-of-Asia</t>
  </si>
  <si>
    <t>The Aluminum Association, 2022</t>
  </si>
  <si>
    <t>Al production in North America through Al scraps recycling</t>
  </si>
  <si>
    <t>European Aluminium, 2018</t>
  </si>
  <si>
    <t>Al production in Europe through Al scraps recycling</t>
  </si>
  <si>
    <t>Silicon metal (Si)</t>
  </si>
  <si>
    <t>Fan et al., 2020</t>
  </si>
  <si>
    <t>Quartz mining and metal-grade Si production in China through Carbon Thermal reduction</t>
  </si>
  <si>
    <t>Heidari and Anctil, 2022</t>
  </si>
  <si>
    <t>Quartz mining and high-quality silica sand production in the US</t>
  </si>
  <si>
    <t>Quartz mining and silica sand production in the US through magnetic separation</t>
  </si>
  <si>
    <t>Quartz mining and silica sand production in the US through flotation separation</t>
  </si>
  <si>
    <t>Frishknecht et al., 2020</t>
  </si>
  <si>
    <t>Metal-grade Si production in Norway</t>
  </si>
  <si>
    <t>Titanium (Ti)</t>
  </si>
  <si>
    <t>Gao et al., 2018b</t>
  </si>
  <si>
    <t>Ilmenite ore mining and Ti sponge production in China through Kroll process</t>
  </si>
  <si>
    <t>Dai et al., 2024</t>
  </si>
  <si>
    <t>Magnetite ore mining and TiO2 production in China through Sulfate route</t>
  </si>
  <si>
    <t>Magnetite ore mining and TiO2 production in China through Chloride route</t>
  </si>
  <si>
    <t>Gediga et al., 2019</t>
  </si>
  <si>
    <t>Ilmenite and rutile recovery from Zircon sand production in Australia/South Africa/Kenya/Senegal/USA</t>
  </si>
  <si>
    <t>Vanadium (V)</t>
  </si>
  <si>
    <t>Zhang et al., 2023c</t>
  </si>
  <si>
    <t>V2O5 production in China through Ca-roasting</t>
  </si>
  <si>
    <t>V2O5 production in China through Sub-Molten Salt Process</t>
  </si>
  <si>
    <t>Chen et al., 2015</t>
  </si>
  <si>
    <t>VTM ore mining and V2O5 production in China</t>
  </si>
  <si>
    <t>Blume et al., 2022</t>
  </si>
  <si>
    <t>VTM ore mining and V2O5 production in South Africa/Mapochs Mine</t>
  </si>
  <si>
    <t>Chromium (Cr)</t>
  </si>
  <si>
    <t>NETL, 2016</t>
  </si>
  <si>
    <t>Chromite ore mining and FeCr production in South Africa/Finland/Kazakhstan through Open Furnace Smelting</t>
  </si>
  <si>
    <t>Chromite ore mining and FeCr production in South Africa/Finland/Kazakhstan through Closed Furnace Smelting (without preheating)</t>
  </si>
  <si>
    <t>Chromite ore mining and FeCr production in South Africa/Finland/Kazakhstan through Closed Furnace Smelting (with preheating)</t>
  </si>
  <si>
    <t>Chromite ore mining and Cr metal production in South Africa/Finland/Kazakhstan</t>
  </si>
  <si>
    <t>Manganese (Mn)</t>
  </si>
  <si>
    <t>Zhang et al., 2020</t>
  </si>
  <si>
    <t>Mn ore mining and Mn metal production in China</t>
  </si>
  <si>
    <t>Haque and Norgate, 2013</t>
  </si>
  <si>
    <t>Mn ore mining and FeMn production in Australia/Tasmania</t>
  </si>
  <si>
    <t>Mn ore mining and SiMn production in Australia/Tasmania</t>
  </si>
  <si>
    <t>Iron (Fe)</t>
  </si>
  <si>
    <t>Ferreira and Leite, 2015; Liu et al., 2020</t>
  </si>
  <si>
    <t>Iron ore mining and steel production in Brazil</t>
  </si>
  <si>
    <t>Ferreira and Leite, 2015; Norgate and Haque, 2010; Liu et al., 2020</t>
  </si>
  <si>
    <t>Steel production in Russia</t>
  </si>
  <si>
    <t>Steel production in Korea</t>
  </si>
  <si>
    <t>Steel production in India</t>
  </si>
  <si>
    <t>Steel production in Germany</t>
  </si>
  <si>
    <t>Steel production in Turkey</t>
  </si>
  <si>
    <t>He et al., 2020; Li et al., 2017</t>
  </si>
  <si>
    <t>Liquid iron production in China</t>
  </si>
  <si>
    <t>Steel production in Italy</t>
  </si>
  <si>
    <t>He et al., 2020</t>
  </si>
  <si>
    <t>Iron ore mining and steel (AHSS) production in China</t>
  </si>
  <si>
    <t>He et al., 2020; Li et al., 2021</t>
  </si>
  <si>
    <t>Crude steel production in China through Blast Furnace-Basic Oxygen Furnace (BF-BOF)</t>
  </si>
  <si>
    <t>He et al., 2020; Ma et al., 2018</t>
  </si>
  <si>
    <t>Steel billet production in China/Shandong</t>
  </si>
  <si>
    <t xml:space="preserve">Dong et al., 2022 </t>
  </si>
  <si>
    <t>Fe production in China through C&amp;D wastes recycling</t>
  </si>
  <si>
    <t>Fe production in China through ELV wastes recycling</t>
  </si>
  <si>
    <t>Cobalt (Co)</t>
  </si>
  <si>
    <t>Dai et al., 2018</t>
  </si>
  <si>
    <t>Cu/Co ore mining in DRC and CoSO4 production in China/Tongxiang</t>
  </si>
  <si>
    <t>Cu/Co ore mining in DRC and Co3O4 production in China/Quzhou</t>
  </si>
  <si>
    <t>Cu/Co ore mining in DRC and Co production</t>
  </si>
  <si>
    <t>Zhang et al., 2021</t>
  </si>
  <si>
    <t>Ni/Cu/Co ore mining in China/Xinjiang and CoSO4 production in Southeastern China</t>
  </si>
  <si>
    <t>Khoo et al., 2017</t>
  </si>
  <si>
    <t>Co recovery from laterite ore mining and Ni class 1 production in Australia from High Pressure Acid Leaching (HPAL)</t>
  </si>
  <si>
    <t>Wei et al., 2020</t>
  </si>
  <si>
    <t>Co recovery from sulfide ore mining and Ni class 1 production in Australia through Flash Smelting</t>
  </si>
  <si>
    <t>Aromaa et al., 2022</t>
  </si>
  <si>
    <t>Co(OH)2 production in Europe through hardmetal scrap recycling</t>
  </si>
  <si>
    <t>Nickel (Ni)</t>
  </si>
  <si>
    <t>Bai et al., 2022</t>
  </si>
  <si>
    <t>Ni ore mining and Ni class 1 production in China/Gansu through Grind and Flotation Electrolytic Method (GFEM)</t>
  </si>
  <si>
    <t>Ni ore mining and Ni class 1 production in China/Gansu through Leaching Electrowinning Method (LEM)</t>
  </si>
  <si>
    <t>Ni production in China through Ni waste recycling</t>
  </si>
  <si>
    <t>Sulfide ore mining and Ni class 1 production in Australia through Flash Smelting</t>
  </si>
  <si>
    <t>Laterite ore mining and NiO production in Indonesia through Rotary-Kiln Electric Furnace (RKEF)</t>
  </si>
  <si>
    <t>Laterite ore mining and FeNi production in Colombia through RKEF</t>
  </si>
  <si>
    <t>Laterite ore mining and NPI production in Indonesia through Blast Furnace Smelting</t>
  </si>
  <si>
    <t>Ma et al., 2019</t>
  </si>
  <si>
    <t>Laterite ore mining and FeNi production in China through Smelting</t>
  </si>
  <si>
    <t>Laterite ore mining and Ni class 1 production in Australia from High Pressure Acid Leaching (HPAL)</t>
  </si>
  <si>
    <t>Laterite ore mining and FeNi production in Australia</t>
  </si>
  <si>
    <t>Nickel institute, 2021</t>
  </si>
  <si>
    <t>Ni ore mining and NiSO4 production worldwide</t>
  </si>
  <si>
    <t>Copper (Cu)</t>
  </si>
  <si>
    <t xml:space="preserve">Yang et al., 2022 </t>
  </si>
  <si>
    <t>Cu ore mining and Cu production in Zambia/Muliashi through Heap Leaching (Hydrometallurgy)</t>
  </si>
  <si>
    <t>Cu ore mining and Cu production in Zambia/Muliashi through Heap Agitation Leaching (Hydrometallurgy)</t>
  </si>
  <si>
    <t xml:space="preserve">Sanjuan-Delmás et al., 2022 </t>
  </si>
  <si>
    <t>Cu ore mining in Sweden/Aitik and Cu production in Sweden/Rönnskärsverken</t>
  </si>
  <si>
    <t>Zhang et al., 2022a</t>
  </si>
  <si>
    <t>Cu ore mining and Cu production in China/Anhui/Jiangxi through Pyrometallurgy</t>
  </si>
  <si>
    <t>Cu production in China/Anhui/Jiangxi through Cu scraps recycling</t>
  </si>
  <si>
    <t xml:space="preserve">Shahraki et al., 2023 </t>
  </si>
  <si>
    <t>Cu ore mining and Cu production in Iran/Siasteragi through Hydrometallurgy</t>
  </si>
  <si>
    <t>Kulczycka et al., 2015</t>
  </si>
  <si>
    <t>Cu production in Poland through Shaft Furnace (Pyrometallurgy)</t>
  </si>
  <si>
    <t>Cu production in Poland through Flash Furnace (Pyrometallurgy)</t>
  </si>
  <si>
    <t>Cu production in China through C&amp;D wastes recycling</t>
  </si>
  <si>
    <t>Cu production in China through ELV wastes recycling</t>
  </si>
  <si>
    <t>Cu production in China through WEEE recycling</t>
  </si>
  <si>
    <t>Narita et al., 2001a</t>
  </si>
  <si>
    <t>Cu ore mining and Cu production in Chile through Pyrometallurgy</t>
  </si>
  <si>
    <t xml:space="preserve">Bigum et al., 2012 </t>
  </si>
  <si>
    <t>Cu production in Europe through WEEE recycling</t>
  </si>
  <si>
    <t xml:space="preserve">Norgate and Haque, 2010 </t>
  </si>
  <si>
    <t>Cu ore mining in Australia</t>
  </si>
  <si>
    <t xml:space="preserve">Mesías, 2018 </t>
  </si>
  <si>
    <t>Cu ore mining and Cu production in Chile through Hydrometallurgy</t>
  </si>
  <si>
    <t xml:space="preserve">Fthenakis et al., 2009 </t>
  </si>
  <si>
    <t>Cu ore mining and Cu production in the US through Pyrometallurgy</t>
  </si>
  <si>
    <t>Cu/Co ore mining and Cu production in DRC through Hydrometallurgy</t>
  </si>
  <si>
    <t>Zinc (Zn)</t>
  </si>
  <si>
    <t>Qi et al., 2017</t>
  </si>
  <si>
    <t>Zn ore mining and Zn production in China/Jiangxi through Hydrometallurgy</t>
  </si>
  <si>
    <t>Tao et al., 2019; Liu et al., 2022</t>
  </si>
  <si>
    <t>Zn ore mining in China/Guangdong and Zn production in China/Yangtze through Hydrometallurgy</t>
  </si>
  <si>
    <t>Jia et al., 2022</t>
  </si>
  <si>
    <t>Zn ore mining and Zn production in China through Smelting</t>
  </si>
  <si>
    <t>Andrae et al., 2008</t>
  </si>
  <si>
    <t>Pb/Zn ore mining and Pb/Zn production in Canada/Peru/Chile/the US</t>
  </si>
  <si>
    <t>Germanium (Ge)</t>
  </si>
  <si>
    <t>Ge recovery along with Pb/Zn production in Canada/Peru/Chile/the US</t>
  </si>
  <si>
    <t>Arsenic (As)</t>
  </si>
  <si>
    <t>As recovery from Cu production worldwide</t>
  </si>
  <si>
    <t>Selenium (Se)</t>
  </si>
  <si>
    <t>Fthenakis et al., 2009</t>
  </si>
  <si>
    <t>Se recovery from Cu production in the US through Pyrometallurgy</t>
  </si>
  <si>
    <t>Zhang et al., 2023b</t>
  </si>
  <si>
    <t>Se production in China through Cu anode slime processing</t>
  </si>
  <si>
    <t>Se recovery from Cu production in Sweden/Rönnskärsverken</t>
  </si>
  <si>
    <t>Strontium (Sr)</t>
  </si>
  <si>
    <t>Celestite ore mining and SrCO3 production worldwide</t>
  </si>
  <si>
    <t>Zirconium (Zr)</t>
  </si>
  <si>
    <t>Zircon sand production in Australia/South Africa/Kenya/Senegal/USA</t>
  </si>
  <si>
    <t>Niobium (Nb)</t>
  </si>
  <si>
    <t>da Silva Lima et al., 2022</t>
  </si>
  <si>
    <t>Pyrochlore ore mining and FeNb production in Brazil/Araxa</t>
  </si>
  <si>
    <t xml:space="preserve">Pyrochlore ore mining and Nb2O5 production in Brazil/Araxa </t>
  </si>
  <si>
    <t>Molybdenum (Mo)</t>
  </si>
  <si>
    <t>Mo ore mining and FeMo production in the US</t>
  </si>
  <si>
    <t>Mo ore mining and FeMo production in China</t>
  </si>
  <si>
    <t>FeMo recovery from Cu ore mining in the US</t>
  </si>
  <si>
    <t>Silver (Ag)</t>
  </si>
  <si>
    <t>Ag recovery from Pb/Zn production in Canada/Peru/Chile/the US</t>
  </si>
  <si>
    <t>Ag recovery from Au production in Australia</t>
  </si>
  <si>
    <t>Ag production in China through Cu anode slime processing</t>
  </si>
  <si>
    <t>Ag recovery from Cu production in Sweden/Rönnskärsverken</t>
  </si>
  <si>
    <t>Cadmium (Cd)</t>
  </si>
  <si>
    <t>Cd recovery from Zn production in Canada/Kidd Creek</t>
  </si>
  <si>
    <t>Liu et al., 2022</t>
  </si>
  <si>
    <t>Cd recovery from Zn production in China/Yangtze through Hydrometallurgy</t>
  </si>
  <si>
    <t>Indium (In)</t>
  </si>
  <si>
    <t>In recovery from Zn production in Canada/Kidd Creek</t>
  </si>
  <si>
    <t>In recovery from Zn production in China/Yangtze through Hydrometallurgy</t>
  </si>
  <si>
    <t>In recovery from Pb/Zn production in Canada/Peru/Chile/the US</t>
  </si>
  <si>
    <t>Antimony (Sb)</t>
  </si>
  <si>
    <t>Haarman, 2015</t>
  </si>
  <si>
    <t>Stibnite ore mining and Sb production in China</t>
  </si>
  <si>
    <t>Tellurium (Te)</t>
  </si>
  <si>
    <t>Te production in China through Cu anode slime processing</t>
  </si>
  <si>
    <t>Te recovery from Cu production in Sweden/Rönnskärsverken</t>
  </si>
  <si>
    <t>Tungsten (W)</t>
  </si>
  <si>
    <t>Ma et al., 2017</t>
  </si>
  <si>
    <t>W ore mining and WC production in China</t>
  </si>
  <si>
    <t>Furberg et al., 2019</t>
  </si>
  <si>
    <t>W ore mining in Canada and WC-Co production in the US</t>
  </si>
  <si>
    <t>Wigger et al., 2017</t>
  </si>
  <si>
    <t>W ore mining and WC production in Europe</t>
  </si>
  <si>
    <t>APT production in Europe through hardmetal scrap recycling</t>
  </si>
  <si>
    <t>Gold (Au)</t>
  </si>
  <si>
    <t>Chen et al., 2021</t>
  </si>
  <si>
    <t>Au ore mining and Au production in China/Qinghai</t>
  </si>
  <si>
    <t>Cano Londono et al., 2019</t>
  </si>
  <si>
    <t>Au ore mining and Au production in Colombia/Antioquia</t>
  </si>
  <si>
    <t>Au alluvial mining and Au production in Colombia/Antioquia</t>
  </si>
  <si>
    <t>Kahhat et al., 2019</t>
  </si>
  <si>
    <t>Au alluvial mining and Au production in Peru through "Carretilla" method</t>
  </si>
  <si>
    <t>Au alluvial mining and Au production in Peru through "Chupadera/traca" method</t>
  </si>
  <si>
    <t>Au alluvial mining and Au production in Peru through "Caranchera" method</t>
  </si>
  <si>
    <t>Au alluvial mining and Au production in Peru through "Dredge" method</t>
  </si>
  <si>
    <t>Au alluvial mining and Au production in Peru through "Partial chute" method</t>
  </si>
  <si>
    <t>Au alluvial mining and Au production in Peru through "Complete chute" method</t>
  </si>
  <si>
    <t>Gonzalez-Campo et al., 2020</t>
  </si>
  <si>
    <t>Au open-pit mining and Au production in Peru</t>
  </si>
  <si>
    <t>Au ore mining and Au production in Australia</t>
  </si>
  <si>
    <t>Au ore mining and Au production in South Africa</t>
  </si>
  <si>
    <t>Au production in China through Cu anode slime processing</t>
  </si>
  <si>
    <t>Au production in Europe through WEEE recycling</t>
  </si>
  <si>
    <t>Thallium (Tl)</t>
  </si>
  <si>
    <t>Tl recovery from Zn production</t>
  </si>
  <si>
    <t>Lead (Pb)</t>
  </si>
  <si>
    <t>Hong et al., 2017</t>
  </si>
  <si>
    <t>Pb production in China/Anhui through Pb scraps recycling</t>
  </si>
  <si>
    <t>Yang et al., 2019; Hong et al., 2017</t>
  </si>
  <si>
    <t>Pb ore mining and refining in China/Jiangxi</t>
  </si>
  <si>
    <t>Gao et al., 2023</t>
  </si>
  <si>
    <t>Pb refining from South China</t>
  </si>
  <si>
    <t>Tao et al., 2019</t>
  </si>
  <si>
    <t>Pb ore recovery from Zn ore mining in China/Guangdong</t>
  </si>
  <si>
    <t>Pb recovery from Zn ore mining and Zn production in China through Smelting</t>
  </si>
  <si>
    <t>Pb recovery from Cu ore mining in Sweden/Aitik and Cu production in Sweden/Rönnskärsverken</t>
  </si>
  <si>
    <t>Bismuth (Bi)</t>
  </si>
  <si>
    <t>Bi recovery from Pb/Zn production in Canada/Peru/Chile/the US</t>
  </si>
  <si>
    <t>Platinum Group Metals (PGM)</t>
  </si>
  <si>
    <t>International Platinum Group Metals Association, 2017 - 2022</t>
  </si>
  <si>
    <t>PGM ore mining and PGM production worldwide</t>
  </si>
  <si>
    <t>PGM production worldwide through recycling</t>
  </si>
  <si>
    <t>Rare Earths (RE)</t>
  </si>
  <si>
    <t>Lee and Wen, 2017</t>
  </si>
  <si>
    <t xml:space="preserve">Bastnaesite ore mining and REO production in China/Sichuan </t>
  </si>
  <si>
    <t>Marx et al., 2018</t>
  </si>
  <si>
    <t>Bastnaesite ore mining and Nd2O3 production in the US/Mt. Pass</t>
  </si>
  <si>
    <t>Miranda Xicotencatl et al., 2023b; Lee and Wen, 2017; Miranda Xicotencatl et al., 2023a</t>
  </si>
  <si>
    <t>Bastnaesite-monazite ore mining and REO production in China/Bayan Obo</t>
  </si>
  <si>
    <t>Miranda Xicotencatl et al., 2023b; Schultze et al., 2017; Vahidi et al., 2016</t>
  </si>
  <si>
    <t>REO production from ion-adsorption clays in China</t>
  </si>
  <si>
    <t>Miranda Xicotencatl et al., 2023b; Marx et al., 2018</t>
  </si>
  <si>
    <t>Monazite ore mining in Australia/Mt. Weld and REO production in Malaysia</t>
  </si>
  <si>
    <t>Element number</t>
  </si>
  <si>
    <t>Number of production routes covered</t>
  </si>
  <si>
    <t>NA</t>
  </si>
  <si>
    <t>44-46; 76-78</t>
  </si>
  <si>
    <t>57-71</t>
  </si>
  <si>
    <t>- Li2CO3
- LiOH.H2O</t>
  </si>
  <si>
    <t>- Argentina
- China
- Chile
- Australia</t>
  </si>
  <si>
    <t>- Salar de Olaroz (Argentina)
- Chaerhan Salt Lake (China)
- Salar de Hombre Muerto (Argentina)
- Salar de Atacama (Chile)
- Greenbushes (Australia)
- Salar de Cauchari (Argentina)</t>
  </si>
  <si>
    <t>- Argentina
- China
- Chile</t>
  </si>
  <si>
    <t>- Salar de Olaroz (Argentina)
- Chaerhan Salt Lake (China)
- Salar de Hombre Muerto (Argentina)
- Salar de Atacama (Chile)
- Shehong (China)
- Zhangjiagang (China)
- Salar de Cauchari (Argentina)</t>
  </si>
  <si>
    <t>- Salar
- Spodumene</t>
  </si>
  <si>
    <t>Unspecified</t>
  </si>
  <si>
    <t>- Pyrometallurgy
- Hydrometallurgy</t>
  </si>
  <si>
    <t>- Be metal</t>
  </si>
  <si>
    <t>- US</t>
  </si>
  <si>
    <t>- Bertrandite ore</t>
  </si>
  <si>
    <t>- Turkey
- China</t>
  </si>
  <si>
    <t>- Liaoning (China)</t>
  </si>
  <si>
    <t>- Colemanite ore
- Tincal ore
- Szaibelyite ore</t>
  </si>
  <si>
    <t>- CO2-soda process
- Floatation
- Two-step process</t>
  </si>
  <si>
    <t>- Natural graphite
- Synthetic graphite</t>
  </si>
  <si>
    <t>- China
- World</t>
  </si>
  <si>
    <t>- Heilongjiang (China)</t>
  </si>
  <si>
    <t>- Shandong (China)</t>
  </si>
  <si>
    <t>- Graphite ore
- Petroleum coke</t>
  </si>
  <si>
    <t>- Mg metal</t>
  </si>
  <si>
    <t>- China
- Brazil</t>
  </si>
  <si>
    <t>- Dolomite ore</t>
  </si>
  <si>
    <t>- Pidgeon process
- Bolzano process</t>
  </si>
  <si>
    <t>- Pyrometallurgy</t>
  </si>
  <si>
    <t>- Al metal</t>
  </si>
  <si>
    <t>- China
- South America
- Oceania</t>
  </si>
  <si>
    <t>- China
- South America
- Oceania
- North America
- Europe
- Rest-of-Europe
- GCC countries
- Africa
- Rest-of-Asia</t>
  </si>
  <si>
    <t>- Bauxite ore
- Al scraps</t>
  </si>
  <si>
    <t>- Pyrometallurgy
- Recycling</t>
  </si>
  <si>
    <t>- MG-Si</t>
  </si>
  <si>
    <t>- China
- US</t>
  </si>
  <si>
    <t>- China
- Norway</t>
  </si>
  <si>
    <t>- Quartz</t>
  </si>
  <si>
    <t>- Carbon thermal reduction
- Magnetic separation
- Flotation separation</t>
  </si>
  <si>
    <t>- Ti sponge
- TiO2</t>
  </si>
  <si>
    <t>- China
- Agg. Australia / South Africa / Kenya / Senegal / USA</t>
  </si>
  <si>
    <t>- China</t>
  </si>
  <si>
    <t>- Ilmenite ore
- Magnetite ore
- Rutile ore</t>
  </si>
  <si>
    <t>- Kroll process
- Sulfate process
- Chloride process</t>
  </si>
  <si>
    <t>- V2O5</t>
  </si>
  <si>
    <t>- China
- South Africa</t>
  </si>
  <si>
    <t>- Mapochs Mine (South Africa)</t>
  </si>
  <si>
    <t>- VTM ore</t>
  </si>
  <si>
    <t>- Ca-roasting
- Sub-molten salt process</t>
  </si>
  <si>
    <t>- FeCr
- Cr metal</t>
  </si>
  <si>
    <t>- Agg. South Africa / Finland / Kazakhstan</t>
  </si>
  <si>
    <t>- Chromite ore</t>
  </si>
  <si>
    <t>- Open Furnace Smelting
- Closed Furnace Smelting
- Closed Furnace Smelting (with preheating)</t>
  </si>
  <si>
    <t>- Mn metal
- FeMn
- SiMn</t>
  </si>
  <si>
    <t>- China
- Australia</t>
  </si>
  <si>
    <t>- Tasmania (Australia)</t>
  </si>
  <si>
    <t>- Mn ore</t>
  </si>
  <si>
    <t>- Steel
- Fe metal</t>
  </si>
  <si>
    <t>- Brazil
- Australia
- Ukraine
- South Africa
- Canada
- China</t>
  </si>
  <si>
    <t>- Brazil
- Russia
- Korea
- India
- Germany
- Turkey
- China
- Italy</t>
  </si>
  <si>
    <t>- Iron ore
- C&amp;D wastes
- ELV wastes</t>
  </si>
  <si>
    <t>- CoSO4
- Co3O4
- Co metal
- Co(OH)2</t>
  </si>
  <si>
    <t>- DR Congo
- China
- Australia</t>
  </si>
  <si>
    <t>- Xinjiang (China)</t>
  </si>
  <si>
    <t>- China
- World
- Australia
- Europe</t>
  </si>
  <si>
    <t>- Tongxiang (China)
- Quzhou (China)
- Southeastern region (China)</t>
  </si>
  <si>
    <t>- Cu ore
- Ni ore - Laterites
- Ni ore - Sulfides
- Hardmetal scrap</t>
  </si>
  <si>
    <t>- High Pressure Acid Leaching (HPAL)
- Flash smelting</t>
  </si>
  <si>
    <t>- Pyrometallurgy
- Hydrometallurgy
- Recycling</t>
  </si>
  <si>
    <t>- Ni class 1
- NiO
- FeNi
- NPI
- NiSO4</t>
  </si>
  <si>
    <t>- China
- Australia
- Indonesia
- Colombia
- World</t>
  </si>
  <si>
    <t>- Gansu (China)</t>
  </si>
  <si>
    <t xml:space="preserve">- Ni ore - Sulfides
- Ni ore - Laterites
- Ni scraps </t>
  </si>
  <si>
    <t>- Cu metal</t>
  </si>
  <si>
    <t>- Zambia
- Sweden
- China
- Iran
- Poland
- Chile
- Europe
- Australia
- US
- DR Congo</t>
  </si>
  <si>
    <t>- Muliashi (Zambia)
- Aitik (Sweden)
- Anhui (China)
- Jiangxi (China)
- Siasteragi (Iran)</t>
  </si>
  <si>
    <t>- Zambia
- Sweden
- China
- Iran
- Poland
- Chile
- Europe
- US
- DR Congo</t>
  </si>
  <si>
    <t>- Muliashi (Zambia)
- Rönnskärsverken (Sweden)
- Anhui (China)
- Jiangxi (China)
- Siasteragi (Iran)</t>
  </si>
  <si>
    <t>- Cu ore
- Cu scraps
- C&amp;D wastes
- ELV wastes
- WEEE wastes</t>
  </si>
  <si>
    <t>- Heap leaching
- Heap agitation leaching
- Shaft furnace
- Flash furnace</t>
  </si>
  <si>
    <t>- Zn metal
- ZnO2</t>
  </si>
  <si>
    <t>- China
- Agg. Canada / Peru / Chile / US
- Sweden</t>
  </si>
  <si>
    <t>- Jiangxi (China)
- Guangdong (China)
- Aitik (Sweden)</t>
  </si>
  <si>
    <t>- Jiangxi (China)
- Yangtze (China)
- Rönnskärsverken (Sweden)</t>
  </si>
  <si>
    <t>- Zn ore
- Cu ore</t>
  </si>
  <si>
    <t>- Smelting</t>
  </si>
  <si>
    <t>- Ge metal</t>
  </si>
  <si>
    <t>- Agg. Canada / Peru / Chile / US</t>
  </si>
  <si>
    <t>- Zn ore</t>
  </si>
  <si>
    <t>- As metal</t>
  </si>
  <si>
    <t>- World</t>
  </si>
  <si>
    <t>- Cu ore</t>
  </si>
  <si>
    <t>- Se metal</t>
  </si>
  <si>
    <t>- US
- China
- Sweden</t>
  </si>
  <si>
    <t>- Rönnskärsverken (Sweden)</t>
  </si>
  <si>
    <t>- SrCO3</t>
  </si>
  <si>
    <t>- Celestite ore</t>
  </si>
  <si>
    <t>- Zircon sand</t>
  </si>
  <si>
    <t>- Agg. Australia / South Africa / Kenya / Senegal / USA</t>
  </si>
  <si>
    <t>- Ilmenite &amp; rutile ores</t>
  </si>
  <si>
    <t>- FeNb
- Nb2O5</t>
  </si>
  <si>
    <t>- Brazil</t>
  </si>
  <si>
    <t>- Araxa (Brazil)</t>
  </si>
  <si>
    <t>- Pyrochlore ore</t>
  </si>
  <si>
    <t>- FeMo</t>
  </si>
  <si>
    <t>- US
- China</t>
  </si>
  <si>
    <t>- Mo ore
- Cu ore</t>
  </si>
  <si>
    <t>- Ag metal</t>
  </si>
  <si>
    <t>- Canada / Peru / Chile / US
- Australia
- China
- Sweden</t>
  </si>
  <si>
    <t>- Zn ore
- Au ore
- Cu ore</t>
  </si>
  <si>
    <t>- Cd metal</t>
  </si>
  <si>
    <t>- Canada
- China</t>
  </si>
  <si>
    <t>- Kidd Creek (Canada)
- Yangtze (China)</t>
  </si>
  <si>
    <t>- In metal</t>
  </si>
  <si>
    <t>- China
- Agg. Canada / Peru / Chile / US</t>
  </si>
  <si>
    <t>- Sb metal</t>
  </si>
  <si>
    <t>- Stibnite ore</t>
  </si>
  <si>
    <t>- Te metal</t>
  </si>
  <si>
    <t>- China
- Sweden</t>
  </si>
  <si>
    <t>- WC</t>
  </si>
  <si>
    <t>- China
- Canada
- Europe</t>
  </si>
  <si>
    <t>- China
- US
- Europe</t>
  </si>
  <si>
    <t>- W ore
- Hardmetal scrap</t>
  </si>
  <si>
    <t>- Metallurgy
- Recycling</t>
  </si>
  <si>
    <t>- Au metal</t>
  </si>
  <si>
    <t>- China
- Colombia
- Peru
- Australia
- South Africa
- Europe</t>
  </si>
  <si>
    <t>- Qinghai (China)
- Antioquia (Colombia)</t>
  </si>
  <si>
    <t>- Au ore
- Alluvial deposit
- Cu ore
- WEEE wastes</t>
  </si>
  <si>
    <t>- Open-pit mining
- Alluvial mining</t>
  </si>
  <si>
    <t>- Tl metal</t>
  </si>
  <si>
    <t>- Pb metal</t>
  </si>
  <si>
    <t>- Anhui (China)
- Jiangxi (China)
- South China
- Rönnskärsverken (Sweden)</t>
  </si>
  <si>
    <t>- Pb scraps
- Pb ore
- Zn ore
- Cu ore</t>
  </si>
  <si>
    <t>- Bi metal</t>
  </si>
  <si>
    <t>- Pb ore</t>
  </si>
  <si>
    <t>- PGM metal</t>
  </si>
  <si>
    <t>- PGM ore
- PGM scraps</t>
  </si>
  <si>
    <t>- REO</t>
  </si>
  <si>
    <t>- China
- US
- Australia</t>
  </si>
  <si>
    <t>- Sichuan (China)
- Mt. Pass (US)
- Bayan Obo (China)
- Mt. Weld (Australia)</t>
  </si>
  <si>
    <t>- China
- US
- Malaysia</t>
  </si>
  <si>
    <t>- Sichuan (China)
- Mt. Pass (US)
- Bayan Obo (China)</t>
  </si>
  <si>
    <t>- Bastnaesite ore
- Bastnaesite-monazite ore
- Ion-adsorption clays
- Monazite ore</t>
  </si>
  <si>
    <t>NA*</t>
  </si>
  <si>
    <t>Unspecified**</t>
  </si>
  <si>
    <t>* NA = Non Applicable</t>
  </si>
  <si>
    <t>**Unspecified = Information unavailable in the original source</t>
  </si>
  <si>
    <t>Data sources*</t>
  </si>
  <si>
    <t>*Details regarding data sources are provided in the SI document n°3</t>
  </si>
  <si>
    <t>UNEP (2011)</t>
  </si>
  <si>
    <t>Market share (%)</t>
  </si>
  <si>
    <t>Comments on calculation of the market share</t>
  </si>
  <si>
    <t xml:space="preserve">The market share here accounts for:
- the "processing country" share associated with China; 
- the "site-specific" share associated with the different Chinese production sites here distinguished. </t>
  </si>
  <si>
    <t>The market share here accounts for:
- the "processing country" share associated with China; 
- the "site-specific" share associated with the different Chinese production sites here distinguished;
- the "commodity" share within the Shehong production site.</t>
  </si>
  <si>
    <t>The market share here accounts for:
- the "processing country" share associated with Chile, assuming that Salar de Atacama is representative of the national production; 
- the "commodity" share within the Atacama production site.</t>
  </si>
  <si>
    <t xml:space="preserve">The market share here accounts for:
- the "processing country" share associated with Argentina; 
- the "site-specific" share associated with the different Argentinian production sites here distinguished. </t>
  </si>
  <si>
    <t>-</t>
  </si>
  <si>
    <t>Estimated global market coverage for Li</t>
  </si>
  <si>
    <t>Estimated global market coverage for Co</t>
  </si>
  <si>
    <t>Estimated global market coverage for Ni</t>
  </si>
  <si>
    <t>- Boric acid
- Borax (pentahydrate, decahydrate)</t>
  </si>
  <si>
    <t>- Grind and Flotation Electrolytic Method (GFEM)
- Leaching Electrowinning Method (LEM)
- Flash smelting
- Rotary-Kiln Electric Furnace (RKEF)
- Blast furnace smelting
- High Pressure Acid Leaching (HPAL)</t>
  </si>
  <si>
    <t>Worldsteel association, 2024</t>
  </si>
  <si>
    <t>Processing country share (%)</t>
  </si>
  <si>
    <t>Data source &amp; comments</t>
  </si>
  <si>
    <t>Site-specific share (%)</t>
  </si>
  <si>
    <t>Provincial share (%)</t>
  </si>
  <si>
    <t>Geological/Waste stream share (%)</t>
  </si>
  <si>
    <t>EoL RIR share (%)</t>
  </si>
  <si>
    <t>Process share (%)</t>
  </si>
  <si>
    <t>Commodity share (%)</t>
  </si>
  <si>
    <t>China</t>
  </si>
  <si>
    <t>EC, 2023</t>
  </si>
  <si>
    <t>Chaerhan Salt Lake</t>
  </si>
  <si>
    <t>Salar</t>
  </si>
  <si>
    <t>Primary</t>
  </si>
  <si>
    <t>Talens Peiro et al., 2018</t>
  </si>
  <si>
    <t>Hydrometallurgy</t>
  </si>
  <si>
    <t>Li carbonate - Li2CO3</t>
  </si>
  <si>
    <t>Shehong</t>
  </si>
  <si>
    <t>Spodumene</t>
  </si>
  <si>
    <t>Pyrometallurgy</t>
  </si>
  <si>
    <t>Calculated based on Project Blue (2024) data, considering the specific annual production from the site</t>
  </si>
  <si>
    <t>Li hydroxide - LiOH.H2O</t>
  </si>
  <si>
    <t>Zhangjiagang</t>
  </si>
  <si>
    <t>Chile</t>
  </si>
  <si>
    <t>Salar de Atacama</t>
  </si>
  <si>
    <t>Argentina</t>
  </si>
  <si>
    <t>Salar de Olaroz</t>
  </si>
  <si>
    <t>Salar de Hombre Muerto</t>
  </si>
  <si>
    <t>Salar de Cauchari</t>
  </si>
  <si>
    <t>US</t>
  </si>
  <si>
    <t>Bertrandite ore</t>
  </si>
  <si>
    <t>Unknown</t>
  </si>
  <si>
    <t>Be metal</t>
  </si>
  <si>
    <t>Turkey</t>
  </si>
  <si>
    <t>Colemanite ore</t>
  </si>
  <si>
    <t>Calculated based on data from Turkbay et al. (2022)</t>
  </si>
  <si>
    <t>Boric acid - H3BO3</t>
  </si>
  <si>
    <t>Tincal ore</t>
  </si>
  <si>
    <t>Borax pentahydrate - Na2B4O5(OH)4.5H2O</t>
  </si>
  <si>
    <t>Borax decahydrate- Na2B4O5(OH)4.10H2O</t>
  </si>
  <si>
    <t>Liaoning</t>
  </si>
  <si>
    <t>Szaibelyite ore</t>
  </si>
  <si>
    <t>CO2-soda process</t>
  </si>
  <si>
    <t>Borax - Na2B4O5(OH)4.8H2O</t>
  </si>
  <si>
    <t>Estimated based on data from An and Xue (2014)</t>
  </si>
  <si>
    <t>Floatation</t>
  </si>
  <si>
    <t>Assumption based on information from An and Xue (2014)</t>
  </si>
  <si>
    <t>Two-step process</t>
  </si>
  <si>
    <t>World</t>
  </si>
  <si>
    <t>According to Carrère et al. (2024)</t>
  </si>
  <si>
    <t>Petroleum coke</t>
  </si>
  <si>
    <t>BRGM estimates - considering a worldwide average</t>
  </si>
  <si>
    <t>Expert-based judgement</t>
  </si>
  <si>
    <t>Synthetic graphite</t>
  </si>
  <si>
    <t>WMD, 2023 - Corresponds to mining data</t>
  </si>
  <si>
    <t>Shandong</t>
  </si>
  <si>
    <t>Natural graphite</t>
  </si>
  <si>
    <t>BRGM, 2016</t>
  </si>
  <si>
    <t>Dolomite ore</t>
  </si>
  <si>
    <t>Pidgeon process</t>
  </si>
  <si>
    <t>Mg metal</t>
  </si>
  <si>
    <t>Brazil</t>
  </si>
  <si>
    <t>Bolzano process</t>
  </si>
  <si>
    <t>Calculated based on IAI (2022) data</t>
  </si>
  <si>
    <t>Bauxite ore</t>
  </si>
  <si>
    <t>Al metal</t>
  </si>
  <si>
    <t>Assumed to be similar to the primary production share</t>
  </si>
  <si>
    <t>Al scraps</t>
  </si>
  <si>
    <t>Secondary</t>
  </si>
  <si>
    <t>Recycling</t>
  </si>
  <si>
    <t>GCC countries</t>
  </si>
  <si>
    <t>Rest-of-Asia</t>
  </si>
  <si>
    <t>Rest-of-Europe</t>
  </si>
  <si>
    <t>North America</t>
  </si>
  <si>
    <t>Europe</t>
  </si>
  <si>
    <t>Oceania</t>
  </si>
  <si>
    <t>Africa</t>
  </si>
  <si>
    <t>South America</t>
  </si>
  <si>
    <t>Quartz</t>
  </si>
  <si>
    <t>Carbon thermal reduction</t>
  </si>
  <si>
    <t>Metal-grade (MG) Si</t>
  </si>
  <si>
    <t>Norway</t>
  </si>
  <si>
    <t>Heidari &amp; Anctil, 2022</t>
  </si>
  <si>
    <t>Magnetic separation</t>
  </si>
  <si>
    <t>Flotation separation</t>
  </si>
  <si>
    <t>Use of mining share, based on WMD data (2023)</t>
  </si>
  <si>
    <t>Ilmenite</t>
  </si>
  <si>
    <t>Kroll process</t>
  </si>
  <si>
    <t>Ti sponge</t>
  </si>
  <si>
    <t>Titanium factsheet (SCRREEN, 2023f)</t>
  </si>
  <si>
    <t>Magnetite</t>
  </si>
  <si>
    <t>Sulfate process</t>
  </si>
  <si>
    <t>Ti dioxyde - TiO2</t>
  </si>
  <si>
    <t>Chloride process</t>
  </si>
  <si>
    <t>RoW w/o China</t>
  </si>
  <si>
    <t>Ilmenite, rutile</t>
  </si>
  <si>
    <t>Ti sponge, TiO2</t>
  </si>
  <si>
    <t>WMD, 2023</t>
  </si>
  <si>
    <t>VTM ore</t>
  </si>
  <si>
    <t>Ca-roasting</t>
  </si>
  <si>
    <t>Calculated based on data from Zhang et al. (2023c)</t>
  </si>
  <si>
    <t>V pentoxide - V2O5</t>
  </si>
  <si>
    <t>Sub-molten salt process</t>
  </si>
  <si>
    <t>Na-roasting</t>
  </si>
  <si>
    <t>South Africa</t>
  </si>
  <si>
    <t>South Africa / Finland / Kazakhstan</t>
  </si>
  <si>
    <t>Chromite ore</t>
  </si>
  <si>
    <t>Open Furnace Smelting</t>
  </si>
  <si>
    <t>Ferrochromium - FeCr</t>
  </si>
  <si>
    <t>Estimation based on data from Chromium factsheet (SCRREEN, 2023a)</t>
  </si>
  <si>
    <t>Closed Furnace Smelting</t>
  </si>
  <si>
    <t>Closed Furnace Smelting (with preheating)</t>
  </si>
  <si>
    <t>Cr metal</t>
  </si>
  <si>
    <t>Mn ore</t>
  </si>
  <si>
    <t>Mn metal</t>
  </si>
  <si>
    <t>Estimation based on data from Westfall et al. (2016)</t>
  </si>
  <si>
    <t>Australia</t>
  </si>
  <si>
    <t>Tasmania</t>
  </si>
  <si>
    <t>Ferromanganese - FeMn</t>
  </si>
  <si>
    <t>Silicomanganese - SiMn</t>
  </si>
  <si>
    <t>Iron ore</t>
  </si>
  <si>
    <t>Steel</t>
  </si>
  <si>
    <t>Blast Furnace-Basic Oxygen Furnace (BF-BOF)</t>
  </si>
  <si>
    <t>C&amp;D wastes</t>
  </si>
  <si>
    <t>Fe metal</t>
  </si>
  <si>
    <t>ELV wastes</t>
  </si>
  <si>
    <t>India</t>
  </si>
  <si>
    <t>Russia</t>
  </si>
  <si>
    <t>Korea</t>
  </si>
  <si>
    <t>Germany</t>
  </si>
  <si>
    <t>Italy</t>
  </si>
  <si>
    <t>Cu ore</t>
  </si>
  <si>
    <t>Cobalt Institute, 2023a</t>
  </si>
  <si>
    <t>Co metal</t>
  </si>
  <si>
    <t>Cobalt Institute, 2023b</t>
  </si>
  <si>
    <t>Tongxiang</t>
  </si>
  <si>
    <t>Co sulfate - CoSO4</t>
  </si>
  <si>
    <t>Estimated based on Cobalt Institute (2023a, 2023b) data</t>
  </si>
  <si>
    <t>Quzhou</t>
  </si>
  <si>
    <t>Co oxide - Co3O4</t>
  </si>
  <si>
    <t>Southeastern region</t>
  </si>
  <si>
    <t>Assumed to be of equal production volume to the Tongxiang plant</t>
  </si>
  <si>
    <t>Ni ore - Unspecified</t>
  </si>
  <si>
    <t>Hardmetal scrap</t>
  </si>
  <si>
    <t>Co hydroxide - Co(OH)2</t>
  </si>
  <si>
    <t>Ni ore - Laterites</t>
  </si>
  <si>
    <t>High Pressure Acid Leaching (HPAL)</t>
  </si>
  <si>
    <t>Ni ore - Sulfides</t>
  </si>
  <si>
    <t>Flash smelting</t>
  </si>
  <si>
    <t>Indonesia</t>
  </si>
  <si>
    <t>Rotary-Kiln Electric Furnace (RKEF)</t>
  </si>
  <si>
    <t>Ni oxide - NiO</t>
  </si>
  <si>
    <t>Blast furnace smelting</t>
  </si>
  <si>
    <t>Ni pig iron - NPI</t>
  </si>
  <si>
    <t>Gansu</t>
  </si>
  <si>
    <t>Grind and Flotation Electrolytic Method (GFEM)</t>
  </si>
  <si>
    <t>Assumption based on information from Bai et al. (2022)</t>
  </si>
  <si>
    <t>Ni metal (class 1)</t>
  </si>
  <si>
    <t>Leaching Electrowinning Method (LEM)</t>
  </si>
  <si>
    <t>Ni scraps</t>
  </si>
  <si>
    <t>Smelting</t>
  </si>
  <si>
    <t>Ferronickel - FeNi</t>
  </si>
  <si>
    <t>Nickel Institute, 2021</t>
  </si>
  <si>
    <t>Expert-based judgement, considering that NiSO4 used in batteries is not recycled today</t>
  </si>
  <si>
    <t>Ni sulfate - NiSO4</t>
  </si>
  <si>
    <t>Colombia</t>
  </si>
  <si>
    <t>Anhui/Jiangxi</t>
  </si>
  <si>
    <t>Cu scraps</t>
  </si>
  <si>
    <t>BRGM, 2018</t>
  </si>
  <si>
    <t>Country-specific value, calculated based on data from ICSG (2024)</t>
  </si>
  <si>
    <t>Cu metal</t>
  </si>
  <si>
    <t>WEEE wastes</t>
  </si>
  <si>
    <t>DRC</t>
  </si>
  <si>
    <t>Poland</t>
  </si>
  <si>
    <t>Shaft furnace</t>
  </si>
  <si>
    <t>Based on production volumes in KGHM (Poland) from Kulczycka et al., 2015</t>
  </si>
  <si>
    <t>Flash furnace</t>
  </si>
  <si>
    <t>Zambia</t>
  </si>
  <si>
    <t>Muliashi</t>
  </si>
  <si>
    <t>Heap leaching</t>
  </si>
  <si>
    <t>Country-specific value, calculated based on ICSG data and Yang et al. (2022)</t>
  </si>
  <si>
    <t>Heap agitation leaching</t>
  </si>
  <si>
    <t>Sweden</t>
  </si>
  <si>
    <t>Rönnskärsverken</t>
  </si>
  <si>
    <t>Iran</t>
  </si>
  <si>
    <t>Siasteragi</t>
  </si>
  <si>
    <t>Jiangxi</t>
  </si>
  <si>
    <t>Zn ore</t>
  </si>
  <si>
    <t>Zn metal</t>
  </si>
  <si>
    <t>Yangtze</t>
  </si>
  <si>
    <t>Canada / Peru / Chile / US</t>
  </si>
  <si>
    <t>Assumed to be equal to the Swedish mining share (WMD, 2023)</t>
  </si>
  <si>
    <t>Country-specific value, based on data from ILZSG (2024)</t>
  </si>
  <si>
    <t>Zn oxide - ZnO2</t>
  </si>
  <si>
    <t>Estimated based on data from Zinc factsheet (SCRREEN, 2023g)</t>
  </si>
  <si>
    <t>Ge metal</t>
  </si>
  <si>
    <t>As metal</t>
  </si>
  <si>
    <t>Nassar et al., 2015</t>
  </si>
  <si>
    <t>Se metal</t>
  </si>
  <si>
    <t>Celestite ore</t>
  </si>
  <si>
    <t>Sr carbonate - SrCO3</t>
  </si>
  <si>
    <t>Estimation based data from Strontium factsheet (SCRREEN, 2023e)</t>
  </si>
  <si>
    <t>Australia / South Africa / Kenya / Senegal / USA</t>
  </si>
  <si>
    <t>Ilmenite &amp; rutile ores</t>
  </si>
  <si>
    <t>Zircon sand</t>
  </si>
  <si>
    <t>Araxa</t>
  </si>
  <si>
    <t>Pyrochlore ore</t>
  </si>
  <si>
    <t>Ferroniobium - FeNb</t>
  </si>
  <si>
    <t>Nb pentoxide - Nb2O5</t>
  </si>
  <si>
    <t>Mo ore</t>
  </si>
  <si>
    <t>Ferromolybdenum - FeMo</t>
  </si>
  <si>
    <t>Estimation based on data from Molybdenum factsheet (SCRREEN, 2023c)</t>
  </si>
  <si>
    <t>Ag metal</t>
  </si>
  <si>
    <t>Au ore</t>
  </si>
  <si>
    <t>Cd metal</t>
  </si>
  <si>
    <t>Canada</t>
  </si>
  <si>
    <t>Kidd Creek</t>
  </si>
  <si>
    <t>In metal</t>
  </si>
  <si>
    <t>Canada / Peru</t>
  </si>
  <si>
    <t>Stibnite ore</t>
  </si>
  <si>
    <t>Sb metal</t>
  </si>
  <si>
    <t>Tellurium copper - CuTe</t>
  </si>
  <si>
    <t>W ore</t>
  </si>
  <si>
    <t>Calculated based on data from ITIA (2018)</t>
  </si>
  <si>
    <t>W carbide - WC</t>
  </si>
  <si>
    <t>Calculated based on data from Leal-Ayala et al. (2015)</t>
  </si>
  <si>
    <t>Hardmetal scraps</t>
  </si>
  <si>
    <t>Share of W recycling from this specific process. Assumption based on information from Aromaa et al. (2022)</t>
  </si>
  <si>
    <t>Ammonium paratungstate - APT</t>
  </si>
  <si>
    <t>Qinghai</t>
  </si>
  <si>
    <t>Open-pit mining</t>
  </si>
  <si>
    <t>Au metal</t>
  </si>
  <si>
    <t>Share of recycled Au from WEEE based on data from Gold factsheet (SCRREEN, 2023b)</t>
  </si>
  <si>
    <t>Peru</t>
  </si>
  <si>
    <t>Assumed to be similar to Colombia</t>
  </si>
  <si>
    <t>Alluvial deposit</t>
  </si>
  <si>
    <t>Alluvial mining - "Carretilla" method</t>
  </si>
  <si>
    <t>Share of alluvial mining in Peru from this specific technique. Assumption based on information from Kahhat et al. (2019)</t>
  </si>
  <si>
    <t>Alluvial mining - "Chupadera/traca" method</t>
  </si>
  <si>
    <t>Alluvial mining - "Caranchera" method</t>
  </si>
  <si>
    <t>Alluvial mining - "Dredge" method</t>
  </si>
  <si>
    <t>Alluvial mining - "Partial chute" method</t>
  </si>
  <si>
    <t>Alluvial mining - "Complete chute" method</t>
  </si>
  <si>
    <t>Antioquia</t>
  </si>
  <si>
    <t>Share of Au produced from ore in Colombia, calculated based on production volumes from Cano Londono et al. (2019)</t>
  </si>
  <si>
    <t>Share of Au produced from alluvial deposits in Colombia, calculated based on production volumes from Cano Londono et al. (2019)</t>
  </si>
  <si>
    <t>Alluvial mining</t>
  </si>
  <si>
    <t>Tl metal</t>
  </si>
  <si>
    <t>Pb metal</t>
  </si>
  <si>
    <t>Pb ore</t>
  </si>
  <si>
    <t>South China</t>
  </si>
  <si>
    <t>Anhui</t>
  </si>
  <si>
    <t>Pb scraps</t>
  </si>
  <si>
    <t>EC, 2023 - considering that only Canada and the US produce Pb in this case</t>
  </si>
  <si>
    <t>Bi metal</t>
  </si>
  <si>
    <t>IPA, 2022</t>
  </si>
  <si>
    <t>PGM ore</t>
  </si>
  <si>
    <t>RIR average for PGM, calculated based on data from Talens Peiro et al. (2018)</t>
  </si>
  <si>
    <t>PGM metal</t>
  </si>
  <si>
    <t>PGM scraps</t>
  </si>
  <si>
    <t>Bayan Obo</t>
  </si>
  <si>
    <t>Bastnaesite-monazite ore</t>
  </si>
  <si>
    <t>Estimation based on Talens Peiro et al., 2018</t>
  </si>
  <si>
    <t>RE oxides - REO</t>
  </si>
  <si>
    <t>Sichuan</t>
  </si>
  <si>
    <t>Bastnaesite ore</t>
  </si>
  <si>
    <t>Ion-adsorption clays</t>
  </si>
  <si>
    <t>Mt. Pass</t>
  </si>
  <si>
    <t>Nd oxide - Nd2O3</t>
  </si>
  <si>
    <t>Malaysia</t>
  </si>
  <si>
    <t>Monazite ore</t>
  </si>
  <si>
    <t>- An, J., Xue, X., 2014. Life cycle environmental impact assessment of borax and boric acid production in China. Journal of Cleaner Production 66, 121–127. https://doi.org/10.1016/j.jclepro.2013.10.020</t>
  </si>
  <si>
    <t>- Aromaa, R., Rinne, M., Lundström, M., 2022. Comparative Life Cycle Assessment of Hardmetal Chemical Recycling Routes. ACS Sustainable Chem. Eng. 10, 10234–10242. https://doi.org/10.1021/acssuschemeng.2c01969</t>
  </si>
  <si>
    <t>- Bai, Y., Zhang, T., Zhai, Y., Jia, Y., Ren, K., Hong, J., 2022. Strategies for improving the environmental performance of nickel production in China: Insight into a life cycle assessment. Journal of Environmental Management 312, 114949. https://doi.org/10.1016/j.jenvman.2022.114949</t>
  </si>
  <si>
    <t>- BRGM, 2016. Le graphite naturel (C) - éléments de criticité (In French). Available at: https://www.mineralinfo.fr/sites/default/files/2023-03/fiche_criticite_graphite_naturel_170109.pdf</t>
  </si>
  <si>
    <t>- BRGM, 2017. L'indium (In) - éléments de criticité (In French). Available at: https://www.mineralinfo.fr/sites/default/files/2023-03/fiche_criticite_indium_170921.pdf</t>
  </si>
  <si>
    <t>- BRGM, 2018. Le cuivre (Cu) - éléments de criticité (In French). Available at: https://www.mineralinfo.fr/sites/default/files/2023-03/fiche_criticite_Cu_180205.pdf</t>
  </si>
  <si>
    <t>- BRGM, 2020. Fiche de criticité - Molybdène (In French). Available at: https://www.mineralinfo.fr/sites/default/files/documents/2020-12/fichecriticitemolybdene-publique20201001.pdf</t>
  </si>
  <si>
    <t>- Cano Londoño, N.A., Velásquez, H.I., McIntyre, N., 2019. Comparing the environmental sustainability of two gold production methods using integrated Emergy and Life Cycle Assessment. Ecological Indicators 107, 105600. https://doi.org/10.1016/j.ecolind.2019.105600</t>
  </si>
  <si>
    <t>- Carrère, T., Khalid, U., Baumann, M., Bouzidi, M., Allard, B., 2024. Carbon footprint assessment of manufacturing of synthetic graphite battery anode material for electric mobility applications. Journal of Energy Storage 94, 112356. https://doi.org/10.1016/j.est.2024.112356</t>
  </si>
  <si>
    <t>- Cobalt Institute, 2023a. Determining the Global Warming Potential of cobalt. Available at: https://www.cobaltinstitute.org/sustainability/determining-the-global-warming-potential-of-cobalt/</t>
  </si>
  <si>
    <t>- Cobalt Institute, 2023b. Cobalt Market Report 2023.</t>
  </si>
  <si>
    <t>- Da Silva Lima, L., Alvarenga, R.A.F., De Souza Amaral, T., De Tarso Gonçalves Nolli, P., Dewulf, J., 2022. Life cycle assessment of ferroniobium and niobium oxides: Quantifying the reduction of environmental impacts as a result of production process improvements. Journal of Cleaner Production 348, 131327. https://doi.org/10.1016/j.jclepro.2022.131327</t>
  </si>
  <si>
    <t>- Dai, Y., Dong, H., Sun, L., Li, J., Zhang, T., Geng, Y., Liu, Z., 2024. Life cycle environmental impact assessment of titanium dioxide production in China. Environmental Impact Assessment Review 105, 107412. https://doi.org/10.1016/j.eiar.2023.107412</t>
  </si>
  <si>
    <t>- Dai, Q., Kelly, J.C., Elgowainy, A., 2018. Cobalt Life Cycle Analysis Update for the GREET Model.</t>
  </si>
  <si>
    <t>- EC (European Commission), 2023. Study on the Critical Raw Materials for the EU 2023 - Final report.</t>
  </si>
  <si>
    <t>- Godoy León, M.F., Matos, C.T., Georgitzikis, K., Mathieux, F., Dewulf, J., 2022. Material system analysis: Functional and nonfunctional cobalt in the EU, 2012–2016. Journal of Industrial Ecology 26, 1277–1293. https://doi.org/10.1111/jiec.13281</t>
  </si>
  <si>
    <t>- He, X., Kim, H.C., Wallington, T.J., Zhang, S., Shen, W., De Kleine, R., Keoleian, G.A., Ma, R., Zheng, Y., Zhou, B., Wu, Y., 2020. Cradle-to-gate greenhouse gas (GHG) burdens for aluminum and steel production and cradle-to-grave GHG benefits of vehicle lightweighting in China. Resources, Conservation and Recycling 152, 104497. https://doi.org/10.1016/j.resconrec.2019.104497</t>
  </si>
  <si>
    <t>- Heidari, S.M., Anctil, A., 2022. Country-specific carbon footprint and cumulative energy demand of metallurgical grade silicon production for silicon photovoltaics. Resources, Conservation and Recycling 180, 106171. https://doi.org/10.1016/j.resconrec.2022.106171</t>
  </si>
  <si>
    <t>- ICSG, 2024. International Copper Study Group. Available at: https://icsg.org/publications-list/.</t>
  </si>
  <si>
    <t>- International Aluminium Association, 2022. Life cycle inventory data and environmental metrics for the primary aluminium industry. Available at: https://international-aluminium.org/resource/2019-life-cycle-inventory-lci-data-and-environmental-metrics/.</t>
  </si>
  <si>
    <t>- ITIA, 2018. International Tungsten Industry Association - Recycling of Tungsten. Available at: https://www.itia.info/wp-content/uploads/2024/06/ITIA_ROTP1_29052024.pdf</t>
  </si>
  <si>
    <t>- Jia, Y., Zhang, T., Zhai, Y., Bai, Y., Ren, K., Shen, X., Cheng, Z., Zhou, X., Hong, J., 2022. Exploring the potential health and ecological damage of lead–zinc production activities in China: A life cycle assessment perspective. Journal of Cleaner Production 381, 135218. https://doi.org/10.1016/j.jclepro.2022.135218</t>
  </si>
  <si>
    <t>- Kahhat, R., Parodi, E., Larrea-Gallegos, G., Mesta, C., Vázquez-Rowe, I., 2019. Environmental impacts of the life cycle of alluvial gold mining in the Peruvian Amazon rainforest. Science of The Total Environment 662, 940–951. https://doi.org/10.1016/j.scitotenv.2019.01.246</t>
  </si>
  <si>
    <t>- Kulczycka, J., Lelek, Ł., Lewandowska, A., Wirth, H., Bergesen, J.D., 2016. Environmental Impacts of Energy‐Efficient Pyrometallurgical Copper Smelting Technologies: The Consequences of Technological Changes from 2010 to 2050. J of Industrial Ecology 20, 304–316. https://doi.org/10.1111/jiec.12369</t>
  </si>
  <si>
    <t>- Leal-Ayala, D.R., Allwood, J.M., Petavratzi, E., Brown, T.J., Gunn, G., 2015. Mapping the global flow of tungsten to identify key material efficiency and supply security opportunities. Resources, Conservation and Recycling 103, 19–28. https://doi.org/10.1016/j.resconrec.2015.07.003</t>
  </si>
  <si>
    <t>- Liu, W.-N., Shi, Y., Zhang, C.-M., Liu, L.-M., Li, H.-Q., Lu, B., Xie, Y.-B., Zhuang, C.-B., Sun, T.-Y., Liu, W.-P., Guan, X., Hu, Y.-Y., 2022. Environmental impact of typical zinc smelting that implements solid waste collaborative utilization in China. Int J Life Cycle Assess 27, 1316–1333. https://doi.org/10.1007/s11367-022-02100-6</t>
  </si>
  <si>
    <t>- Ma, X., Ye, L., Qi, C., Yang, D., Shen, X., Hong, J., 2018. Life cycle assessment and water footprint evaluation of crude steel production: A case study in China. Journal of Environmental Management 224, 10–18. https://doi.org/10.1016/j.jenvman.2018.07.027</t>
  </si>
  <si>
    <t>- NETL, 2016. NETL. Life Cycle Inventory Data – Unit Process: Chromium Products – Version 01. Available at: https://www.netl.doe.gov/LCA.</t>
  </si>
  <si>
    <t>- Nassar, N.T., Graedel, T.E., Harper, E.M., 2015. By-product metals are technologically essential but have problematic supply. Sci. Adv. 1, e1400180. https://doi.org/10.1126/sciadv.1400180</t>
  </si>
  <si>
    <t>- Nickel Institute, 2021. Life cycle assessment report: nickel sulphate hexahydrate.</t>
  </si>
  <si>
    <t>- Passarini, F., Ciacci L., Nuss P. and Manfredi S., Material Flow Analysis of Aluminium, Copper, and Iron in the EU-28, EUR 29220 EN, Publications Office of the European Union, Luxembourg, 2018, ISBN 978-92-79-85744-7, doi 10.2760/1079, JRC 111643</t>
  </si>
  <si>
    <t>- Project Blue, 2024. Lithium. Available at: https://projectblue.com/subscriptions/critical-materials/lithium</t>
  </si>
  <si>
    <t>- Qi, C., Ye, L., Ma, X., Yang, D., Hong, J., 2017. Life cycle assessment of the hydrometallurgical zinc production chain in China. Journal of Cleaner Production 156, 451–458. https://doi.org/10.1016/j.jclepro.2017.04.084</t>
  </si>
  <si>
    <t>- SCRREEN, 2023a. Chromium factsheet. Available at: https://scrreen.eu/wp-content/uploads/2023/08/SCRREEN2_factsheets_CHROMIUM.pdf</t>
  </si>
  <si>
    <t>- SCRREEN, 2023b. Gold factsheet. Available at: https://scrreen.eu/wp-content/uploads/2024/01/SCRREEN2_factsheets_GOLD-update2.pdf</t>
  </si>
  <si>
    <t>- SCRREEN, 2023c. Molybdenum factsheet. Available at: https://scrreen.eu/wp-content/uploads/2023/08/SCRREEN2_factsheets_MOLYBDENUM.pdf</t>
  </si>
  <si>
    <t>- SCRREEN, 2023d. Rare Earths elements factsheet. Available at: https://scrreen.eu/wp-content/uploads/2023/08/SCRREEN2_factsheets_REE-EUROSTAT.pdf</t>
  </si>
  <si>
    <t>- SCRREEN, 2023e. Strontium factsheet. Available at: https://scrreen.eu/wp-content/uploads/2023/12/SCRREEN2_factsheets_STRONTIUM-update.pdf</t>
  </si>
  <si>
    <t>- SCRREEN, 2023f. Titanium factsheet. Available at: https://scrreen.eu/wp-content/uploads/2024/01/SCRREEN2_factsheets_TITANIUM_V1.pdf</t>
  </si>
  <si>
    <t>- SCRREEN, 2023g. Zinc factsheet. Available at: https://scrreen.eu/wp-content/uploads/2024/01/SCRREEN2_factsheets_ZINC-update2.pdf</t>
  </si>
  <si>
    <t>- S&amp;P Global, 2023. Available at: https://www.capitaliq.spglobal.com/web/client?auth=inherit#dashboard/metalsAndMining.</t>
  </si>
  <si>
    <t>- Talens Peiro, L., Nuss, P., Mathieux, F., Blengini, G., 2018. Towards Recycling Indicators based on EU flows and Raw Materials System Analysis data, EUR 29435 EN, Publications Office of the European Union, Luxembourg, 2018, ISBN 978-92-79-97247-8 (online), doi:10.2760/092885 (online), JRC112720.</t>
  </si>
  <si>
    <t>- Turkbay, T., Bongono, J., Alix, T., Laratte, B., Elevli, B., 2022. Prior knowledge of the data on the production capacity of boron facilities in Turkey. Cleaner Engineering and Technology 10, 100539. https://doi.org/10.1016/j.clet.2022.100539</t>
  </si>
  <si>
    <t>- UNEP (United Nations Environment Programme), 2011. Recycling Rates of Metals - A Status Report, A Report of the Working Group on the Global Metal Flows to the International Resource Panel.</t>
  </si>
  <si>
    <t>- Westfall, L.A., Davourie, J., Ali, M., McGough, D., 2016. Cradle-to-gate life cycle assessment of global manganese alloy production. Int J Life Cycle Assess 21, 1573–1579. https://doi.org/10.1007/s11367-015-0995-3</t>
  </si>
  <si>
    <t>- WMD, 2023. World Mining Data 2023.</t>
  </si>
  <si>
    <t xml:space="preserve">- Worldsteel association, 2024. World Steel in Figures 2023. Available at: https://worldsteel.org/data/world-steel-in-figures-2023/ </t>
  </si>
  <si>
    <t>- Yang, Zhaoyue, Yang, Zhendong, Yang, S., Liu, Ziliang, Liu, Zhenghua, Liu, Y., Drewniak, L., Jiang, C., Li, Q., Li, W., Yin, H., 2022. Life cycle assessment and cost analysis for copper hydrometallurgy industry in China. Journal of Environmental Management 309, 114689. https://doi.org/10.1016/j.jenvman.2022.114689</t>
  </si>
  <si>
    <t>- Zhang, G., Wang, Y., Meng, X., Zhang, D., Ding, N., Ren, Z., Gao, W., Sun, Z., 2023. Life cycle assessment on the vanadium production process: A multi-objective assessment under environmental and economic perspectives. Resources, Conservation and Recycling 192, 106926. https://doi.org/10.1016/j.resconrec.2023.106926</t>
  </si>
  <si>
    <t>Equation(s) implemented for the calculations</t>
  </si>
  <si>
    <t>Eq. 3.1.2</t>
  </si>
  <si>
    <t>Combination of Eq. 3.1.2 and 3.2</t>
  </si>
  <si>
    <t>Eq. 3.2</t>
  </si>
  <si>
    <t xml:space="preserve">The market share here accounts for:
- the "processing country" share associated with the US, assuming that this process chain is representative of American process chains. 
The "EoL RIR" share is here deducted to account for the share of primary production, considering the global Be EoL RIR. </t>
  </si>
  <si>
    <t>Eq. 2.1</t>
  </si>
  <si>
    <t>Estimated global market coverage for Be</t>
  </si>
  <si>
    <t xml:space="preserve">The market share here accounts for:
- the "processing country" share associated with Turkey; 
- the "geological" share, considering the national distribution of B geological types in Turkey.
The "EoL RIR" share is here deducted to account for the share of primary production, considering the global B EoL RIR. </t>
  </si>
  <si>
    <t xml:space="preserve">The market share here accounts for:
- the "processing country" share associated with Turkey; 
- the "geological" share, considering the national distribution of B geological types in Turkey;
- the "commodity" share, considering the national distribution of Borax forms in Turkey.
The "EoL RIR" share is here deducted to account for the share of primary production, considering the global B EoL RIR. </t>
  </si>
  <si>
    <t xml:space="preserve">The market share here accounts for:
- the "processing country" share associated with China; 
- the "commodity" share, considering the national distribution of B commodities in China.
The "EoL RIR" share is here deducted to account for the share of primary production, considering the global B EoL RIR. </t>
  </si>
  <si>
    <t>Eq. 3.3</t>
  </si>
  <si>
    <t xml:space="preserve">The market share here accounts for:
- the "processing country" share associated with China; 
- the "process" share, considering the specific distribution of both types of process in the considered Chinese province;
- the "commodity" share, considering the national distribution of B commodities in China.
The "EoL RIR" share is here deducted to account for the share of primary production, considering the global B EoL RIR. </t>
  </si>
  <si>
    <t>Estimated global market coverage for B</t>
  </si>
  <si>
    <t>The market share here accounts for:
- the "processing country" share at global level, assuming that this process chain is representative of global process chains for synthetic graphite; 
- the "geological" share, considering the global distribution graphite deposits.</t>
  </si>
  <si>
    <t>The market share here accounts for:
- the "processing country" share associated with China, assuming that this process chain is representative of Chinese process chains for natural graphite; 
- the "geological" share, considering the global distribution graphite deposits.</t>
  </si>
  <si>
    <t>Estimated global market coverage for graphite</t>
  </si>
  <si>
    <t xml:space="preserve">The market share here accounts for:
- the "processing country" share associated with China, assuming that this process chain is representative of Chinese process chains. 
The "EoL RIR" share is here deducted to account for the share of primary production, considering the global Mg EoL RIR. </t>
  </si>
  <si>
    <t xml:space="preserve">The market share here accounts for:
- the "processing country" share associated with Brazil, assuming that this process chain is representative of Brazilian process chains. 
The "EoL RIR" share is here deducted to account for the share of primary production, considering the global Mg EoL RIR. </t>
  </si>
  <si>
    <t>Estimated global market coverage for Mg</t>
  </si>
  <si>
    <t xml:space="preserve">The market share here accounts for:
- the "processing country" share associated with China, assuming that this process chain is representative of Chinese process chains. 
The "EoL RIR" share is here deducted to account for the share of primary production, considering the global Al EoL RIR. </t>
  </si>
  <si>
    <t xml:space="preserve">The market share here accounts for:
- the "processing country" share associated with China, assuming that this process chain is representative of Chinese EoL RIR chains; 
- the "EoL RIR" share, considering the global Al EoL RIR. </t>
  </si>
  <si>
    <t>Eq. 2.2</t>
  </si>
  <si>
    <t xml:space="preserve">The market share here accounts for:
- the "processing area" share associated with GCC countries,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</si>
  <si>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rest-of-Asia,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</si>
  <si>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Russia and rest-of-Europe, assuming that this process chain is representative of the process chains in that area. 
The "recycling" share is here deducted to account for the share of primary production, considering the global Al EoL RIR. </t>
  </si>
  <si>
    <t xml:space="preserve">The market share here accounts for:
- the "processing area" share associated with North America,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</si>
  <si>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North America, assuming that this process chain is representative of the EoL RIR chains in that area; 
- the "EoL RIR" share, considering the global Al EoL RIR. </t>
  </si>
  <si>
    <t xml:space="preserve">The market share here accounts for:
- the "processing area" share associated with Europe,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</si>
  <si>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Europe, assuming that this process chain is representative of the EoL RIR chains in that area; 
- the "EoL RIR" share, considering the global Al EoL RIR. </t>
  </si>
  <si>
    <t xml:space="preserve">The market share here accounts for:
- the "processing area" share associated with Oceania,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</si>
  <si>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Africa, assuming that this process chain is representative of the process chains in that area. 
The "EoL RIR" share is here deducted to account for the share of primary production, considering the global Al EoL RIR. </t>
  </si>
  <si>
    <t xml:space="preserve">The market share here accounts for:
- the "processing area" share associated with South America, assuming that this process chain is representative of the process chains in that area. 
The "EoL RIR" share is here deducted to account for the share of primary production, considering the global Al EoL RIR. </t>
  </si>
  <si>
    <t>Estimated global market coverage for Al</t>
  </si>
  <si>
    <t xml:space="preserve">The market share here accounts for:
- the "processing country" share associated with China, assuming that this process chain is representative of Chinese process chains. </t>
  </si>
  <si>
    <t>The market share here accounts for:
- the "processing country" share associated with the US; 
- the "process" share, considering the specific distribution of the three types of processes in the US.</t>
  </si>
  <si>
    <t>Estimated global market coverage for Si metal</t>
  </si>
  <si>
    <t xml:space="preserve">The market share here accounts for:
- the "processing country" share associated with China; 
- the "commodity" share, considering the global distribution of Ti commodities.
The "EoL RIR" share is here deducted to account for the share of primary production, considering the global Ti EoL RIR. </t>
  </si>
  <si>
    <t xml:space="preserve">The market share here accounts for:
- the "processing country" share associated with China; 
- the "process" share, considering the specific distribution of both sulfate and chloride routes in China;
- the "commodity" share, considering the global distribution of Ti commodities.
The "EoL RIR" share is here deducted to account for the share of primary production, considering the global Ti EoL RIR. </t>
  </si>
  <si>
    <t xml:space="preserve">The market share here accounts for:
- the "processing area" share associated with this area.
The "EoL RIR" share is here deducted to account for the share of primary production, considering the global Ti EoL RIR. </t>
  </si>
  <si>
    <t>Estimated global market coverage for Ti</t>
  </si>
  <si>
    <t>The market share here accounts for:
- the "processing country" share associated with China; 
- the "process" share, considering the specific distribution of the different processes in China.</t>
  </si>
  <si>
    <t xml:space="preserve">The market share here accounts for:
- the "processing country" share associated with South Africa, assuming that this process chain is representative of the South African process chains. </t>
  </si>
  <si>
    <t>Estimated global market coverage for V</t>
  </si>
  <si>
    <t xml:space="preserve">The market share here accounts for:
- the "processing area" share associated with this area; 
- the "process" share, considering the specific distribution of the three types of process in that area;
- the "commodity" share, considering the global distribution of Cr commodities.
The "EoL RIR" share is here deducted to account for the share of primary production, considering the global Cr EoL RIR. </t>
  </si>
  <si>
    <t xml:space="preserve">The market share here accounts for:
- the "processing area" share associated with this area; 
- the "commodity" share, considering the global distribution of Cr commodities.
The "EoL RIR" share is here deducted to account for the share of primary production, considering the global Cr EoL RIR. </t>
  </si>
  <si>
    <t>Estimated global market coverage for Cr</t>
  </si>
  <si>
    <t xml:space="preserve">The market share here accounts for:
- the "processing country" share associated with China; 
- the "commodity" share, considering the global distribution of Mn commodities.
The "EoL RIR" share is here deducted to account for the share of primary production, considering the global Mn EoL RIR. </t>
  </si>
  <si>
    <t xml:space="preserve">The market share here accounts for:
- the "processing country" share associated with Australia; 
- the "commodity" share, considering the global distribution of Mn commodities.
The "EoL RIR" share is here deducted to account for the share of primary production, considering the global Mn EoL RIR. </t>
  </si>
  <si>
    <t>Estimated global market coverage for Mn</t>
  </si>
  <si>
    <t xml:space="preserve">The market share here accounts for:
- the "processing country" share associated with China; 
- the "provincial" share associated with the different Chinese provinces here distinguished. 
The "EoL RIR" share is here deducted to account for the share of primary production, considering the global Fe EoL RIR. </t>
  </si>
  <si>
    <t>Eq. 3.1.1</t>
  </si>
  <si>
    <t xml:space="preserve">The market share here accounts for:
- the "processing country" share associated with China; 
- the "waste stream" share, corresponding to the European share of Fe specifically recycled from C&amp;D wastes;
- the "EoL RIR" share, considering the global Fe EoL RIR. </t>
  </si>
  <si>
    <t>Eq. 3.4</t>
  </si>
  <si>
    <t xml:space="preserve">The market share here accounts for:
- the "processing country" share associated with China; 
- the "waste stream" share, corresponding to the European share of Fe specifically recycled from ELV wastes;
- the "EoL RIR" share, considering the global Fe EoL RIR. </t>
  </si>
  <si>
    <t xml:space="preserve">The market share here accounts for:
- the "processing country" share associated with India, assuming that this process chain is representative of Indian process chains. 
The "EoL RIR" share is here deducted to account for the share of primary production, considering the global Fe EoL RIR. </t>
  </si>
  <si>
    <t xml:space="preserve">The market share here accounts for:
- the "processing country" share associated with Russia, assuming that this process chain is representative of Russian process chains. 
The "EoL RIR" share is here deducted to account for the share of primary production, considering the global Fe EoL RIR. </t>
  </si>
  <si>
    <t xml:space="preserve">The market share here accounts for:
- the "processing country" share associated with Korea, assuming that this process chain is representative of Korean process chains. 
The "EoL RIR" share is here deducted to account for the share of primary production, considering the global Fe EoL RIR. </t>
  </si>
  <si>
    <t xml:space="preserve">The market share here accounts for:
- the "processing country" share associated with Germany, assuming that this process chain is representative of German process chains. 
The "EoL RIR" share is here deducted to account for the share of primary production, considering the global Fe EoL RIR. </t>
  </si>
  <si>
    <t xml:space="preserve">The market share here accounts for:
- the "processing country" share associated with Turkey, assuming that this process chain is representative of Turkish process chains.
The "EoL RIR" share is here deducted to account for the share of primary production, considering the global Fe EoL RIR.  </t>
  </si>
  <si>
    <t xml:space="preserve">The market share here accounts for:
- the "processing country" share associated with Brazil, assuming that this process chain is representative of Brazilian process chains. 
The "EoL RIR" share is here deducted to account for the share of primary production, considering the global Fe EoL RIR. </t>
  </si>
  <si>
    <t xml:space="preserve">The market share here accounts for:
- the "processing country" share associated with Italy, assuming that this process chain is representative of Italian process chains. 
The "EoL RIR" share is here deducted to account for the share of primary production, considering the global Fe EoL RIR. </t>
  </si>
  <si>
    <t>Estimated global market coverage for Fe</t>
  </si>
  <si>
    <t>The market share here accounts for:
- the "processing country" share at global level; 
- the "geological" share at global level, which takes into account the share of secondary production;
- the "commodity" share at global level.</t>
  </si>
  <si>
    <t xml:space="preserve">The market share here accounts for:
- the "processing country" share associated with China; 
- the "site-specific" share associated with the different Chinese production sites here distinguished;
- the "commodity" share, considering the global distribution of Co commodities.
The "EoL RIR" share is here deducted to account for the share of primary production, considering the global Co EoL RIR. </t>
  </si>
  <si>
    <t xml:space="preserve">The market share here accounts for:
- the "processing country" share associated with Europe; 
- the "waste stream" share, corresponding to the global share of Co specifically recycled from hardmetal scraps;
- the "EoL RIR" share, considering the global Co EoL RIR. 
No commodity differentiation is considered in the case of recycling, assuming a more limited number of output products than in the case of primary production. </t>
  </si>
  <si>
    <t xml:space="preserve">The market share here accounts for:
- the "processing country" share associated with Australia; 
- the "process" share corresponding to the global distribution of Ni process chains;
- the "commodity" share, considering the global distribution of Co commodities.
The "EoL RIR" share is here deducted to account for the share of primary production, considering the global Co EoL RIR. </t>
  </si>
  <si>
    <t xml:space="preserve">The market share here accounts for:
- the "processing country" share associated with Indonesia; 
- the "commodity" share, considering the global distribution of Ni commodities.
The "EoL RIR" share is here deducted to account for the share of primary production, considering the global Ni EoL RIR. </t>
  </si>
  <si>
    <t xml:space="preserve">The market share here accounts for:
- the "processing country" share associated with China; 
- the "commodity" share, considering the global distribution of Ni commodities;
- the "process" share, considering the distribution of both GFEM and LEM technologies in China.
The "EoL RIR" share is here deducted to account for the share of primary production, considering the global Ni EoL RIR. </t>
  </si>
  <si>
    <t xml:space="preserve">The market share here accounts for:
- the "processing country" share associated with China, assuming that this process chain is representative of Chinese recycling chains; 
- the "EoL RIR" share, considering the global Ni EoL RIR. 
No commodity differentiation is considered in the case of recycling, assuming a more limited number of output products than in the case of primary production. </t>
  </si>
  <si>
    <t xml:space="preserve">The market share here accounts for:
- the "processing country" share associated with China; 
- the "commodity" share, considering the global distribution of Ni commodities;
The "EoL RIR" share is here deducted to account for the share of primary production, considering the global Ni EoL RIR. </t>
  </si>
  <si>
    <t>The market share here accounts for:
- the "processing country" share at global level; 
- the "commodity" share, considering the global distribution of Ni commodities.</t>
  </si>
  <si>
    <t xml:space="preserve">The market share here accounts for:
- the "processing country" share associated with Australia; 
- the "commodity" share, considering the global distribution of Ni commodities;
- the "geological" share, considering the global distribution of Ni deposit types for Ni class 1 production.
The "EoL RIR" share is here deducted to account for the share of primary production, considering the global Ni EoL RIR. </t>
  </si>
  <si>
    <t xml:space="preserve">The market share here accounts for:
- the "processing country" share associated with Australia; 
- the "commodity" share, considering the global distribution of Ni commodities;
The "EoL RIR" share is here deducted to account for the share of primary production, considering the global Ni EoL RIR. </t>
  </si>
  <si>
    <t>The market share here accounts for:
- the "processing country" share associated with Australia; 
- the "geological" share, considering the global distribution of Ni laterite deposits.
The "EoL RIR" share is here deducted to account for the share of primary production, considering the global Ni EoL RIR. 
No commodity differentiation is considered in this case, assuming a lower number of output products in this country given its relatively limited market share.</t>
  </si>
  <si>
    <t xml:space="preserve">The market share here accounts for:
- the "processing country" share associated with China, assuming that this process chain is representative of Chinese process chains. 
The "EoL RIR" share is here deducted to account for the share of primary production, considering the global Cu EoL RIR. </t>
  </si>
  <si>
    <t xml:space="preserve">The market share here accounts for:
- the "processing country" share associated with China; 
- the "waste stream" share, based on European data for Cu EoL RIR;
- the "EoL RIR" share, considering the global Cu EoL RIR. </t>
  </si>
  <si>
    <t xml:space="preserve">The market share here accounts for:
- the "processing country" share associated with China; 
- the "waste stream" share, corresponding to the European share of Cu specifically recycled from C&amp;D wastes;
- the "EoL RIR" share, considering the global Cu EoL RIR. </t>
  </si>
  <si>
    <t xml:space="preserve">The market share here accounts for:
- the "processing country" share associated with China; 
- the "waste stream" share, corresponding to the European share of Cu specifically recycled from ELV wastes;
- the "EoL RIR" share, considering the global Cu EoL RIR. </t>
  </si>
  <si>
    <t xml:space="preserve">The market share here accounts for:
- the "processing country" share associated with China; 
- the "waste stream" share, corresponding to the European share of Cu specifically recycled from WEEE;
- the "EoL RIR" share, considering the global Cu EoL RIR. </t>
  </si>
  <si>
    <t>The market share here accounts for:
- the "processing country" share associated with Chile; 
- the "process" share, considering the specific distribution of hydro and pyrometallurgy in Chile.</t>
  </si>
  <si>
    <t xml:space="preserve">The market share here accounts for:
- the "processing country" share associated with Europe; 
- the "waste stream" share, corresponding to the European share of Cu specifically recycled from WEEE;
- the "EoL RIR" share, considering the global Cu EoL RIR. </t>
  </si>
  <si>
    <t xml:space="preserve">The market share here accounts for:
- the "processing country" share associated with the US; 
- the "process" share, considering the specific distribution of hydro and pyrometallurgy in the US.
The "EoL RIR" share is here deducted to account for the share of primary production, considering the specific Cu EoL RIR in the US. </t>
  </si>
  <si>
    <t xml:space="preserve">The market share here accounts for:
- the "processing country" share associated with DRC, assuming that this process chain is representative of process chains in DRC. </t>
  </si>
  <si>
    <t xml:space="preserve">The market share here accounts for:
- the "processing country" share associated with Poland; 
- the "process" share, considering the specific distribution of technologies in the production site.
The "EoL RIR" share is here deducted to account for the share of primary production, considering the global Cu EoL RIR. </t>
  </si>
  <si>
    <t>The market share here accounts for:
- the "processing country" share associated with Zambia; 
- the "process" share, considering the specific distribution of technologies in the production site.</t>
  </si>
  <si>
    <t>The market share here accounts for:
- the "processing country" share associated with Australia; 
- the "process" share, considering the specific share of pyrometallurgy in Australia (considering that the Cu ore goes through pyrometallurgy).</t>
  </si>
  <si>
    <t xml:space="preserve">The market share here accounts for:
- the "processing country" share associated with Sweden, assuming that this process chain is representative of Swedish process chains. 
The "EoL RIR" share is here deducted to account for the share of primary production, considering the global Cu EoL RIR. </t>
  </si>
  <si>
    <t xml:space="preserve">The market share here accounts for:
- the "processing country" share associated with Iran; 
- the "process" share, considering the specific distribution of hydro and pyrometallurgy in Iran.
The "EoL RIR" share is here deducted to account for the share of primary production, considering the global Cu EoL RIR. </t>
  </si>
  <si>
    <t>Estimated global market coverage for Cu</t>
  </si>
  <si>
    <t xml:space="preserve">The market share here accounts for:
- the "processing country" share associated with China; 
- the "provincial" share associated with the different Chinese provinces here distinguished. 
The "EoL RIR" share is here deducted to account for the share of primary production, considering the global Zn EoL RIR. </t>
  </si>
  <si>
    <t xml:space="preserve">The market share here accounts for:
- the "processing area" share associated with this area, assuming that this process chain is representative of process chains in the area. 
The "EoL RIR" share is here deducted to account for the share of primary production, considering the global Zn EoL RIR. </t>
  </si>
  <si>
    <t>The market share here accounts for:
- the "processing country" share associated with Sweden; 
- the "commodity" share, considering the global distribution of Zn commodities.</t>
  </si>
  <si>
    <t>Estimated global market coverage for Zn</t>
  </si>
  <si>
    <t xml:space="preserve">The market share here accounts for:
- the "processing area" share associated with this area, assuming that this process chain is representative of process chains in the area. 
The "EoL RIR" share is here deducted to account for the share of primary production, considering the global Ge EoL RIR. </t>
  </si>
  <si>
    <t>Estimated global market coverage for Ge</t>
  </si>
  <si>
    <t>The market share here accounts for:
- the "geological" share, considering the global share of As associated with Cu production.
It is assumed that this process chain is representative of global process chains for this commodity.</t>
  </si>
  <si>
    <t>Estimated global market coverage for As</t>
  </si>
  <si>
    <t xml:space="preserve">The market share here accounts for:
- the "processing country" share associated with China; 
- the "geological" share, considering the global share of Se associated with Cu production.
The "EoL RIR" share is here deducted to account for the share of primary production, considering the global Se EoL RIR. </t>
  </si>
  <si>
    <t xml:space="preserve">The market share here accounts for:
- the "processing country" share associated with the US; 
- the "geological" share, considering the global share of Se associated with Cu production.
The "EoL RIR" share is here deducted to account for the share of primary production, considering the global Se EoL RIR. </t>
  </si>
  <si>
    <t xml:space="preserve">The market share here accounts for:
- the "processing country" share associated with Sweden; 
- the "geological" share, considering the global share of Se associated with Cu production.
The "EoL RIR" share is here deducted to account for the share of primary production, considering the global Se EoL RIR. </t>
  </si>
  <si>
    <t>Estimated global market coverage for Se</t>
  </si>
  <si>
    <t>The market share here accounts for:
- the "commodity" share, considering the global distribution of Sr commodities.
It is assumed that this process chain is representative of global process chains for this commodity.</t>
  </si>
  <si>
    <t>Estimated global market coverage for Sr</t>
  </si>
  <si>
    <t xml:space="preserve">The market share here accounts for:
- the "processing area" share associated with this area, assuming that this process chain is representative of process chains in the area. </t>
  </si>
  <si>
    <t>Estimated global market coverage for Zr</t>
  </si>
  <si>
    <t xml:space="preserve">The market share here accounts for:
- the "processing country" share associated with Brazil, assuming that this process chain is representative of process chains in this country; 
- the "commodity" share, considering the global distribution of Nb commodities;
The "EoL RIR" share is here deducted to account for the share of primary production, considering the global Nb EoL RIR. </t>
  </si>
  <si>
    <t>Estimated global market coverage for Nb</t>
  </si>
  <si>
    <t xml:space="preserve">The market share here accounts for:
- the "processing country" share associated with China; 
- the "commodity" share, considering the global distribution of Mo commodities;
- the "geological" share, considering the global share of Mo associated with Cu production.
The "EoL RIR" share is here deducted to account for the share of primary production, considering the global Mo EoL RIR. </t>
  </si>
  <si>
    <t>Estimated global market coverage for Mo</t>
  </si>
  <si>
    <t xml:space="preserve">The market share here accounts for:
- the "processing area" share associated with this area, assuming that this process chain is representative of process chains in the area. 
The "EoL RIR" share is here deducted to account for the share of primary production, considering the global Ag EoL RIR. </t>
  </si>
  <si>
    <t xml:space="preserve">The market share here accounts for:
- the "processing country" share associated with China, assuming that this process chain is representative of process chains in this country. 
The "EoL RIR" share is here deducted to account for the share of primary production, considering the global Ag EoL RIR. </t>
  </si>
  <si>
    <t xml:space="preserve">The market share here accounts for:
- the "processing country" share associated with Australia, assuming that this process chain is representative of process chains in this country. 
The "EoL RIR" share is here deducted to account for the share of primary production, considering the global Ag EoL RIR. </t>
  </si>
  <si>
    <t xml:space="preserve">The market share here accounts for:
- the "processing country" share associated with Sweden, assuming that this process chain is representative of process chains in this country. 
The "EoL RIR" share is here deducted to account for the share of primary production, considering the global Ag EoL RIR. </t>
  </si>
  <si>
    <t>Estimated global market coverage for Ag</t>
  </si>
  <si>
    <t xml:space="preserve">The market share here accounts for:
- the "processing country" share associated with China, assuming that this process chain is representative of process chains in this country. </t>
  </si>
  <si>
    <t xml:space="preserve">The market share here accounts for:
- the "processing country" share associated with Canada, assuming that this process chain is representative of process chains in this country. </t>
  </si>
  <si>
    <t>Estimated global market coverage for Cd</t>
  </si>
  <si>
    <t>The market share here accounts for:
- the "processing country" share associated with China, assuming that this process chain is representative of process chains in this country; 
- the "geological" share, considering the global share of In associated with Zn production.</t>
  </si>
  <si>
    <t xml:space="preserve">The market share here accounts for:
- the "processing area" share associated with this area; 
- the "site-specific" share, considering the Canadian distribution between Kidd Creek and the rest of Canada. </t>
  </si>
  <si>
    <t xml:space="preserve">The market share here accounts for:
- the "processing country" share associated with Canada; 
- the "site-specific" share, considering the Canadian distribution between Kidd Creek and the rest of Canada. </t>
  </si>
  <si>
    <t>Estimated global market coverage for In</t>
  </si>
  <si>
    <t xml:space="preserve">The market share here accounts for:
- the "processing country" share associated with China, assuming that this process chain is representative of process chains in this country; 
- the "geological" share, considering the global share of Sb production as main product.
The "EoL RIR" share is here deducted to account for the share of primary production, considering the global Sb EoL RIR. </t>
  </si>
  <si>
    <t>Estimated global market coverage for Sb</t>
  </si>
  <si>
    <t>The market share here accounts for:
- the "processing country" share associated with China, assuming that this process chain is representative of process chains in this country; 
- the "geological" share, considering the global share of Te production associated with Cu.</t>
  </si>
  <si>
    <t>Estimated global market coverage for Te</t>
  </si>
  <si>
    <t xml:space="preserve">The market share here accounts for:
- the "processing country" share associated with China; 
- the "commodity" share, considering the global distribution of W commodities.
The "EoL RIR" share is here deducted to account for the share of primary production, considering the global W EoL RIR. </t>
  </si>
  <si>
    <t xml:space="preserve">The market share here accounts for:
- the "processing country" share associated with Europe; 
- the "commodity" share, considering the global distribution of W commodities.
The "EoL RIR" share is here deducted to account for the share of primary production, considering the global W EoL RIR. </t>
  </si>
  <si>
    <t xml:space="preserve">The market share here accounts for:
- the "processing country" share associated with the US; 
- the "commodity" share, considering the global distribution of W commodities.
The "EoL RIR" share is here deducted to account for the share of primary production, considering the global W EoL RIR. </t>
  </si>
  <si>
    <t>Estimated global market coverage for W</t>
  </si>
  <si>
    <t xml:space="preserve">The market share here accounts for:
- the "processing country" share associated with China, assuming that this process chain is representative of process chains in this country; 
- the "geological" share, considering the global share of Au production as main product.
The "EoL RIR" share is here deducted to account for the share of primary production, considering the global Au EoL RIR. </t>
  </si>
  <si>
    <t xml:space="preserve">The market share here accounts for:
- the "processing country" share associated with China; 
- the "geological" share, considering the global share of Au production associated with Cu.
The "EoL RIR" share is here deducted to account for the share of primary production, considering the global Au EoL RIR. </t>
  </si>
  <si>
    <t xml:space="preserve">The market share here accounts for:
- the "processing country" share associated with Europe; 
- the "waste stream" share, corresponding to the global share of Au specifically recycled from WEEE;
- the "EoL RIR" share, considering the global Au EoL RIR. </t>
  </si>
  <si>
    <t xml:space="preserve">The market share here accounts for:
- the "processing country" share associated with Australia, assuming that this process chain is representative of process chains in this country. 
The "EoL RIR" share is here deducted to account for the share of primary production, considering the global Au EoL RIR. </t>
  </si>
  <si>
    <t xml:space="preserve">The market share here accounts for:
- the "processing country" share associated with South Africa, assuming that this process chain is representative of process chains in this country. 
The "EoL RIR" share is here deducted to account for the share of primary production, considering the global Au EoL RIR. </t>
  </si>
  <si>
    <t xml:space="preserve">The market share here accounts for:
- the "processing country" share associated with Peru; 
- the "geological" share, considering the specific share of Au production from ores in Peru.
The "EoL RIR" share is here deducted to account for the share of primary production, considering the global Au EoL RIR. </t>
  </si>
  <si>
    <t xml:space="preserve">The market share here accounts for:
- the "processing country" share associated with Peru; 
- the "geological" share, considering the specific share of Au production from alluvial deposits in Peru;
- the "process" share, considering the specific share of Au production from the specific process. 
The "EoL RIR" share is here deducted to account for the share of primary production, considering the global Au EoL RIR. </t>
  </si>
  <si>
    <t>Combination of Eq. 3.2 and 3.3</t>
  </si>
  <si>
    <t xml:space="preserve">The market share here accounts for:
- the "processing country" share associated with Colombia; 
- the "geological" share, considering the specific share of Au production from ores in Colombia.
The "EoL RIR" share is here deducted to account for the share of primary production, considering the global Au EoL RIR. </t>
  </si>
  <si>
    <t xml:space="preserve">The market share here accounts for:
- the "processing country" share associated with Colombia; 
- the "geological" share, considering the specific share of Au production from alluvial deposits in Colombia.
The "EoL RIR" share is here deducted to account for the share of primary production, considering the global Au EoL RIR. </t>
  </si>
  <si>
    <t>Estimated global market coverage for Au</t>
  </si>
  <si>
    <t>The market share here accounts for:
- the "geological" share, considering the global share of Tl associated with Zn production.
It is assumed that this process chain is representative of global process chains for this commodity.</t>
  </si>
  <si>
    <t>Estimated global market coverage for Tl</t>
  </si>
  <si>
    <t xml:space="preserve">The market share here accounts for:
- the "processing country" share associated with China; 
- the "provincial" share associated with the different Chinese provinces here distinguished. 
The "EoL RIR" share is here deducted to account for the share of primary production, considering the global Pb EoL RIR. </t>
  </si>
  <si>
    <t xml:space="preserve">The market share here accounts for:
- the "processing country" share associated with China, assuming that this process chain is representative of Chinese EoL RIR chains; 
- the "EoL RIR" share, considering the global Pb EoL RIR. </t>
  </si>
  <si>
    <t xml:space="preserve">The market share here accounts for:
- the "processing area" share associated with this area, assuming that this process chain is representative of process chains in the area. 
The "EoL RIR" share is here deducted to account for the share of primary production, considering the global Pb EoL RIR. </t>
  </si>
  <si>
    <t xml:space="preserve">The market share here accounts for:
- the "processing country" share associated with Sweden; 
- the "geological" share, considering the global share of Pb production associated with Cu.
The "EoL RIR" share is here deducted to account for the share of primary production, considering the global Pb EoL RIR. </t>
  </si>
  <si>
    <t>Estimated global market coverage for Pb</t>
  </si>
  <si>
    <t xml:space="preserve">The market share here accounts for:
- the "processing area" share associated with this area; 
- the "geological" share, considering the global share of Bi production associated with Pb.
The "EoL RIR" share is here deducted to account for the share of primary production, considering the global Bi EoL RIR. </t>
  </si>
  <si>
    <t>Estimated global market coverage for Bi</t>
  </si>
  <si>
    <t xml:space="preserve">The market share here accounts for:
- the "processing area" share associated with this area, assuming that this process chain is representative of process chains in the area. 
The "EoL RIR" share is here deducted to account for the share of primary production, considering the global PGM EoL RIR. </t>
  </si>
  <si>
    <t xml:space="preserve">The market share here accounts for:
- the "processing area" share associated with this area, assuming that this process chain is representative of process chains in the area. 
- the "EoL RIR" share, considering the global PGM EoL RIR. </t>
  </si>
  <si>
    <t>Estimated global market coverage for PGM</t>
  </si>
  <si>
    <t xml:space="preserve">The market share here accounts for:
- the "processing country" share associated with China; 
- the "site-specific" share associated with the different Chinese production sites here distinguished.
The "EoL RIR" share is here deducted to account for the share of primary production, considering the global RE EoL RIR. </t>
  </si>
  <si>
    <t xml:space="preserve">The market share here accounts for:
- the "processing country" share associated with the US, assuming that this process chain is representative of process chains in this country. 
The "EoL RIR" share is here deducted to account for the share of primary production, considering the global RE EoL RIR. </t>
  </si>
  <si>
    <t xml:space="preserve">The market share here accounts for:
- the "processing country" share associated with Malaysia, assuming that this process chain is representative of process chains in this country. 
The "EoL RIR" share is here deducted to account for the share of primary production, considering the global RE EoL RIR. </t>
  </si>
  <si>
    <t>Estimated global market coverage for RE</t>
  </si>
  <si>
    <t>Commodity/element</t>
  </si>
  <si>
    <t>Global primary production coverage</t>
  </si>
  <si>
    <t>Global secondary production coverage</t>
  </si>
  <si>
    <t>EoL RIR</t>
  </si>
  <si>
    <t>Global market coverage</t>
  </si>
  <si>
    <t>Li2CO3</t>
  </si>
  <si>
    <t>LiOH.H2O</t>
  </si>
  <si>
    <t>Li</t>
  </si>
  <si>
    <t>Be</t>
  </si>
  <si>
    <t>Boric acid</t>
  </si>
  <si>
    <t>Borax</t>
  </si>
  <si>
    <t>B</t>
  </si>
  <si>
    <t>Graphite</t>
  </si>
  <si>
    <t>Mg</t>
  </si>
  <si>
    <t>Al</t>
  </si>
  <si>
    <t>Si metal</t>
  </si>
  <si>
    <t>Ti</t>
  </si>
  <si>
    <t>V</t>
  </si>
  <si>
    <t>FeCr</t>
  </si>
  <si>
    <t>Cr</t>
  </si>
  <si>
    <t>FeMn</t>
  </si>
  <si>
    <t>SiMn</t>
  </si>
  <si>
    <t>Mn</t>
  </si>
  <si>
    <t>Fe</t>
  </si>
  <si>
    <t>CoSO4</t>
  </si>
  <si>
    <t>Co3O4</t>
  </si>
  <si>
    <t>Co(OH)2</t>
  </si>
  <si>
    <t>Co</t>
  </si>
  <si>
    <t>Ni class 1</t>
  </si>
  <si>
    <t>NPI</t>
  </si>
  <si>
    <t>FeNi</t>
  </si>
  <si>
    <t>NiSO4</t>
  </si>
  <si>
    <t>NiO</t>
  </si>
  <si>
    <t>Ni</t>
  </si>
  <si>
    <t>Cu</t>
  </si>
  <si>
    <t>ZnO2</t>
  </si>
  <si>
    <t>Zn</t>
  </si>
  <si>
    <t>Ge</t>
  </si>
  <si>
    <t>As</t>
  </si>
  <si>
    <t>Se</t>
  </si>
  <si>
    <t>Sr</t>
  </si>
  <si>
    <t>Zr</t>
  </si>
  <si>
    <t>FeNb</t>
  </si>
  <si>
    <t>Nb2O5</t>
  </si>
  <si>
    <t>Nb</t>
  </si>
  <si>
    <t>Mo</t>
  </si>
  <si>
    <t>Ag</t>
  </si>
  <si>
    <t>Cd</t>
  </si>
  <si>
    <t>In</t>
  </si>
  <si>
    <t>Sb</t>
  </si>
  <si>
    <t>Te</t>
  </si>
  <si>
    <t>WC</t>
  </si>
  <si>
    <t>APT</t>
  </si>
  <si>
    <t>W</t>
  </si>
  <si>
    <t>Au</t>
  </si>
  <si>
    <t>Tl</t>
  </si>
  <si>
    <t>Pb</t>
  </si>
  <si>
    <t>Bi</t>
  </si>
  <si>
    <t>PGM</t>
  </si>
  <si>
    <t>RE</t>
  </si>
  <si>
    <t xml:space="preserve">The market share here accounts for:
- the "processing country" share associated with Europe; 
- the "process" share, corresponding to the global share of W specifically recycled from this type of process;
- the "EoL RIR" share, considering the global W EoL RIR. 
No commodity differentiation is considered in the case of recycling, assuming a more limited number of output products than in the case of primary production. </t>
  </si>
  <si>
    <t>Greenbushes</t>
  </si>
  <si>
    <t>Heilongjiang</t>
  </si>
  <si>
    <t>Mapochs Mine</t>
  </si>
  <si>
    <t>Xinjiang</t>
  </si>
  <si>
    <t>Aitik</t>
  </si>
  <si>
    <t>Guangdong</t>
  </si>
  <si>
    <t>Mt. Weld</t>
  </si>
  <si>
    <t>Specific site distribution in China, calculated based on S&amp;P (2023) data</t>
  </si>
  <si>
    <t>Specific site distribution in China, calculated based on S&amp;P (2023) &amp; Company (Tianqi Lithium) data</t>
  </si>
  <si>
    <t>Specific site distribution in Argentina, calculated based on S&amp;P (2023) data</t>
  </si>
  <si>
    <t>Specific site distribution in China, calculated based on Dai et al. (2018) data</t>
  </si>
  <si>
    <t>Specific site distribution in Canada, calculated based on Canadian production data from Teck Resources</t>
  </si>
  <si>
    <t>Specific site distribution in China, based on data from the Rare Earths factsheet (SCRREEN, 2023d)</t>
  </si>
  <si>
    <t>Specific site distribution in China, calculated based on data from the Rare Earths factsheet (SCRREEN, 2023d)</t>
  </si>
  <si>
    <t>Specific province distribution in China, estimated based on data from He et al. (2020)</t>
  </si>
  <si>
    <t>Specific province distribution in China, assumed based on data from He et al. (2020) and Ma et al. (2018)</t>
  </si>
  <si>
    <t>Specific province distribution in China, assumed based on data from Ma et al. (2018)</t>
  </si>
  <si>
    <t>Specific province distribution in China, calculated based on data from Qi et al. (2017)</t>
  </si>
  <si>
    <t>Specific province distribution in China, calculated based on data from Liu et al. (2022)</t>
  </si>
  <si>
    <t>Specific province distribution in China, calculated based on data from Jia et al. (2022)</t>
  </si>
  <si>
    <t>Specific province distribution in China, estimated from Jia et al. (2022)</t>
  </si>
  <si>
    <t>Specific geological distribution in Turkey, calculated based on data from Turkbay et al. (2022)</t>
  </si>
  <si>
    <t>Global distribution of graphite sources, based on BRGM estimates</t>
  </si>
  <si>
    <t>Specific share of Fe EoL recycling from this waste stream, calculated based on data from Passarini et al. (2018)</t>
  </si>
  <si>
    <t>Global share of Co produced from Cu, based on data from Cobalt Institute (2023a)</t>
  </si>
  <si>
    <t>Global share of Co EoL recycling from this waste stream, calculated based on data from Godoy León et al. (2022)</t>
  </si>
  <si>
    <t>Global share of Ni Class 1 from this deposit, based on BRGM estimates</t>
  </si>
  <si>
    <t>Global share of Ni from laterites, based on BRGM estimates</t>
  </si>
  <si>
    <t>Specific share of Cu EoL recycling from this waste stream, calculated based on data from Passarini et al. (2018)</t>
  </si>
  <si>
    <t>Global share of As produced from Cu, assumed based on data from Nassar et al. (2015)</t>
  </si>
  <si>
    <t>Global share of Se produced from Cu, based on data from Nassar et al. (2015)</t>
  </si>
  <si>
    <t>Global share of Mo produced as main product, based on data from BRGM (2020)</t>
  </si>
  <si>
    <t>Global share of In produced from Zn, based on data from BRGM (2017)</t>
  </si>
  <si>
    <t>Global share of Sb produced as main product, based on data from Nassar et al. (2015)</t>
  </si>
  <si>
    <t>Global share of Mo produced from Cu, based on data from BRGM (2020)</t>
  </si>
  <si>
    <t>Global share of Te produced from Cu, based on data from BRGM (2020)</t>
  </si>
  <si>
    <t>Share of global Au prod as main metal, based on data from Nassar et al. (2015)</t>
  </si>
  <si>
    <t>Share of global Au prod from Cu, based on data from Nassar et al. (2015)</t>
  </si>
  <si>
    <t>Global share of Tl produced from Zn, estimated based on Nassar et al. (2015) data</t>
  </si>
  <si>
    <t>Global share of Pb produced from Cu, estimated based on Nassar et al. (2015) data</t>
  </si>
  <si>
    <t>ZnO2 recovery from Cu ore mining in Sweden/Aitik and Cu production in Sweden/Rönnskärsverken</t>
  </si>
  <si>
    <r>
      <rPr>
        <b/>
        <sz val="14"/>
        <color theme="1"/>
        <rFont val="Calibri"/>
        <family val="2"/>
      </rPr>
      <t xml:space="preserve">Life cycle inventories of global metal and mineral supply chains: a comprehensive data review, analysis and processing </t>
    </r>
    <r>
      <rPr>
        <b/>
        <sz val="16"/>
        <color theme="1"/>
        <rFont val="Calibri"/>
        <family val="2"/>
      </rPr>
      <t xml:space="preserve">
</t>
    </r>
    <r>
      <rPr>
        <sz val="11"/>
        <color theme="1"/>
        <rFont val="Calibri"/>
        <family val="2"/>
      </rPr>
      <t xml:space="preserve">
Frédéric Lai</t>
    </r>
    <r>
      <rPr>
        <vertAlign val="superscript"/>
        <sz val="11"/>
        <color theme="1"/>
        <rFont val="Calibri"/>
        <family val="2"/>
      </rPr>
      <t>a*</t>
    </r>
    <r>
      <rPr>
        <sz val="11"/>
        <color theme="1"/>
        <rFont val="Calibri"/>
        <family val="2"/>
      </rPr>
      <t>, Stéphanie Muller</t>
    </r>
    <r>
      <rPr>
        <vertAlign val="superscript"/>
        <sz val="11"/>
        <color theme="1"/>
        <rFont val="Calibri"/>
        <family val="2"/>
      </rPr>
      <t>a</t>
    </r>
    <r>
      <rPr>
        <sz val="11"/>
        <color theme="1"/>
        <rFont val="Calibri"/>
        <family val="2"/>
      </rPr>
      <t>, Audrey Philippe</t>
    </r>
    <r>
      <rPr>
        <vertAlign val="superscript"/>
        <sz val="11"/>
        <color theme="1"/>
        <rFont val="Calibri"/>
        <family val="2"/>
      </rPr>
      <t>a</t>
    </r>
    <r>
      <rPr>
        <sz val="11"/>
        <color theme="1"/>
        <rFont val="Calibri"/>
        <family val="2"/>
      </rPr>
      <t>, Robert Istrate</t>
    </r>
    <r>
      <rPr>
        <vertAlign val="superscript"/>
        <sz val="11"/>
        <color theme="1"/>
        <rFont val="Calibri"/>
        <family val="2"/>
      </rPr>
      <t>b</t>
    </r>
    <r>
      <rPr>
        <sz val="11"/>
        <color theme="1"/>
        <rFont val="Calibri"/>
        <family val="2"/>
      </rPr>
      <t>, Brenda Miranda Xicotencatl</t>
    </r>
    <r>
      <rPr>
        <vertAlign val="superscript"/>
        <sz val="11"/>
        <color theme="1"/>
        <rFont val="Calibri"/>
        <family val="2"/>
      </rPr>
      <t>b</t>
    </r>
    <r>
      <rPr>
        <sz val="11"/>
        <color theme="1"/>
        <rFont val="Calibri"/>
        <family val="2"/>
      </rPr>
      <t>, Afsoon Mansouri Aski</t>
    </r>
    <r>
      <rPr>
        <vertAlign val="superscript"/>
        <sz val="11"/>
        <color theme="1"/>
        <rFont val="Calibri"/>
        <family val="2"/>
      </rPr>
      <t>c</t>
    </r>
    <r>
      <rPr>
        <sz val="11"/>
        <color theme="1"/>
        <rFont val="Calibri"/>
        <family val="2"/>
      </rPr>
      <t>, Aina Mas Fons</t>
    </r>
    <r>
      <rPr>
        <vertAlign val="superscript"/>
        <sz val="11"/>
        <color theme="1"/>
        <rFont val="Calibri"/>
        <family val="2"/>
      </rPr>
      <t>d,a</t>
    </r>
    <r>
      <rPr>
        <sz val="11"/>
        <color theme="1"/>
        <rFont val="Calibri"/>
        <family val="2"/>
      </rPr>
      <t>, Juliana Segura-Salazar</t>
    </r>
    <r>
      <rPr>
        <vertAlign val="superscript"/>
        <sz val="11"/>
        <color theme="1"/>
        <rFont val="Calibri"/>
        <family val="2"/>
      </rPr>
      <t>e</t>
    </r>
    <r>
      <rPr>
        <sz val="11"/>
        <color theme="1"/>
        <rFont val="Calibri"/>
        <family val="2"/>
      </rPr>
      <t>, Jair Santillán Saldivar</t>
    </r>
    <r>
      <rPr>
        <vertAlign val="superscript"/>
        <sz val="11"/>
        <color theme="1"/>
        <rFont val="Calibri"/>
        <family val="2"/>
      </rPr>
      <t>a</t>
    </r>
    <r>
      <rPr>
        <sz val="11"/>
        <color theme="1"/>
        <rFont val="Calibri"/>
        <family val="2"/>
      </rPr>
      <t>, Alexander Cimprich</t>
    </r>
    <r>
      <rPr>
        <vertAlign val="superscript"/>
        <sz val="11"/>
        <color theme="1"/>
        <rFont val="Calibri"/>
        <family val="2"/>
      </rPr>
      <t>f</t>
    </r>
    <r>
      <rPr>
        <sz val="11"/>
        <color theme="1"/>
        <rFont val="Calibri"/>
        <family val="2"/>
      </rPr>
      <t>, Stephen Northey</t>
    </r>
    <r>
      <rPr>
        <vertAlign val="superscript"/>
        <sz val="11"/>
        <color theme="1"/>
        <rFont val="Calibri"/>
        <family val="2"/>
      </rPr>
      <t>g</t>
    </r>
    <r>
      <rPr>
        <sz val="11"/>
        <color theme="1"/>
        <rFont val="Calibri"/>
        <family val="2"/>
      </rPr>
      <t>, Lígia da Silva Lima</t>
    </r>
    <r>
      <rPr>
        <vertAlign val="superscript"/>
        <sz val="11"/>
        <color theme="1"/>
        <rFont val="Calibri"/>
        <family val="2"/>
      </rPr>
      <t>h</t>
    </r>
    <r>
      <rPr>
        <sz val="11"/>
        <color theme="1"/>
        <rFont val="Calibri"/>
        <family val="2"/>
      </rPr>
      <t>, Lieselot Boone</t>
    </r>
    <r>
      <rPr>
        <vertAlign val="superscript"/>
        <sz val="11"/>
        <color theme="1"/>
        <rFont val="Calibri"/>
        <family val="2"/>
      </rPr>
      <t>h</t>
    </r>
    <r>
      <rPr>
        <sz val="11"/>
        <color theme="1"/>
        <rFont val="Calibri"/>
        <family val="2"/>
      </rPr>
      <t>, Ryosuke Yokoi</t>
    </r>
    <r>
      <rPr>
        <vertAlign val="superscript"/>
        <sz val="11"/>
        <color theme="1"/>
        <rFont val="Calibri"/>
        <family val="2"/>
      </rPr>
      <t>i</t>
    </r>
    <r>
      <rPr>
        <sz val="11"/>
        <color theme="1"/>
        <rFont val="Calibri"/>
        <family val="2"/>
      </rPr>
      <t>, Kamrul Islam</t>
    </r>
    <r>
      <rPr>
        <vertAlign val="superscript"/>
        <sz val="11"/>
        <color theme="1"/>
        <rFont val="Calibri"/>
        <family val="2"/>
      </rPr>
      <t>i</t>
    </r>
    <r>
      <rPr>
        <sz val="11"/>
        <color theme="1"/>
        <rFont val="Calibri"/>
        <family val="2"/>
      </rPr>
      <t>, Ioanna Paschalidou</t>
    </r>
    <r>
      <rPr>
        <vertAlign val="superscript"/>
        <sz val="11"/>
        <color theme="1"/>
        <rFont val="Calibri"/>
        <family val="2"/>
      </rPr>
      <t>j</t>
    </r>
    <r>
      <rPr>
        <sz val="11"/>
        <color theme="1"/>
        <rFont val="Calibri"/>
        <family val="2"/>
      </rPr>
      <t>, Felipe Cerdas</t>
    </r>
    <r>
      <rPr>
        <vertAlign val="superscript"/>
        <sz val="11"/>
        <color theme="1"/>
        <rFont val="Calibri"/>
        <family val="2"/>
      </rPr>
      <t>k,l</t>
    </r>
    <r>
      <rPr>
        <sz val="11"/>
        <color theme="1"/>
        <rFont val="Calibri"/>
        <family val="2"/>
      </rPr>
      <t>, Victor Balboa-Espinoza</t>
    </r>
    <r>
      <rPr>
        <vertAlign val="superscript"/>
        <sz val="11"/>
        <color theme="1"/>
        <rFont val="Calibri"/>
        <family val="2"/>
      </rPr>
      <t>e</t>
    </r>
    <r>
      <rPr>
        <sz val="11"/>
        <color theme="1"/>
        <rFont val="Calibri"/>
        <family val="2"/>
      </rPr>
      <t>, Anish Koyamparambath</t>
    </r>
    <r>
      <rPr>
        <vertAlign val="superscript"/>
        <sz val="11"/>
        <color theme="1"/>
        <rFont val="Calibri"/>
        <family val="2"/>
      </rPr>
      <t>d</t>
    </r>
    <r>
      <rPr>
        <sz val="11"/>
        <color theme="1"/>
        <rFont val="Calibri"/>
        <family val="2"/>
      </rPr>
      <t>, Diae Hennioui</t>
    </r>
    <r>
      <rPr>
        <vertAlign val="superscript"/>
        <sz val="11"/>
        <color theme="1"/>
        <rFont val="Calibri"/>
        <family val="2"/>
      </rPr>
      <t>a</t>
    </r>
    <r>
      <rPr>
        <sz val="11"/>
        <color theme="1"/>
        <rFont val="Calibri"/>
        <family val="2"/>
      </rPr>
      <t>, Victoire Collignon</t>
    </r>
    <r>
      <rPr>
        <vertAlign val="superscript"/>
        <sz val="11"/>
        <color theme="1"/>
        <rFont val="Calibri"/>
        <family val="2"/>
      </rPr>
      <t>a</t>
    </r>
    <r>
      <rPr>
        <sz val="11"/>
        <color theme="1"/>
        <rFont val="Calibri"/>
        <family val="2"/>
      </rPr>
      <t>, Aurélien Reys</t>
    </r>
    <r>
      <rPr>
        <vertAlign val="superscript"/>
        <sz val="11"/>
        <color theme="1"/>
        <rFont val="Calibri"/>
        <family val="2"/>
      </rPr>
      <t>a</t>
    </r>
    <r>
      <rPr>
        <sz val="11"/>
        <color theme="1"/>
        <rFont val="Calibri"/>
        <family val="2"/>
      </rPr>
      <t>, Gyslain Ngadi Sakatadi</t>
    </r>
    <r>
      <rPr>
        <vertAlign val="superscript"/>
        <sz val="11"/>
        <color theme="1"/>
        <rFont val="Calibri"/>
        <family val="2"/>
      </rPr>
      <t>m</t>
    </r>
    <r>
      <rPr>
        <sz val="11"/>
        <color theme="1"/>
        <rFont val="Calibri"/>
        <family val="2"/>
      </rPr>
      <t>, Jo Dewulf</t>
    </r>
    <r>
      <rPr>
        <vertAlign val="superscript"/>
        <sz val="11"/>
        <color theme="1"/>
        <rFont val="Calibri"/>
        <family val="2"/>
      </rPr>
      <t>h</t>
    </r>
    <r>
      <rPr>
        <sz val="11"/>
        <color theme="1"/>
        <rFont val="Calibri"/>
        <family val="2"/>
      </rPr>
      <t>, Bernhard Steubing</t>
    </r>
    <r>
      <rPr>
        <vertAlign val="superscript"/>
        <sz val="11"/>
        <color theme="1"/>
        <rFont val="Calibri"/>
        <family val="2"/>
      </rPr>
      <t>b</t>
    </r>
    <r>
      <rPr>
        <sz val="11"/>
        <color theme="1"/>
        <rFont val="Calibri"/>
        <family val="2"/>
      </rPr>
      <t>, Christoph Helbig</t>
    </r>
    <r>
      <rPr>
        <vertAlign val="superscript"/>
        <sz val="11"/>
        <color theme="1"/>
        <rFont val="Calibri"/>
        <family val="2"/>
      </rPr>
      <t>c</t>
    </r>
    <r>
      <rPr>
        <sz val="11"/>
        <color theme="1"/>
        <rFont val="Calibri"/>
        <family val="2"/>
      </rPr>
      <t>, Gaétan Lefebvre</t>
    </r>
    <r>
      <rPr>
        <vertAlign val="superscript"/>
        <sz val="11"/>
        <color theme="1"/>
        <rFont val="Calibri"/>
        <family val="2"/>
      </rPr>
      <t>a</t>
    </r>
    <r>
      <rPr>
        <sz val="11"/>
        <color theme="1"/>
        <rFont val="Calibri"/>
        <family val="2"/>
      </rPr>
      <t>, Gian Andrea Blengini</t>
    </r>
    <r>
      <rPr>
        <vertAlign val="superscript"/>
        <sz val="11"/>
        <color theme="1"/>
        <rFont val="Calibri"/>
        <family val="2"/>
      </rPr>
      <t>n,m</t>
    </r>
    <r>
      <rPr>
        <sz val="11"/>
        <color theme="1"/>
        <rFont val="Calibri"/>
        <family val="2"/>
      </rPr>
      <t>, Valeria Superti</t>
    </r>
    <r>
      <rPr>
        <vertAlign val="superscript"/>
        <sz val="11"/>
        <color theme="1"/>
        <rFont val="Calibri"/>
        <family val="2"/>
      </rPr>
      <t>o</t>
    </r>
    <r>
      <rPr>
        <sz val="11"/>
        <color theme="1"/>
        <rFont val="Calibri"/>
        <family val="2"/>
      </rPr>
      <t>, Masaharu Motoshita</t>
    </r>
    <r>
      <rPr>
        <vertAlign val="superscript"/>
        <sz val="11"/>
        <color theme="1"/>
        <rFont val="Calibri"/>
        <family val="2"/>
      </rPr>
      <t>i</t>
    </r>
    <r>
      <rPr>
        <sz val="11"/>
        <color theme="1"/>
        <rFont val="Calibri"/>
        <family val="2"/>
      </rPr>
      <t>, Guido Sonnemann</t>
    </r>
    <r>
      <rPr>
        <vertAlign val="superscript"/>
        <sz val="11"/>
        <color theme="1"/>
        <rFont val="Calibri"/>
        <family val="2"/>
      </rPr>
      <t>d</t>
    </r>
    <r>
      <rPr>
        <sz val="11"/>
        <color theme="1"/>
        <rFont val="Calibri"/>
        <family val="2"/>
      </rPr>
      <t>, Kwame Awuah-Offei</t>
    </r>
    <r>
      <rPr>
        <vertAlign val="superscript"/>
        <sz val="11"/>
        <color theme="1"/>
        <rFont val="Calibri"/>
        <family val="2"/>
      </rPr>
      <t>j</t>
    </r>
    <r>
      <rPr>
        <sz val="11"/>
        <color theme="1"/>
        <rFont val="Calibri"/>
        <family val="2"/>
      </rPr>
      <t>, Steven B. Young</t>
    </r>
    <r>
      <rPr>
        <vertAlign val="superscript"/>
        <sz val="11"/>
        <color theme="1"/>
        <rFont val="Calibri"/>
        <family val="2"/>
      </rPr>
      <t>f</t>
    </r>
    <r>
      <rPr>
        <sz val="11"/>
        <color theme="1"/>
        <rFont val="Calibri"/>
        <family val="2"/>
      </rPr>
      <t>, Shinsuke Murakami</t>
    </r>
    <r>
      <rPr>
        <vertAlign val="superscript"/>
        <sz val="11"/>
        <color theme="1"/>
        <rFont val="Calibri"/>
        <family val="2"/>
      </rPr>
      <t>p</t>
    </r>
    <r>
      <rPr>
        <sz val="11"/>
        <color theme="1"/>
        <rFont val="Calibri"/>
        <family val="2"/>
      </rPr>
      <t>, Antoine Beylot</t>
    </r>
    <r>
      <rPr>
        <vertAlign val="superscript"/>
        <sz val="11"/>
        <color theme="1"/>
        <rFont val="Calibri"/>
        <family val="2"/>
      </rPr>
      <t>a</t>
    </r>
    <r>
      <rPr>
        <sz val="11"/>
        <color theme="1"/>
        <rFont val="Calibri"/>
        <family val="2"/>
      </rPr>
      <t xml:space="preserve">
</t>
    </r>
    <r>
      <rPr>
        <vertAlign val="superscript"/>
        <sz val="11"/>
        <color theme="1"/>
        <rFont val="Calibri"/>
        <family val="2"/>
      </rPr>
      <t>a</t>
    </r>
    <r>
      <rPr>
        <sz val="11"/>
        <color theme="1"/>
        <rFont val="Calibri"/>
        <family val="2"/>
      </rPr>
      <t xml:space="preserve">BRGM, F-45060 Orléans, France
</t>
    </r>
    <r>
      <rPr>
        <vertAlign val="superscript"/>
        <sz val="11"/>
        <color theme="1"/>
        <rFont val="Calibri"/>
        <family val="2"/>
      </rPr>
      <t>b</t>
    </r>
    <r>
      <rPr>
        <sz val="11"/>
        <color theme="1"/>
        <rFont val="Calibri"/>
        <family val="2"/>
      </rPr>
      <t xml:space="preserve">Institute of Environmental Sciences (CML), Leiden University, Einsteinweg 2, 2333 CC Leiden, NL
</t>
    </r>
    <r>
      <rPr>
        <vertAlign val="superscript"/>
        <sz val="11"/>
        <color theme="1"/>
        <rFont val="Calibri"/>
        <family val="2"/>
      </rPr>
      <t>c</t>
    </r>
    <r>
      <rPr>
        <sz val="11"/>
        <color theme="1"/>
        <rFont val="Calibri"/>
        <family val="2"/>
      </rPr>
      <t xml:space="preserve">Ecological Resource Technology, University of Bayreuth, Universitätstr. 30, 95447 Bayreuth, Germany
</t>
    </r>
    <r>
      <rPr>
        <vertAlign val="superscript"/>
        <sz val="11"/>
        <color theme="1"/>
        <rFont val="Calibri"/>
        <family val="2"/>
      </rPr>
      <t>d</t>
    </r>
    <r>
      <rPr>
        <sz val="11"/>
        <color theme="1"/>
        <rFont val="Calibri"/>
        <family val="2"/>
      </rPr>
      <t xml:space="preserve">Univ. Bordeaux, CNRS, Bordeaux INP, ISM, UMR 5255, F-33400 Talence, France
</t>
    </r>
    <r>
      <rPr>
        <vertAlign val="superscript"/>
        <sz val="11"/>
        <color theme="1"/>
        <rFont val="Calibri"/>
        <family val="2"/>
      </rPr>
      <t>e</t>
    </r>
    <r>
      <rPr>
        <sz val="11"/>
        <color theme="1"/>
        <rFont val="Calibri"/>
        <family val="2"/>
      </rPr>
      <t xml:space="preserve">Sustainable Minerals Institute, The University of Queensland, QLD, 4072, Australia
</t>
    </r>
    <r>
      <rPr>
        <vertAlign val="superscript"/>
        <sz val="11"/>
        <color theme="1"/>
        <rFont val="Calibri"/>
        <family val="2"/>
      </rPr>
      <t>f</t>
    </r>
    <r>
      <rPr>
        <sz val="11"/>
        <color theme="1"/>
        <rFont val="Calibri"/>
        <family val="2"/>
      </rPr>
      <t xml:space="preserve">School of Environment, Enterprise and Development, University of Waterloo, 200 University Avenue West, Waterloo, Ontario N2L 3G1, Canada
</t>
    </r>
    <r>
      <rPr>
        <vertAlign val="superscript"/>
        <sz val="11"/>
        <color theme="1"/>
        <rFont val="Calibri"/>
        <family val="2"/>
      </rPr>
      <t>g</t>
    </r>
    <r>
      <rPr>
        <sz val="11"/>
        <color theme="1"/>
        <rFont val="Calibri"/>
        <family val="2"/>
      </rPr>
      <t xml:space="preserve">University of Technology Sydney, Institute for Sustainable Futures, Australia
</t>
    </r>
    <r>
      <rPr>
        <vertAlign val="superscript"/>
        <sz val="11"/>
        <color theme="1"/>
        <rFont val="Calibri"/>
        <family val="2"/>
      </rPr>
      <t>h</t>
    </r>
    <r>
      <rPr>
        <sz val="11"/>
        <color theme="1"/>
        <rFont val="Calibri"/>
        <family val="2"/>
      </rPr>
      <t xml:space="preserve">Sustainable Systems Engineering (STEN), Department of Green Chemistry and Technology, Faculty of Bioscience Engineering, Ghent University, Coupure Links 653, 9000 Ghent, Belgium
</t>
    </r>
    <r>
      <rPr>
        <vertAlign val="superscript"/>
        <sz val="11"/>
        <color theme="1"/>
        <rFont val="Calibri"/>
        <family val="2"/>
      </rPr>
      <t>i</t>
    </r>
    <r>
      <rPr>
        <sz val="11"/>
        <color theme="1"/>
        <rFont val="Calibri"/>
        <family val="2"/>
      </rPr>
      <t xml:space="preserve">AIST, 305-8569 Tsukuba, Japan
</t>
    </r>
    <r>
      <rPr>
        <vertAlign val="superscript"/>
        <sz val="11"/>
        <color theme="1"/>
        <rFont val="Calibri"/>
        <family val="2"/>
      </rPr>
      <t>j</t>
    </r>
    <r>
      <rPr>
        <sz val="11"/>
        <color theme="1"/>
        <rFont val="Calibri"/>
        <family val="2"/>
      </rPr>
      <t xml:space="preserve">Mining &amp; Explosives Engineering, Missouri University of Science &amp; Technology, Rolla, MO, USA 65409
</t>
    </r>
    <r>
      <rPr>
        <vertAlign val="superscript"/>
        <sz val="11"/>
        <color theme="1"/>
        <rFont val="Calibri"/>
        <family val="2"/>
      </rPr>
      <t>k</t>
    </r>
    <r>
      <rPr>
        <sz val="11"/>
        <color theme="1"/>
        <rFont val="Calibri"/>
        <family val="2"/>
      </rPr>
      <t xml:space="preserve">Institute for Sustainable Energy Systems (INSYS), Technical University of Applied Sciences Würzburg-Schweinfurt (THWS), Ignaz-Schön-Straße 11, Schweinfurt, Germany 
</t>
    </r>
    <r>
      <rPr>
        <vertAlign val="superscript"/>
        <sz val="11"/>
        <color theme="1"/>
        <rFont val="Calibri"/>
        <family val="2"/>
      </rPr>
      <t>l</t>
    </r>
    <r>
      <rPr>
        <sz val="11"/>
        <color theme="1"/>
        <rFont val="Calibri"/>
        <family val="2"/>
      </rPr>
      <t xml:space="preserve">Fraunhofer Institute for Surface Engineering and Thin Films IST, Riedenkamp 2, Braunschweig 38108, Germany
</t>
    </r>
    <r>
      <rPr>
        <vertAlign val="superscript"/>
        <sz val="11"/>
        <color theme="1"/>
        <rFont val="Calibri"/>
        <family val="2"/>
      </rPr>
      <t>m</t>
    </r>
    <r>
      <rPr>
        <sz val="11"/>
        <color theme="1"/>
        <rFont val="Calibri"/>
        <family val="2"/>
      </rPr>
      <t xml:space="preserve">Department of Environment, Land and Infrastructure Engineering, Politecnico di Torino, Corso Duca degli Abruzzi, 24, 10129 Torino, Italy
</t>
    </r>
    <r>
      <rPr>
        <vertAlign val="superscript"/>
        <sz val="11"/>
        <color theme="1"/>
        <rFont val="Calibri"/>
        <family val="2"/>
      </rPr>
      <t>n</t>
    </r>
    <r>
      <rPr>
        <sz val="11"/>
        <color theme="1"/>
        <rFont val="Calibri"/>
        <family val="2"/>
      </rPr>
      <t xml:space="preserve">University of Turin, Earth Sciences Department (DST), Via Valperga Caluso, 35 – 10125 Torino, Italy
</t>
    </r>
    <r>
      <rPr>
        <vertAlign val="superscript"/>
        <sz val="11"/>
        <color theme="1"/>
        <rFont val="Calibri"/>
        <family val="2"/>
      </rPr>
      <t>o</t>
    </r>
    <r>
      <rPr>
        <sz val="11"/>
        <color theme="1"/>
        <rFont val="Calibri"/>
        <family val="2"/>
      </rPr>
      <t xml:space="preserve">ecoinvent association, Technopark, Technoparkstrasse 1, 8005 Zürich, Switzerland 
</t>
    </r>
    <r>
      <rPr>
        <vertAlign val="superscript"/>
        <sz val="11"/>
        <color theme="1"/>
        <rFont val="Calibri"/>
        <family val="2"/>
      </rPr>
      <t>p</t>
    </r>
    <r>
      <rPr>
        <sz val="11"/>
        <color theme="1"/>
        <rFont val="Calibri"/>
        <family val="2"/>
      </rPr>
      <t xml:space="preserve">Graduate School of Engineering, The University of Tokyo, Tokyo 113-8656, Japan
*Corresponding author: </t>
    </r>
    <r>
      <rPr>
        <u/>
        <sz val="11"/>
        <color theme="1"/>
        <rFont val="Calibri"/>
        <family val="2"/>
      </rPr>
      <t xml:space="preserve">f.lai@brgm.fr
</t>
    </r>
    <r>
      <rPr>
        <b/>
        <sz val="11"/>
        <color theme="1"/>
        <rFont val="Calibri"/>
        <family val="2"/>
      </rPr>
      <t>This supporting information (SI) document n°4 provides additional details about the production routes covered in the LCI datasets and the market shares estimated as part of the market modelling approach: 
- Overview and full details about each individual production route covered in the LCI datasets ("ProductionRoutes_Overview" and "ProductionRoutes_Details" sheets);
- Parameters and data used for estimating the market share of each individual production route ("MarketShares_Parameters&amp;Data" sheet);
- Calculations (including rationale) of market shares of production routes and of global market coverage at element level ("MarketShares_Calculations" and "GlobalMarketCoverage" sheets).</t>
    </r>
  </si>
  <si>
    <t>- Open-pit mining
- In-situ leaching</t>
  </si>
  <si>
    <t>In-situ leaching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</si>
</sst>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Aptos Narrow"/>
      <family val="2"/>
      <scheme val="minor"/>
    </font>
    <font>
      <sz val="11"/>
      <color theme="1"/>
      <name val="Aptos Narrow"/>
      <family val="2"/>
      <scheme val="minor"/>
    </font>
    <font>
      <sz val="11"/>
      <color theme="0"/>
      <name val="Aptos Narrow"/>
      <family val="2"/>
      <scheme val="minor"/>
    </font>
    <font>
      <sz val="11"/>
      <name val="Calibri"/>
      <family val="2"/>
    </font>
    <font>
      <b/>
      <sz val="11"/>
      <name val="Calibri"/>
      <family val="2"/>
    </font>
    <font>
      <sz val="11"/>
      <color theme="1"/>
      <name val="Calibri"/>
      <family val="2"/>
    </font>
    <font>
      <sz val="11"/>
      <color rgb="FF000000"/>
      <name val="Calibri"/>
      <family val="2"/>
    </font>
    <font>
      <b/>
      <sz val="11"/>
      <color rgb="FF000000"/>
      <name val="Calibri"/>
      <family val="2"/>
    </font>
    <font>
      <b/>
      <sz val="11"/>
      <color rgb="FF3F3F3F"/>
      <name val="Aptos Narrow"/>
      <family val="2"/>
      <scheme val="minor"/>
    </font>
    <font>
      <b/>
      <i/>
      <sz val="11"/>
      <color theme="1"/>
      <name val="Calibri"/>
      <family val="2"/>
    </font>
    <font>
      <b/>
      <i/>
      <sz val="11"/>
      <name val="Calibri"/>
      <family val="2"/>
    </font>
    <font>
      <b/>
      <sz val="11"/>
      <color rgb="FFFF0000"/>
      <name val="Calibri"/>
      <family val="2"/>
    </font>
    <font>
      <b/>
      <i/>
      <sz val="11"/>
      <color rgb="FF000000"/>
      <name val="Calibri"/>
      <family val="2"/>
    </font>
    <font>
      <sz val="11"/>
      <color rgb="FFFF0000"/>
      <name val="Calibri"/>
      <family val="2"/>
    </font>
    <font>
      <i/>
      <sz val="11"/>
      <color rgb="FF000000"/>
      <name val="Calibri"/>
      <family val="2"/>
    </font>
    <font>
      <b/>
      <sz val="14"/>
      <color theme="1"/>
      <name val="Calibri"/>
      <family val="2"/>
    </font>
    <font>
      <b/>
      <sz val="16"/>
      <color theme="1"/>
      <name val="Calibri"/>
      <family val="2"/>
    </font>
    <font>
      <vertAlign val="superscript"/>
      <sz val="11"/>
      <color theme="1"/>
      <name val="Calibri"/>
      <family val="2"/>
    </font>
    <font>
      <u/>
      <sz val="11"/>
      <color theme="1"/>
      <name val="Calibri"/>
      <family val="2"/>
    </font>
    <font>
      <b/>
      <sz val="11"/>
      <color theme="1"/>
      <name val="Calibri"/>
      <family val="2"/>
    </font>
    <font>
      <sz val="11"/>
      <color rgb="FFA5A5A5"/>
      <name val="Calibri"/>
      <family val="2"/>
    </font>
    <font>
      <b/>
      <sz val="11"/>
      <color rgb="FFA5A5A5"/>
      <name val="Calibri"/>
      <family val="2"/>
    </font>
  </fonts>
  <fills count="27">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59999389629810485"/>
        <bgColor indexed="65"/>
      </patternFill>
    </fill>
    <fill>
      <patternFill patternType="solid">
        <fgColor theme="7"/>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rgb="FF5B9BD5"/>
        <bgColor rgb="FFFFFFFF"/>
      </patternFill>
    </fill>
    <fill>
      <patternFill patternType="solid">
        <fgColor rgb="FFED7D31"/>
        <bgColor rgb="FFFFFFFF"/>
      </patternFill>
    </fill>
    <fill>
      <patternFill patternType="solid">
        <fgColor rgb="FFFFC000"/>
        <bgColor rgb="FFFFFFFF"/>
      </patternFill>
    </fill>
    <fill>
      <patternFill patternType="solid">
        <fgColor rgb="FFB4C6E7"/>
        <bgColor rgb="FFFFFFFF"/>
      </patternFill>
    </fill>
    <fill>
      <patternFill patternType="solid">
        <fgColor rgb="FFBDD7EE"/>
        <bgColor rgb="FFFFFFFF"/>
      </patternFill>
    </fill>
    <fill>
      <patternFill patternType="solid">
        <fgColor rgb="FFF8CBAD"/>
        <bgColor rgb="FFFFFFFF"/>
      </patternFill>
    </fill>
    <fill>
      <patternFill patternType="solid">
        <fgColor rgb="FFFFE699"/>
        <bgColor rgb="FFFFFFFF"/>
      </patternFill>
    </fill>
    <fill>
      <patternFill patternType="solid">
        <fgColor rgb="FFD9E1F2"/>
        <bgColor rgb="FFFFFFFF"/>
      </patternFill>
    </fill>
    <fill>
      <patternFill patternType="solid">
        <fgColor rgb="FFE7E6E6"/>
        <bgColor rgb="FF000000"/>
      </patternFill>
    </fill>
    <fill>
      <patternFill patternType="solid">
        <fgColor rgb="FFDBDBDB"/>
        <bgColor rgb="FF000000"/>
      </patternFill>
    </fill>
    <fill>
      <patternFill patternType="solid">
        <fgColor rgb="FFF2F2F2"/>
      </patternFill>
    </fill>
    <fill>
      <patternFill patternType="solid">
        <fgColor rgb="FFE2EFDA"/>
        <bgColor rgb="FF000000"/>
      </patternFill>
    </fill>
    <fill>
      <patternFill patternType="solid">
        <fgColor rgb="FFD0CECE"/>
        <bgColor rgb="FF000000"/>
      </patternFill>
    </fill>
    <fill>
      <patternFill patternType="solid">
        <fgColor rgb="FFF2F2F2"/>
        <bgColor rgb="FFFFFFFF"/>
      </patternFill>
    </fill>
    <fill>
      <patternFill patternType="solid">
        <fgColor rgb="FFA9D08E"/>
        <bgColor rgb="FF000000"/>
      </patternFill>
    </fill>
    <fill>
      <patternFill patternType="solid">
        <fgColor theme="0"/>
        <bgColor indexed="64"/>
      </patternFill>
    </fill>
    <fill>
      <patternFill patternType="solid">
        <fgColor rgb="FFD9E1F2"/>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1">
    <xf numFmtId="0" fontId="0" fillId="0" borderId="0"/>
    <xf numFmtId="0" fontId="2"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1" fillId="5" borderId="0" applyNumberFormat="0" applyBorder="0" applyAlignment="0" applyProtection="0"/>
    <xf numFmtId="0" fontId="2"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9" fontId="1" fillId="0" borderId="0" applyFont="0" applyFill="0" applyBorder="0" applyAlignment="0" applyProtection="0"/>
    <xf numFmtId="0" fontId="8" fillId="20" borderId="6" applyNumberFormat="0" applyAlignment="0" applyProtection="0"/>
  </cellStyleXfs>
  <cellXfs count="127">
    <xf numFmtId="0" fontId="0" fillId="0" borderId="0" xfId="0"/>
    <xf numFmtId="0" fontId="3" fillId="0" borderId="0" xfId="0" applyFont="1" applyAlignment="1">
      <alignment horizontal="center" vertical="center" wrapText="1"/>
    </xf>
    <xf numFmtId="0" fontId="4" fillId="10" borderId="1" xfId="1" applyFont="1" applyFill="1" applyBorder="1" applyAlignment="1">
      <alignment horizontal="center" vertical="center" wrapText="1"/>
    </xf>
    <xf numFmtId="0" fontId="4" fillId="13" borderId="1" xfId="8" applyFont="1" applyFill="1" applyBorder="1" applyAlignment="1">
      <alignment horizontal="center" vertical="center" wrapText="1"/>
    </xf>
    <xf numFmtId="0" fontId="4" fillId="13" borderId="2" xfId="8" applyFont="1" applyFill="1" applyBorder="1" applyAlignment="1">
      <alignment horizontal="center" vertical="center" wrapText="1"/>
    </xf>
    <xf numFmtId="0" fontId="4" fillId="14" borderId="1" xfId="2" applyFont="1" applyFill="1" applyBorder="1" applyAlignment="1">
      <alignment horizontal="center" vertical="center" wrapText="1"/>
    </xf>
    <xf numFmtId="0" fontId="4" fillId="15" borderId="1" xfId="4" applyFont="1" applyFill="1" applyBorder="1" applyAlignment="1">
      <alignment horizontal="center" vertical="center" wrapText="1"/>
    </xf>
    <xf numFmtId="0" fontId="4" fillId="16" borderId="1" xfId="6" applyFont="1" applyFill="1" applyBorder="1" applyAlignment="1">
      <alignment horizontal="center" vertical="center" wrapText="1"/>
    </xf>
    <xf numFmtId="0" fontId="4" fillId="17" borderId="1" xfId="7" applyFont="1" applyFill="1" applyBorder="1" applyAlignment="1">
      <alignment horizontal="center" vertical="center" wrapText="1"/>
    </xf>
    <xf numFmtId="0" fontId="3" fillId="17" borderId="1" xfId="7" applyFont="1" applyFill="1" applyBorder="1" applyAlignment="1">
      <alignment horizontal="center" vertical="center" wrapText="1"/>
    </xf>
    <xf numFmtId="0" fontId="3" fillId="0" borderId="1" xfId="0" applyFont="1" applyBorder="1" applyAlignment="1">
      <alignment horizontal="center" vertical="center" wrapText="1"/>
    </xf>
    <xf numFmtId="0" fontId="3" fillId="18" borderId="1" xfId="0" applyFont="1" applyFill="1" applyBorder="1" applyAlignment="1">
      <alignment horizontal="center" vertical="center" wrapText="1"/>
    </xf>
    <xf numFmtId="0" fontId="4" fillId="17" borderId="3" xfId="7" applyFont="1" applyFill="1" applyBorder="1" applyAlignment="1">
      <alignment horizontal="center" vertical="center" wrapText="1"/>
    </xf>
    <xf numFmtId="0" fontId="3" fillId="17" borderId="3" xfId="7" applyFont="1" applyFill="1" applyBorder="1" applyAlignment="1">
      <alignment horizontal="center" vertical="center" wrapText="1"/>
    </xf>
    <xf numFmtId="0" fontId="3" fillId="0" borderId="3" xfId="0" applyFont="1" applyBorder="1" applyAlignment="1">
      <alignment horizontal="center" vertical="center" wrapText="1"/>
    </xf>
    <xf numFmtId="0" fontId="3" fillId="18" borderId="3" xfId="0" applyFont="1" applyFill="1" applyBorder="1" applyAlignment="1">
      <alignment horizontal="center" vertical="center" wrapText="1"/>
    </xf>
    <xf numFmtId="0" fontId="4" fillId="17" borderId="4" xfId="7" applyFont="1" applyFill="1" applyBorder="1" applyAlignment="1">
      <alignment horizontal="center" vertical="center" wrapText="1"/>
    </xf>
    <xf numFmtId="0" fontId="3" fillId="17" borderId="4" xfId="7" applyFont="1" applyFill="1" applyBorder="1" applyAlignment="1">
      <alignment horizontal="center" vertical="center" wrapText="1"/>
    </xf>
    <xf numFmtId="0" fontId="3" fillId="0" borderId="4" xfId="0" applyFont="1" applyBorder="1" applyAlignment="1">
      <alignment horizontal="center" vertical="center" wrapText="1"/>
    </xf>
    <xf numFmtId="0" fontId="3" fillId="18" borderId="4" xfId="0" applyFont="1" applyFill="1" applyBorder="1" applyAlignment="1">
      <alignment horizontal="center" vertical="center" wrapText="1"/>
    </xf>
    <xf numFmtId="0" fontId="4" fillId="17" borderId="5" xfId="7" applyFont="1" applyFill="1" applyBorder="1" applyAlignment="1">
      <alignment horizontal="center" vertical="center" wrapText="1"/>
    </xf>
    <xf numFmtId="0" fontId="3" fillId="17" borderId="5" xfId="7" applyFont="1" applyFill="1" applyBorder="1" applyAlignment="1">
      <alignment horizontal="center" vertical="center" wrapText="1"/>
    </xf>
    <xf numFmtId="0" fontId="3" fillId="0" borderId="5" xfId="0" applyFont="1" applyBorder="1" applyAlignment="1">
      <alignment horizontal="center" vertical="center" wrapText="1"/>
    </xf>
    <xf numFmtId="0" fontId="3" fillId="18" borderId="5" xfId="0" applyFont="1" applyFill="1" applyBorder="1" applyAlignment="1">
      <alignment horizontal="center" vertical="center" wrapText="1"/>
    </xf>
    <xf numFmtId="0" fontId="3" fillId="0" borderId="0" xfId="0" applyFont="1" applyAlignment="1">
      <alignment wrapText="1"/>
    </xf>
    <xf numFmtId="0" fontId="5" fillId="0" borderId="0" xfId="0" applyFont="1" applyAlignment="1">
      <alignment horizontal="center" vertical="center" wrapText="1"/>
    </xf>
    <xf numFmtId="0" fontId="7" fillId="13" borderId="1" xfId="8" applyFont="1" applyFill="1" applyBorder="1" applyAlignment="1">
      <alignment horizontal="center" vertical="center" wrapText="1"/>
    </xf>
    <xf numFmtId="0" fontId="7" fillId="13" borderId="2" xfId="8" applyFont="1" applyFill="1" applyBorder="1" applyAlignment="1">
      <alignment horizontal="center" vertical="center" wrapText="1"/>
    </xf>
    <xf numFmtId="0" fontId="7" fillId="14" borderId="1" xfId="2" applyFont="1" applyFill="1" applyBorder="1" applyAlignment="1">
      <alignment horizontal="center" vertical="center" wrapText="1"/>
    </xf>
    <xf numFmtId="0" fontId="7" fillId="15" borderId="1" xfId="4" applyFont="1" applyFill="1" applyBorder="1" applyAlignment="1">
      <alignment horizontal="center" vertical="center" wrapText="1"/>
    </xf>
    <xf numFmtId="0" fontId="7" fillId="16" borderId="1" xfId="6" applyFont="1" applyFill="1" applyBorder="1" applyAlignment="1">
      <alignment horizontal="center" vertical="center" wrapText="1"/>
    </xf>
    <xf numFmtId="0" fontId="7" fillId="17" borderId="1" xfId="7" applyFont="1" applyFill="1" applyBorder="1" applyAlignment="1">
      <alignment horizontal="center" vertical="center" wrapText="1"/>
    </xf>
    <xf numFmtId="0" fontId="6" fillId="17" borderId="1" xfId="7" applyFont="1" applyFill="1" applyBorder="1" applyAlignment="1">
      <alignment horizontal="center" vertical="center" wrapText="1"/>
    </xf>
    <xf numFmtId="0" fontId="6" fillId="17" borderId="1" xfId="7" quotePrefix="1" applyFont="1" applyFill="1" applyBorder="1" applyAlignment="1">
      <alignment horizontal="center" vertical="center" wrapText="1"/>
    </xf>
    <xf numFmtId="0" fontId="5" fillId="0" borderId="0" xfId="0" applyFont="1"/>
    <xf numFmtId="0" fontId="5" fillId="0" borderId="1" xfId="0" quotePrefix="1" applyFont="1" applyBorder="1" applyAlignment="1">
      <alignment vertical="center" wrapText="1"/>
    </xf>
    <xf numFmtId="0" fontId="5" fillId="0" borderId="1" xfId="0" quotePrefix="1" applyFont="1" applyBorder="1" applyAlignment="1">
      <alignment horizontal="left" vertical="center" wrapText="1"/>
    </xf>
    <xf numFmtId="0" fontId="5" fillId="0" borderId="0" xfId="0" applyFont="1" applyAlignment="1">
      <alignment horizontal="left" vertical="center" wrapText="1"/>
    </xf>
    <xf numFmtId="0" fontId="5" fillId="18" borderId="1" xfId="0" applyFont="1" applyFill="1" applyBorder="1" applyAlignment="1">
      <alignment horizontal="center" vertical="center" wrapText="1"/>
    </xf>
    <xf numFmtId="0" fontId="5" fillId="19" borderId="1" xfId="0" applyFont="1" applyFill="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xf>
    <xf numFmtId="0" fontId="11" fillId="15" borderId="1" xfId="4" applyFont="1" applyFill="1" applyBorder="1" applyAlignment="1">
      <alignment horizontal="center" vertical="center" wrapText="1"/>
    </xf>
    <xf numFmtId="0" fontId="12" fillId="15" borderId="1" xfId="4" applyFont="1" applyFill="1" applyBorder="1" applyAlignment="1">
      <alignment horizontal="center" vertical="center" wrapText="1"/>
    </xf>
    <xf numFmtId="0" fontId="11" fillId="16" borderId="1" xfId="6" applyFont="1" applyFill="1" applyBorder="1" applyAlignment="1">
      <alignment horizontal="center" vertical="center" wrapText="1"/>
    </xf>
    <xf numFmtId="0" fontId="12" fillId="16" borderId="1" xfId="6" applyFont="1" applyFill="1" applyBorder="1" applyAlignment="1">
      <alignment horizontal="center" vertical="center" wrapText="1"/>
    </xf>
    <xf numFmtId="0" fontId="11" fillId="14" borderId="1" xfId="2" applyFont="1" applyFill="1" applyBorder="1" applyAlignment="1">
      <alignment horizontal="center" vertical="center" wrapText="1"/>
    </xf>
    <xf numFmtId="0" fontId="12" fillId="14" borderId="1" xfId="2" applyFont="1" applyFill="1" applyBorder="1" applyAlignment="1">
      <alignment horizontal="center" vertical="center" wrapText="1"/>
    </xf>
    <xf numFmtId="0" fontId="5" fillId="0" borderId="1" xfId="0" applyFont="1" applyBorder="1" applyAlignment="1">
      <alignment horizontal="center" vertical="center" wrapText="1"/>
    </xf>
    <xf numFmtId="9" fontId="13" fillId="21" borderId="1" xfId="9" applyFont="1" applyFill="1" applyBorder="1" applyAlignment="1">
      <alignment horizontal="center" vertical="center" wrapText="1"/>
    </xf>
    <xf numFmtId="0" fontId="14" fillId="21"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0" fontId="14" fillId="22" borderId="1" xfId="0" applyFont="1" applyFill="1" applyBorder="1" applyAlignment="1">
      <alignment horizontal="center" vertical="center" wrapText="1"/>
    </xf>
    <xf numFmtId="0" fontId="6" fillId="17" borderId="5" xfId="7" applyFont="1" applyFill="1" applyBorder="1" applyAlignment="1">
      <alignment horizontal="center" vertical="center" wrapText="1"/>
    </xf>
    <xf numFmtId="0" fontId="5" fillId="0" borderId="5" xfId="0" applyFont="1" applyBorder="1" applyAlignment="1">
      <alignment horizontal="center" vertical="center" wrapText="1"/>
    </xf>
    <xf numFmtId="9" fontId="13" fillId="21" borderId="5" xfId="9" applyFont="1" applyFill="1" applyBorder="1" applyAlignment="1">
      <alignment horizontal="center" vertical="center" wrapText="1"/>
    </xf>
    <xf numFmtId="0" fontId="14" fillId="21" borderId="5" xfId="0" applyFont="1" applyFill="1" applyBorder="1" applyAlignment="1">
      <alignment horizontal="center" vertical="center" wrapText="1"/>
    </xf>
    <xf numFmtId="0" fontId="13" fillId="22" borderId="5" xfId="0" applyFont="1" applyFill="1" applyBorder="1" applyAlignment="1">
      <alignment horizontal="center" vertical="center" wrapText="1"/>
    </xf>
    <xf numFmtId="0" fontId="14" fillId="22" borderId="5" xfId="0" applyFont="1" applyFill="1" applyBorder="1" applyAlignment="1">
      <alignment horizontal="center" vertical="center" wrapText="1"/>
    </xf>
    <xf numFmtId="0" fontId="5" fillId="18" borderId="5" xfId="0" applyFont="1" applyFill="1" applyBorder="1" applyAlignment="1">
      <alignment horizontal="center" vertical="center" wrapText="1"/>
    </xf>
    <xf numFmtId="0" fontId="6" fillId="17" borderId="3" xfId="7" applyFont="1" applyFill="1" applyBorder="1" applyAlignment="1">
      <alignment horizontal="center" vertical="center" wrapText="1"/>
    </xf>
    <xf numFmtId="0" fontId="5" fillId="0" borderId="3" xfId="0" applyFont="1" applyBorder="1" applyAlignment="1">
      <alignment horizontal="center" vertical="center" wrapText="1"/>
    </xf>
    <xf numFmtId="9" fontId="13" fillId="21" borderId="3" xfId="9" applyFont="1" applyFill="1" applyBorder="1" applyAlignment="1">
      <alignment horizontal="center" vertical="center" wrapText="1"/>
    </xf>
    <xf numFmtId="0" fontId="14" fillId="21" borderId="3" xfId="0" applyFont="1" applyFill="1" applyBorder="1" applyAlignment="1">
      <alignment horizontal="center" vertical="center" wrapText="1"/>
    </xf>
    <xf numFmtId="0" fontId="5" fillId="18" borderId="3" xfId="0" applyFont="1" applyFill="1" applyBorder="1" applyAlignment="1">
      <alignment horizontal="center" vertical="center" wrapText="1"/>
    </xf>
    <xf numFmtId="0" fontId="6" fillId="17" borderId="4" xfId="7" applyFont="1" applyFill="1" applyBorder="1" applyAlignment="1">
      <alignment horizontal="center" vertical="center" wrapText="1"/>
    </xf>
    <xf numFmtId="0" fontId="5" fillId="0" borderId="4" xfId="0" applyFont="1" applyBorder="1" applyAlignment="1">
      <alignment horizontal="center" vertical="center" wrapText="1"/>
    </xf>
    <xf numFmtId="9" fontId="13" fillId="21" borderId="4" xfId="9" applyFont="1" applyFill="1" applyBorder="1" applyAlignment="1">
      <alignment horizontal="center" vertical="center" wrapText="1"/>
    </xf>
    <xf numFmtId="0" fontId="14" fillId="21" borderId="4" xfId="0" applyFont="1" applyFill="1" applyBorder="1" applyAlignment="1">
      <alignment horizontal="center" vertical="center" wrapText="1"/>
    </xf>
    <xf numFmtId="0" fontId="5" fillId="18" borderId="4" xfId="0" applyFont="1" applyFill="1" applyBorder="1" applyAlignment="1">
      <alignment horizontal="center" vertical="center" wrapText="1"/>
    </xf>
    <xf numFmtId="0" fontId="13" fillId="22" borderId="3" xfId="0" applyFont="1" applyFill="1" applyBorder="1" applyAlignment="1">
      <alignment horizontal="center" vertical="center" wrapText="1"/>
    </xf>
    <xf numFmtId="0" fontId="14" fillId="22" borderId="3" xfId="0" applyFont="1" applyFill="1" applyBorder="1" applyAlignment="1">
      <alignment horizontal="center" vertical="center" wrapText="1"/>
    </xf>
    <xf numFmtId="9" fontId="13" fillId="21" borderId="1" xfId="0" applyNumberFormat="1" applyFont="1" applyFill="1" applyBorder="1" applyAlignment="1">
      <alignment horizontal="center" vertical="center" wrapText="1"/>
    </xf>
    <xf numFmtId="164" fontId="4" fillId="0" borderId="1" xfId="9" applyNumberFormat="1" applyFont="1" applyFill="1" applyBorder="1" applyAlignment="1">
      <alignment horizontal="center" vertical="center" wrapText="1"/>
    </xf>
    <xf numFmtId="9" fontId="3" fillId="18" borderId="1" xfId="9" applyFont="1" applyFill="1" applyBorder="1" applyAlignment="1">
      <alignment horizontal="center" vertical="center" wrapText="1"/>
    </xf>
    <xf numFmtId="164" fontId="11"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10" fontId="11" fillId="0" borderId="1" xfId="0" applyNumberFormat="1" applyFont="1" applyBorder="1" applyAlignment="1">
      <alignment horizontal="center" vertical="center" wrapText="1"/>
    </xf>
    <xf numFmtId="0" fontId="13" fillId="22" borderId="4" xfId="0" applyFont="1" applyFill="1" applyBorder="1" applyAlignment="1">
      <alignment horizontal="center" vertical="center" wrapText="1"/>
    </xf>
    <xf numFmtId="0" fontId="14" fillId="22" borderId="4" xfId="0" applyFont="1" applyFill="1" applyBorder="1" applyAlignment="1">
      <alignment horizontal="center" vertical="center" wrapText="1"/>
    </xf>
    <xf numFmtId="0" fontId="11" fillId="23" borderId="1" xfId="10" applyFont="1" applyFill="1" applyBorder="1" applyAlignment="1">
      <alignment horizontal="center" vertical="center" wrapText="1"/>
    </xf>
    <xf numFmtId="0" fontId="4" fillId="23" borderId="1" xfId="10" applyFont="1" applyFill="1" applyBorder="1" applyAlignment="1">
      <alignment horizontal="center" vertical="center" wrapText="1"/>
    </xf>
    <xf numFmtId="0" fontId="4" fillId="24" borderId="1" xfId="7" applyFont="1" applyFill="1" applyBorder="1" applyAlignment="1">
      <alignment horizontal="center" vertical="center" wrapText="1"/>
    </xf>
    <xf numFmtId="164" fontId="11" fillId="24" borderId="1" xfId="0" applyNumberFormat="1" applyFont="1" applyFill="1" applyBorder="1" applyAlignment="1">
      <alignment horizontal="center" vertical="center" wrapText="1"/>
    </xf>
    <xf numFmtId="9" fontId="3" fillId="18" borderId="1" xfId="0" applyNumberFormat="1" applyFont="1" applyFill="1" applyBorder="1" applyAlignment="1">
      <alignment horizontal="center" vertical="center" wrapText="1"/>
    </xf>
    <xf numFmtId="0" fontId="5" fillId="0" borderId="18" xfId="0" applyFont="1" applyBorder="1" applyAlignment="1">
      <alignment horizontal="center"/>
    </xf>
    <xf numFmtId="0" fontId="5" fillId="0" borderId="5" xfId="0" applyFont="1" applyBorder="1" applyAlignment="1">
      <alignment horizontal="center"/>
    </xf>
    <xf numFmtId="0" fontId="5" fillId="0" borderId="9" xfId="0" applyFont="1" applyBorder="1" applyAlignment="1">
      <alignment horizontal="center"/>
    </xf>
    <xf numFmtId="0" fontId="5" fillId="26" borderId="8" xfId="0" applyFont="1" applyFill="1" applyBorder="1" applyAlignment="1">
      <alignment horizontal="center"/>
    </xf>
    <xf numFmtId="9" fontId="5" fillId="0" borderId="1" xfId="9" applyFont="1" applyFill="1" applyBorder="1" applyAlignment="1">
      <alignment horizontal="center"/>
    </xf>
    <xf numFmtId="9" fontId="20" fillId="0" borderId="1" xfId="9" applyFont="1" applyFill="1" applyBorder="1" applyAlignment="1">
      <alignment horizontal="center"/>
    </xf>
    <xf numFmtId="9" fontId="20" fillId="0" borderId="2" xfId="9" applyFont="1" applyFill="1" applyBorder="1" applyAlignment="1">
      <alignment horizontal="center"/>
    </xf>
    <xf numFmtId="0" fontId="7" fillId="26" borderId="8" xfId="0" applyFont="1" applyFill="1" applyBorder="1" applyAlignment="1">
      <alignment horizontal="center"/>
    </xf>
    <xf numFmtId="9" fontId="7" fillId="0" borderId="1" xfId="9" applyFont="1" applyFill="1" applyBorder="1" applyAlignment="1">
      <alignment horizontal="center"/>
    </xf>
    <xf numFmtId="9" fontId="21" fillId="0" borderId="1" xfId="9" applyFont="1" applyFill="1" applyBorder="1" applyAlignment="1">
      <alignment horizontal="center"/>
    </xf>
    <xf numFmtId="9" fontId="21" fillId="0" borderId="2" xfId="9" applyFont="1" applyFill="1" applyBorder="1" applyAlignment="1">
      <alignment horizontal="center"/>
    </xf>
    <xf numFmtId="9" fontId="7" fillId="0" borderId="2" xfId="9" applyFont="1" applyFill="1" applyBorder="1" applyAlignment="1">
      <alignment horizontal="center"/>
    </xf>
    <xf numFmtId="9" fontId="5" fillId="0" borderId="2" xfId="9" applyFont="1" applyFill="1" applyBorder="1" applyAlignment="1">
      <alignment horizontal="center"/>
    </xf>
    <xf numFmtId="0" fontId="7" fillId="0" borderId="0" xfId="0" applyFont="1"/>
    <xf numFmtId="164" fontId="5" fillId="0" borderId="1" xfId="9" applyNumberFormat="1" applyFont="1" applyFill="1" applyBorder="1" applyAlignment="1">
      <alignment horizontal="center"/>
    </xf>
    <xf numFmtId="0" fontId="7" fillId="26" borderId="19" xfId="0" applyFont="1" applyFill="1" applyBorder="1" applyAlignment="1">
      <alignment horizontal="center"/>
    </xf>
    <xf numFmtId="9" fontId="7" fillId="0" borderId="20" xfId="9" applyFont="1" applyFill="1" applyBorder="1" applyAlignment="1">
      <alignment horizontal="center"/>
    </xf>
    <xf numFmtId="9" fontId="21" fillId="0" borderId="20" xfId="9" applyFont="1" applyFill="1" applyBorder="1" applyAlignment="1">
      <alignment horizontal="center"/>
    </xf>
    <xf numFmtId="9" fontId="7" fillId="0" borderId="21" xfId="9" applyFont="1" applyFill="1" applyBorder="1" applyAlignment="1">
      <alignment horizontal="center"/>
    </xf>
    <xf numFmtId="0" fontId="0" fillId="25" borderId="0" xfId="0" quotePrefix="1" applyFill="1"/>
    <xf numFmtId="0" fontId="0" fillId="25" borderId="0" xfId="0" applyFill="1" applyAlignment="1">
      <alignment horizontal="center" vertical="center" wrapText="1"/>
    </xf>
    <xf numFmtId="0" fontId="0" fillId="25" borderId="0" xfId="0" quotePrefix="1" applyFill="1" applyAlignment="1">
      <alignment vertical="center"/>
    </xf>
    <xf numFmtId="0" fontId="13" fillId="0" borderId="0" xfId="0" applyFont="1" applyAlignment="1">
      <alignment horizontal="center"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0" borderId="0" xfId="0" applyFont="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4" fillId="11" borderId="1" xfId="3" applyFont="1" applyFill="1" applyBorder="1" applyAlignment="1">
      <alignment horizontal="center" vertical="center" wrapText="1"/>
    </xf>
    <xf numFmtId="0" fontId="4" fillId="12" borderId="1" xfId="5" applyFont="1" applyFill="1" applyBorder="1" applyAlignment="1">
      <alignment horizontal="center" vertical="center" wrapText="1"/>
    </xf>
    <xf numFmtId="0" fontId="4" fillId="11" borderId="7" xfId="3" applyFont="1" applyFill="1" applyBorder="1" applyAlignment="1">
      <alignment horizontal="center" vertical="center" wrapText="1"/>
    </xf>
    <xf numFmtId="0" fontId="4" fillId="11" borderId="8" xfId="3" applyFont="1" applyFill="1" applyBorder="1" applyAlignment="1">
      <alignment horizontal="center" vertical="center" wrapText="1"/>
    </xf>
    <xf numFmtId="0" fontId="4" fillId="10" borderId="2" xfId="1" applyFont="1" applyFill="1" applyBorder="1" applyAlignment="1">
      <alignment horizontal="center" vertical="center" wrapText="1"/>
    </xf>
    <xf numFmtId="0" fontId="4" fillId="10" borderId="7" xfId="1" applyFont="1" applyFill="1" applyBorder="1" applyAlignment="1">
      <alignment horizontal="center" vertical="center" wrapText="1"/>
    </xf>
    <xf numFmtId="0" fontId="4" fillId="10" borderId="8" xfId="1" applyFont="1" applyFill="1" applyBorder="1" applyAlignment="1">
      <alignment horizontal="center" vertical="center" wrapText="1"/>
    </xf>
    <xf numFmtId="0" fontId="3" fillId="24" borderId="1" xfId="0" applyFont="1" applyFill="1" applyBorder="1" applyAlignment="1">
      <alignment horizontal="center" vertical="center" wrapText="1"/>
    </xf>
    <xf numFmtId="164" fontId="3" fillId="24" borderId="1" xfId="9" applyNumberFormat="1" applyFont="1" applyFill="1" applyBorder="1" applyAlignment="1">
      <alignment horizontal="center" vertical="center" wrapText="1"/>
    </xf>
  </cellXfs>
  <cellStyles count="11">
    <cellStyle name="20 % - Accent5" xfId="7" builtinId="46"/>
    <cellStyle name="40 % - Accent1" xfId="2" builtinId="31"/>
    <cellStyle name="40 % - Accent2" xfId="4" builtinId="35"/>
    <cellStyle name="40 % - Accent4" xfId="6" builtinId="43"/>
    <cellStyle name="40 % - Accent5" xfId="8" builtinId="47"/>
    <cellStyle name="Accent1" xfId="1" builtinId="29"/>
    <cellStyle name="Accent2" xfId="3" builtinId="33"/>
    <cellStyle name="Accent4" xfId="5" builtinId="41"/>
    <cellStyle name="Normal" xfId="0" builtinId="0"/>
    <cellStyle name="Pourcentage" xfId="9" builtinId="5"/>
    <cellStyle name="Sortie" xfId="10" builtinId="21"/>
  </cellStyles>
  <dxfs count="19">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000000"/>
          <bgColor rgb="FFD9E1F2"/>
        </patternFill>
      </fill>
      <alignment horizontal="center"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border outline="0">
        <bottom style="thin">
          <color rgb="FF000000"/>
        </bottom>
      </border>
    </dxf>
    <dxf>
      <alignment horizontal="center" vertical="bottom" textRotation="0" wrapText="0" indent="0" justifyLastLine="0" shrinkToFit="0" readingOrder="0"/>
      <border diagonalUp="0" diagonalDown="0" outline="0">
        <left style="thin">
          <color rgb="FF000000"/>
        </left>
        <right style="thin">
          <color rgb="FF000000"/>
        </right>
        <top/>
        <bottom/>
      </border>
    </dxf>
    <dxf>
      <border>
        <left style="thin">
          <color rgb="FF5B9BD5"/>
        </left>
      </border>
    </dxf>
    <dxf>
      <border>
        <left style="thin">
          <color rgb="FF5B9BD5"/>
        </left>
      </border>
    </dxf>
    <dxf>
      <border>
        <top style="thin">
          <color rgb="FF5B9BD5"/>
        </top>
      </border>
    </dxf>
    <dxf>
      <border>
        <top style="thin">
          <color rgb="FF5B9BD5"/>
        </top>
      </border>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5B9BD5"/>
        </left>
        <right style="thin">
          <color rgb="FF5B9BD5"/>
        </right>
        <top style="thin">
          <color rgb="FF5B9BD5"/>
        </top>
        <bottom style="thin">
          <color rgb="FF5B9BD5"/>
        </bottom>
      </border>
    </dxf>
  </dxfs>
  <tableStyles count="1" defaultTableStyle="TableStyleMedium2" defaultPivotStyle="PivotStyleLight16">
    <tableStyle name="TableStyleLight9 2" pivot="0" count="9" xr9:uid="{2505013F-6331-4663-A512-972A2C0C159A}">
      <tableStyleElement type="wholeTable" dxfId="18"/>
      <tableStyleElement type="headerRow" dxfId="17"/>
      <tableStyleElement type="totalRow" dxfId="16"/>
      <tableStyleElement type="firstColumn" dxfId="15"/>
      <tableStyleElement type="lastColumn" dxfId="14"/>
      <tableStyleElement type="firstRowStripe" dxfId="13"/>
      <tableStyleElement type="secondRowStripe" dxfId="12"/>
      <tableStyleElement type="firstColumnStripe" dxfId="11"/>
      <tableStyleElement type="second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89CA9E-0551-4852-BE4D-F2CA98196569}" name="Tableau1" displayName="Tableau1" ref="B2:F63" totalsRowShown="0" headerRowDxfId="9" dataDxfId="7" headerRowBorderDxfId="8" tableBorderDxfId="6" totalsRowBorderDxfId="5">
  <autoFilter ref="B2:F63" xr:uid="{BB89CA9E-0551-4852-BE4D-F2CA98196569}"/>
  <tableColumns count="5">
    <tableColumn id="1" xr3:uid="{A89C72A6-2565-454A-9995-3355A82CB0F8}" name="Commodity/element" dataDxfId="4"/>
    <tableColumn id="2" xr3:uid="{5CC5A419-C71C-486B-817E-694BECDD9DE0}" name="Global primary production coverage" dataDxfId="3" dataCellStyle="Pourcentage"/>
    <tableColumn id="3" xr3:uid="{6B95BB72-B451-4418-8140-851DA0B4E1BA}" name="Global secondary production coverage" dataDxfId="2" dataCellStyle="Pourcentage"/>
    <tableColumn id="5" xr3:uid="{46F1D2D8-B32C-4C6B-9D90-81E2313FA3D0}" name="EoL RIR" dataDxfId="1" dataCellStyle="Pourcentage"/>
    <tableColumn id="4" xr3:uid="{4E3E4649-911B-4D5D-B27B-9CB343D60952}" name="Global market coverage" dataDxfId="0" dataCellStyle="Pourcentage"/>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A3A9-9CC5-495F-8952-939ABD2CF2D8}">
  <sheetPr>
    <tabColor theme="2" tint="-0.249977111117893"/>
  </sheetPr>
  <dimension ref="B1:R36"/>
  <sheetViews>
    <sheetView showGridLines="0" topLeftCell="A23" workbookViewId="0">
      <selection activeCell="B2" sqref="B2:R36"/>
    </sheetView>
  </sheetViews>
  <sheetFormatPr baseColWidth="10" defaultRowHeight="14.5" x14ac:dyDescent="0.35"/>
  <cols>
    <col min="1" max="1" width="1.81640625" customWidth="1"/>
  </cols>
  <sheetData>
    <row r="1" spans="2:18" ht="15" thickBot="1" x14ac:dyDescent="0.4"/>
    <row r="2" spans="2:18" ht="15" customHeight="1" x14ac:dyDescent="0.35">
      <c r="B2" s="109" t="s">
        <v>1031</v>
      </c>
      <c r="C2" s="110"/>
      <c r="D2" s="110"/>
      <c r="E2" s="110"/>
      <c r="F2" s="110"/>
      <c r="G2" s="110"/>
      <c r="H2" s="110"/>
      <c r="I2" s="110"/>
      <c r="J2" s="110"/>
      <c r="K2" s="110"/>
      <c r="L2" s="110"/>
      <c r="M2" s="110"/>
      <c r="N2" s="110"/>
      <c r="O2" s="110"/>
      <c r="P2" s="110"/>
      <c r="Q2" s="110"/>
      <c r="R2" s="111"/>
    </row>
    <row r="3" spans="2:18" x14ac:dyDescent="0.35">
      <c r="B3" s="112"/>
      <c r="C3" s="113"/>
      <c r="D3" s="113"/>
      <c r="E3" s="113"/>
      <c r="F3" s="113"/>
      <c r="G3" s="113"/>
      <c r="H3" s="113"/>
      <c r="I3" s="113"/>
      <c r="J3" s="113"/>
      <c r="K3" s="113"/>
      <c r="L3" s="113"/>
      <c r="M3" s="113"/>
      <c r="N3" s="113"/>
      <c r="O3" s="113"/>
      <c r="P3" s="113"/>
      <c r="Q3" s="113"/>
      <c r="R3" s="114"/>
    </row>
    <row r="4" spans="2:18" x14ac:dyDescent="0.35">
      <c r="B4" s="112"/>
      <c r="C4" s="113"/>
      <c r="D4" s="113"/>
      <c r="E4" s="113"/>
      <c r="F4" s="113"/>
      <c r="G4" s="113"/>
      <c r="H4" s="113"/>
      <c r="I4" s="113"/>
      <c r="J4" s="113"/>
      <c r="K4" s="113"/>
      <c r="L4" s="113"/>
      <c r="M4" s="113"/>
      <c r="N4" s="113"/>
      <c r="O4" s="113"/>
      <c r="P4" s="113"/>
      <c r="Q4" s="113"/>
      <c r="R4" s="114"/>
    </row>
    <row r="5" spans="2:18" x14ac:dyDescent="0.35">
      <c r="B5" s="112"/>
      <c r="C5" s="113"/>
      <c r="D5" s="113"/>
      <c r="E5" s="113"/>
      <c r="F5" s="113"/>
      <c r="G5" s="113"/>
      <c r="H5" s="113"/>
      <c r="I5" s="113"/>
      <c r="J5" s="113"/>
      <c r="K5" s="113"/>
      <c r="L5" s="113"/>
      <c r="M5" s="113"/>
      <c r="N5" s="113"/>
      <c r="O5" s="113"/>
      <c r="P5" s="113"/>
      <c r="Q5" s="113"/>
      <c r="R5" s="114"/>
    </row>
    <row r="6" spans="2:18" x14ac:dyDescent="0.35">
      <c r="B6" s="112"/>
      <c r="C6" s="113"/>
      <c r="D6" s="113"/>
      <c r="E6" s="113"/>
      <c r="F6" s="113"/>
      <c r="G6" s="113"/>
      <c r="H6" s="113"/>
      <c r="I6" s="113"/>
      <c r="J6" s="113"/>
      <c r="K6" s="113"/>
      <c r="L6" s="113"/>
      <c r="M6" s="113"/>
      <c r="N6" s="113"/>
      <c r="O6" s="113"/>
      <c r="P6" s="113"/>
      <c r="Q6" s="113"/>
      <c r="R6" s="114"/>
    </row>
    <row r="7" spans="2:18" x14ac:dyDescent="0.35">
      <c r="B7" s="112"/>
      <c r="C7" s="113"/>
      <c r="D7" s="113"/>
      <c r="E7" s="113"/>
      <c r="F7" s="113"/>
      <c r="G7" s="113"/>
      <c r="H7" s="113"/>
      <c r="I7" s="113"/>
      <c r="J7" s="113"/>
      <c r="K7" s="113"/>
      <c r="L7" s="113"/>
      <c r="M7" s="113"/>
      <c r="N7" s="113"/>
      <c r="O7" s="113"/>
      <c r="P7" s="113"/>
      <c r="Q7" s="113"/>
      <c r="R7" s="114"/>
    </row>
    <row r="8" spans="2:18" x14ac:dyDescent="0.35">
      <c r="B8" s="112"/>
      <c r="C8" s="113"/>
      <c r="D8" s="113"/>
      <c r="E8" s="113"/>
      <c r="F8" s="113"/>
      <c r="G8" s="113"/>
      <c r="H8" s="113"/>
      <c r="I8" s="113"/>
      <c r="J8" s="113"/>
      <c r="K8" s="113"/>
      <c r="L8" s="113"/>
      <c r="M8" s="113"/>
      <c r="N8" s="113"/>
      <c r="O8" s="113"/>
      <c r="P8" s="113"/>
      <c r="Q8" s="113"/>
      <c r="R8" s="114"/>
    </row>
    <row r="9" spans="2:18" x14ac:dyDescent="0.35">
      <c r="B9" s="112"/>
      <c r="C9" s="113"/>
      <c r="D9" s="113"/>
      <c r="E9" s="113"/>
      <c r="F9" s="113"/>
      <c r="G9" s="113"/>
      <c r="H9" s="113"/>
      <c r="I9" s="113"/>
      <c r="J9" s="113"/>
      <c r="K9" s="113"/>
      <c r="L9" s="113"/>
      <c r="M9" s="113"/>
      <c r="N9" s="113"/>
      <c r="O9" s="113"/>
      <c r="P9" s="113"/>
      <c r="Q9" s="113"/>
      <c r="R9" s="114"/>
    </row>
    <row r="10" spans="2:18" x14ac:dyDescent="0.35">
      <c r="B10" s="112"/>
      <c r="C10" s="113"/>
      <c r="D10" s="113"/>
      <c r="E10" s="113"/>
      <c r="F10" s="113"/>
      <c r="G10" s="113"/>
      <c r="H10" s="113"/>
      <c r="I10" s="113"/>
      <c r="J10" s="113"/>
      <c r="K10" s="113"/>
      <c r="L10" s="113"/>
      <c r="M10" s="113"/>
      <c r="N10" s="113"/>
      <c r="O10" s="113"/>
      <c r="P10" s="113"/>
      <c r="Q10" s="113"/>
      <c r="R10" s="114"/>
    </row>
    <row r="11" spans="2:18" x14ac:dyDescent="0.35">
      <c r="B11" s="112"/>
      <c r="C11" s="113"/>
      <c r="D11" s="113"/>
      <c r="E11" s="113"/>
      <c r="F11" s="113"/>
      <c r="G11" s="113"/>
      <c r="H11" s="113"/>
      <c r="I11" s="113"/>
      <c r="J11" s="113"/>
      <c r="K11" s="113"/>
      <c r="L11" s="113"/>
      <c r="M11" s="113"/>
      <c r="N11" s="113"/>
      <c r="O11" s="113"/>
      <c r="P11" s="113"/>
      <c r="Q11" s="113"/>
      <c r="R11" s="114"/>
    </row>
    <row r="12" spans="2:18" x14ac:dyDescent="0.35">
      <c r="B12" s="112"/>
      <c r="C12" s="113"/>
      <c r="D12" s="113"/>
      <c r="E12" s="113"/>
      <c r="F12" s="113"/>
      <c r="G12" s="113"/>
      <c r="H12" s="113"/>
      <c r="I12" s="113"/>
      <c r="J12" s="113"/>
      <c r="K12" s="113"/>
      <c r="L12" s="113"/>
      <c r="M12" s="113"/>
      <c r="N12" s="113"/>
      <c r="O12" s="113"/>
      <c r="P12" s="113"/>
      <c r="Q12" s="113"/>
      <c r="R12" s="114"/>
    </row>
    <row r="13" spans="2:18" x14ac:dyDescent="0.35">
      <c r="B13" s="112"/>
      <c r="C13" s="113"/>
      <c r="D13" s="113"/>
      <c r="E13" s="113"/>
      <c r="F13" s="113"/>
      <c r="G13" s="113"/>
      <c r="H13" s="113"/>
      <c r="I13" s="113"/>
      <c r="J13" s="113"/>
      <c r="K13" s="113"/>
      <c r="L13" s="113"/>
      <c r="M13" s="113"/>
      <c r="N13" s="113"/>
      <c r="O13" s="113"/>
      <c r="P13" s="113"/>
      <c r="Q13" s="113"/>
      <c r="R13" s="114"/>
    </row>
    <row r="14" spans="2:18" x14ac:dyDescent="0.35">
      <c r="B14" s="112"/>
      <c r="C14" s="113"/>
      <c r="D14" s="113"/>
      <c r="E14" s="113"/>
      <c r="F14" s="113"/>
      <c r="G14" s="113"/>
      <c r="H14" s="113"/>
      <c r="I14" s="113"/>
      <c r="J14" s="113"/>
      <c r="K14" s="113"/>
      <c r="L14" s="113"/>
      <c r="M14" s="113"/>
      <c r="N14" s="113"/>
      <c r="O14" s="113"/>
      <c r="P14" s="113"/>
      <c r="Q14" s="113"/>
      <c r="R14" s="114"/>
    </row>
    <row r="15" spans="2:18" x14ac:dyDescent="0.35">
      <c r="B15" s="112"/>
      <c r="C15" s="113"/>
      <c r="D15" s="113"/>
      <c r="E15" s="113"/>
      <c r="F15" s="113"/>
      <c r="G15" s="113"/>
      <c r="H15" s="113"/>
      <c r="I15" s="113"/>
      <c r="J15" s="113"/>
      <c r="K15" s="113"/>
      <c r="L15" s="113"/>
      <c r="M15" s="113"/>
      <c r="N15" s="113"/>
      <c r="O15" s="113"/>
      <c r="P15" s="113"/>
      <c r="Q15" s="113"/>
      <c r="R15" s="114"/>
    </row>
    <row r="16" spans="2:18" x14ac:dyDescent="0.35">
      <c r="B16" s="112"/>
      <c r="C16" s="113"/>
      <c r="D16" s="113"/>
      <c r="E16" s="113"/>
      <c r="F16" s="113"/>
      <c r="G16" s="113"/>
      <c r="H16" s="113"/>
      <c r="I16" s="113"/>
      <c r="J16" s="113"/>
      <c r="K16" s="113"/>
      <c r="L16" s="113"/>
      <c r="M16" s="113"/>
      <c r="N16" s="113"/>
      <c r="O16" s="113"/>
      <c r="P16" s="113"/>
      <c r="Q16" s="113"/>
      <c r="R16" s="114"/>
    </row>
    <row r="17" spans="2:18" x14ac:dyDescent="0.35">
      <c r="B17" s="112"/>
      <c r="C17" s="113"/>
      <c r="D17" s="113"/>
      <c r="E17" s="113"/>
      <c r="F17" s="113"/>
      <c r="G17" s="113"/>
      <c r="H17" s="113"/>
      <c r="I17" s="113"/>
      <c r="J17" s="113"/>
      <c r="K17" s="113"/>
      <c r="L17" s="113"/>
      <c r="M17" s="113"/>
      <c r="N17" s="113"/>
      <c r="O17" s="113"/>
      <c r="P17" s="113"/>
      <c r="Q17" s="113"/>
      <c r="R17" s="114"/>
    </row>
    <row r="18" spans="2:18" x14ac:dyDescent="0.35">
      <c r="B18" s="112"/>
      <c r="C18" s="113"/>
      <c r="D18" s="113"/>
      <c r="E18" s="113"/>
      <c r="F18" s="113"/>
      <c r="G18" s="113"/>
      <c r="H18" s="113"/>
      <c r="I18" s="113"/>
      <c r="J18" s="113"/>
      <c r="K18" s="113"/>
      <c r="L18" s="113"/>
      <c r="M18" s="113"/>
      <c r="N18" s="113"/>
      <c r="O18" s="113"/>
      <c r="P18" s="113"/>
      <c r="Q18" s="113"/>
      <c r="R18" s="114"/>
    </row>
    <row r="19" spans="2:18" x14ac:dyDescent="0.35">
      <c r="B19" s="112"/>
      <c r="C19" s="113"/>
      <c r="D19" s="113"/>
      <c r="E19" s="113"/>
      <c r="F19" s="113"/>
      <c r="G19" s="113"/>
      <c r="H19" s="113"/>
      <c r="I19" s="113"/>
      <c r="J19" s="113"/>
      <c r="K19" s="113"/>
      <c r="L19" s="113"/>
      <c r="M19" s="113"/>
      <c r="N19" s="113"/>
      <c r="O19" s="113"/>
      <c r="P19" s="113"/>
      <c r="Q19" s="113"/>
      <c r="R19" s="114"/>
    </row>
    <row r="20" spans="2:18" x14ac:dyDescent="0.35">
      <c r="B20" s="112"/>
      <c r="C20" s="113"/>
      <c r="D20" s="113"/>
      <c r="E20" s="113"/>
      <c r="F20" s="113"/>
      <c r="G20" s="113"/>
      <c r="H20" s="113"/>
      <c r="I20" s="113"/>
      <c r="J20" s="113"/>
      <c r="K20" s="113"/>
      <c r="L20" s="113"/>
      <c r="M20" s="113"/>
      <c r="N20" s="113"/>
      <c r="O20" s="113"/>
      <c r="P20" s="113"/>
      <c r="Q20" s="113"/>
      <c r="R20" s="114"/>
    </row>
    <row r="21" spans="2:18" x14ac:dyDescent="0.35">
      <c r="B21" s="112"/>
      <c r="C21" s="113"/>
      <c r="D21" s="113"/>
      <c r="E21" s="113"/>
      <c r="F21" s="113"/>
      <c r="G21" s="113"/>
      <c r="H21" s="113"/>
      <c r="I21" s="113"/>
      <c r="J21" s="113"/>
      <c r="K21" s="113"/>
      <c r="L21" s="113"/>
      <c r="M21" s="113"/>
      <c r="N21" s="113"/>
      <c r="O21" s="113"/>
      <c r="P21" s="113"/>
      <c r="Q21" s="113"/>
      <c r="R21" s="114"/>
    </row>
    <row r="22" spans="2:18" x14ac:dyDescent="0.35">
      <c r="B22" s="112"/>
      <c r="C22" s="113"/>
      <c r="D22" s="113"/>
      <c r="E22" s="113"/>
      <c r="F22" s="113"/>
      <c r="G22" s="113"/>
      <c r="H22" s="113"/>
      <c r="I22" s="113"/>
      <c r="J22" s="113"/>
      <c r="K22" s="113"/>
      <c r="L22" s="113"/>
      <c r="M22" s="113"/>
      <c r="N22" s="113"/>
      <c r="O22" s="113"/>
      <c r="P22" s="113"/>
      <c r="Q22" s="113"/>
      <c r="R22" s="114"/>
    </row>
    <row r="23" spans="2:18" x14ac:dyDescent="0.35">
      <c r="B23" s="112"/>
      <c r="C23" s="113"/>
      <c r="D23" s="113"/>
      <c r="E23" s="113"/>
      <c r="F23" s="113"/>
      <c r="G23" s="113"/>
      <c r="H23" s="113"/>
      <c r="I23" s="113"/>
      <c r="J23" s="113"/>
      <c r="K23" s="113"/>
      <c r="L23" s="113"/>
      <c r="M23" s="113"/>
      <c r="N23" s="113"/>
      <c r="O23" s="113"/>
      <c r="P23" s="113"/>
      <c r="Q23" s="113"/>
      <c r="R23" s="114"/>
    </row>
    <row r="24" spans="2:18" x14ac:dyDescent="0.35">
      <c r="B24" s="112"/>
      <c r="C24" s="113"/>
      <c r="D24" s="113"/>
      <c r="E24" s="113"/>
      <c r="F24" s="113"/>
      <c r="G24" s="113"/>
      <c r="H24" s="113"/>
      <c r="I24" s="113"/>
      <c r="J24" s="113"/>
      <c r="K24" s="113"/>
      <c r="L24" s="113"/>
      <c r="M24" s="113"/>
      <c r="N24" s="113"/>
      <c r="O24" s="113"/>
      <c r="P24" s="113"/>
      <c r="Q24" s="113"/>
      <c r="R24" s="114"/>
    </row>
    <row r="25" spans="2:18" x14ac:dyDescent="0.35">
      <c r="B25" s="112"/>
      <c r="C25" s="113"/>
      <c r="D25" s="113"/>
      <c r="E25" s="113"/>
      <c r="F25" s="113"/>
      <c r="G25" s="113"/>
      <c r="H25" s="113"/>
      <c r="I25" s="113"/>
      <c r="J25" s="113"/>
      <c r="K25" s="113"/>
      <c r="L25" s="113"/>
      <c r="M25" s="113"/>
      <c r="N25" s="113"/>
      <c r="O25" s="113"/>
      <c r="P25" s="113"/>
      <c r="Q25" s="113"/>
      <c r="R25" s="114"/>
    </row>
    <row r="26" spans="2:18" x14ac:dyDescent="0.35">
      <c r="B26" s="112"/>
      <c r="C26" s="113"/>
      <c r="D26" s="113"/>
      <c r="E26" s="113"/>
      <c r="F26" s="113"/>
      <c r="G26" s="113"/>
      <c r="H26" s="113"/>
      <c r="I26" s="113"/>
      <c r="J26" s="113"/>
      <c r="K26" s="113"/>
      <c r="L26" s="113"/>
      <c r="M26" s="113"/>
      <c r="N26" s="113"/>
      <c r="O26" s="113"/>
      <c r="P26" s="113"/>
      <c r="Q26" s="113"/>
      <c r="R26" s="114"/>
    </row>
    <row r="27" spans="2:18" x14ac:dyDescent="0.35">
      <c r="B27" s="112"/>
      <c r="C27" s="113"/>
      <c r="D27" s="113"/>
      <c r="E27" s="113"/>
      <c r="F27" s="113"/>
      <c r="G27" s="113"/>
      <c r="H27" s="113"/>
      <c r="I27" s="113"/>
      <c r="J27" s="113"/>
      <c r="K27" s="113"/>
      <c r="L27" s="113"/>
      <c r="M27" s="113"/>
      <c r="N27" s="113"/>
      <c r="O27" s="113"/>
      <c r="P27" s="113"/>
      <c r="Q27" s="113"/>
      <c r="R27" s="114"/>
    </row>
    <row r="28" spans="2:18" x14ac:dyDescent="0.35">
      <c r="B28" s="112"/>
      <c r="C28" s="113"/>
      <c r="D28" s="113"/>
      <c r="E28" s="113"/>
      <c r="F28" s="113"/>
      <c r="G28" s="113"/>
      <c r="H28" s="113"/>
      <c r="I28" s="113"/>
      <c r="J28" s="113"/>
      <c r="K28" s="113"/>
      <c r="L28" s="113"/>
      <c r="M28" s="113"/>
      <c r="N28" s="113"/>
      <c r="O28" s="113"/>
      <c r="P28" s="113"/>
      <c r="Q28" s="113"/>
      <c r="R28" s="114"/>
    </row>
    <row r="29" spans="2:18" x14ac:dyDescent="0.35">
      <c r="B29" s="112"/>
      <c r="C29" s="113"/>
      <c r="D29" s="113"/>
      <c r="E29" s="113"/>
      <c r="F29" s="113"/>
      <c r="G29" s="113"/>
      <c r="H29" s="113"/>
      <c r="I29" s="113"/>
      <c r="J29" s="113"/>
      <c r="K29" s="113"/>
      <c r="L29" s="113"/>
      <c r="M29" s="113"/>
      <c r="N29" s="113"/>
      <c r="O29" s="113"/>
      <c r="P29" s="113"/>
      <c r="Q29" s="113"/>
      <c r="R29" s="114"/>
    </row>
    <row r="30" spans="2:18" x14ac:dyDescent="0.35">
      <c r="B30" s="112"/>
      <c r="C30" s="113"/>
      <c r="D30" s="113"/>
      <c r="E30" s="113"/>
      <c r="F30" s="113"/>
      <c r="G30" s="113"/>
      <c r="H30" s="113"/>
      <c r="I30" s="113"/>
      <c r="J30" s="113"/>
      <c r="K30" s="113"/>
      <c r="L30" s="113"/>
      <c r="M30" s="113"/>
      <c r="N30" s="113"/>
      <c r="O30" s="113"/>
      <c r="P30" s="113"/>
      <c r="Q30" s="113"/>
      <c r="R30" s="114"/>
    </row>
    <row r="31" spans="2:18" x14ac:dyDescent="0.35">
      <c r="B31" s="112"/>
      <c r="C31" s="113"/>
      <c r="D31" s="113"/>
      <c r="E31" s="113"/>
      <c r="F31" s="113"/>
      <c r="G31" s="113"/>
      <c r="H31" s="113"/>
      <c r="I31" s="113"/>
      <c r="J31" s="113"/>
      <c r="K31" s="113"/>
      <c r="L31" s="113"/>
      <c r="M31" s="113"/>
      <c r="N31" s="113"/>
      <c r="O31" s="113"/>
      <c r="P31" s="113"/>
      <c r="Q31" s="113"/>
      <c r="R31" s="114"/>
    </row>
    <row r="32" spans="2:18" x14ac:dyDescent="0.35">
      <c r="B32" s="112"/>
      <c r="C32" s="113"/>
      <c r="D32" s="113"/>
      <c r="E32" s="113"/>
      <c r="F32" s="113"/>
      <c r="G32" s="113"/>
      <c r="H32" s="113"/>
      <c r="I32" s="113"/>
      <c r="J32" s="113"/>
      <c r="K32" s="113"/>
      <c r="L32" s="113"/>
      <c r="M32" s="113"/>
      <c r="N32" s="113"/>
      <c r="O32" s="113"/>
      <c r="P32" s="113"/>
      <c r="Q32" s="113"/>
      <c r="R32" s="114"/>
    </row>
    <row r="33" spans="2:18" ht="15" customHeight="1" x14ac:dyDescent="0.35">
      <c r="B33" s="112"/>
      <c r="C33" s="113"/>
      <c r="D33" s="113"/>
      <c r="E33" s="113"/>
      <c r="F33" s="113"/>
      <c r="G33" s="113"/>
      <c r="H33" s="113"/>
      <c r="I33" s="113"/>
      <c r="J33" s="113"/>
      <c r="K33" s="113"/>
      <c r="L33" s="113"/>
      <c r="M33" s="113"/>
      <c r="N33" s="113"/>
      <c r="O33" s="113"/>
      <c r="P33" s="113"/>
      <c r="Q33" s="113"/>
      <c r="R33" s="114"/>
    </row>
    <row r="34" spans="2:18" x14ac:dyDescent="0.35">
      <c r="B34" s="112"/>
      <c r="C34" s="113"/>
      <c r="D34" s="113"/>
      <c r="E34" s="113"/>
      <c r="F34" s="113"/>
      <c r="G34" s="113"/>
      <c r="H34" s="113"/>
      <c r="I34" s="113"/>
      <c r="J34" s="113"/>
      <c r="K34" s="113"/>
      <c r="L34" s="113"/>
      <c r="M34" s="113"/>
      <c r="N34" s="113"/>
      <c r="O34" s="113"/>
      <c r="P34" s="113"/>
      <c r="Q34" s="113"/>
      <c r="R34" s="114"/>
    </row>
    <row r="35" spans="2:18" x14ac:dyDescent="0.35">
      <c r="B35" s="112"/>
      <c r="C35" s="113"/>
      <c r="D35" s="113"/>
      <c r="E35" s="113"/>
      <c r="F35" s="113"/>
      <c r="G35" s="113"/>
      <c r="H35" s="113"/>
      <c r="I35" s="113"/>
      <c r="J35" s="113"/>
      <c r="K35" s="113"/>
      <c r="L35" s="113"/>
      <c r="M35" s="113"/>
      <c r="N35" s="113"/>
      <c r="O35" s="113"/>
      <c r="P35" s="113"/>
      <c r="Q35" s="113"/>
      <c r="R35" s="114"/>
    </row>
    <row r="36" spans="2:18" ht="15" thickBot="1" x14ac:dyDescent="0.4">
      <c r="B36" s="115"/>
      <c r="C36" s="116"/>
      <c r="D36" s="116"/>
      <c r="E36" s="116"/>
      <c r="F36" s="116"/>
      <c r="G36" s="116"/>
      <c r="H36" s="116"/>
      <c r="I36" s="116"/>
      <c r="J36" s="116"/>
      <c r="K36" s="116"/>
      <c r="L36" s="116"/>
      <c r="M36" s="116"/>
      <c r="N36" s="116"/>
      <c r="O36" s="116"/>
      <c r="P36" s="116"/>
      <c r="Q36" s="116"/>
      <c r="R36" s="117"/>
    </row>
  </sheetData>
  <mergeCells count="1">
    <mergeCell ref="B2:R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6F00-F6CF-4458-B2CC-2DE90474991B}">
  <sheetPr>
    <tabColor theme="3" tint="0.749992370372631"/>
  </sheetPr>
  <dimension ref="B1:L146"/>
  <sheetViews>
    <sheetView showGridLines="0" zoomScaleNormal="100" workbookViewId="0">
      <pane xSplit="4" ySplit="2" topLeftCell="H12" activePane="bottomRight" state="frozen"/>
      <selection pane="topRight" activeCell="F1" sqref="F1"/>
      <selection pane="bottomLeft" activeCell="A3" sqref="A3"/>
      <selection pane="bottomRight" activeCell="J12" sqref="J12"/>
    </sheetView>
  </sheetViews>
  <sheetFormatPr baseColWidth="10" defaultColWidth="11.453125" defaultRowHeight="14.5" x14ac:dyDescent="0.35"/>
  <cols>
    <col min="1" max="1" width="1.453125" style="25" customWidth="1"/>
    <col min="2" max="3" width="18.26953125" style="25" customWidth="1"/>
    <col min="4" max="4" width="28.54296875" style="25" customWidth="1"/>
    <col min="5" max="5" width="25.26953125" style="25" bestFit="1" customWidth="1"/>
    <col min="6" max="6" width="28.453125" style="25" customWidth="1"/>
    <col min="7" max="7" width="42.7265625" style="37" customWidth="1"/>
    <col min="8" max="8" width="28.54296875" style="25" customWidth="1"/>
    <col min="9" max="9" width="42.7265625" style="25" customWidth="1"/>
    <col min="10" max="12" width="28.54296875" style="25" customWidth="1"/>
    <col min="13" max="16384" width="11.453125" style="25"/>
  </cols>
  <sheetData>
    <row r="1" spans="2:12" x14ac:dyDescent="0.35">
      <c r="E1" s="2" t="s">
        <v>0</v>
      </c>
      <c r="F1" s="118" t="s">
        <v>1</v>
      </c>
      <c r="G1" s="118"/>
      <c r="H1" s="118"/>
      <c r="I1" s="118"/>
      <c r="J1" s="119" t="s">
        <v>2</v>
      </c>
      <c r="K1" s="119"/>
      <c r="L1" s="119"/>
    </row>
    <row r="2" spans="2:12" ht="29" x14ac:dyDescent="0.35">
      <c r="B2" s="26" t="s">
        <v>290</v>
      </c>
      <c r="C2" s="26" t="s">
        <v>3</v>
      </c>
      <c r="D2" s="27" t="s">
        <v>291</v>
      </c>
      <c r="E2" s="28" t="s">
        <v>5</v>
      </c>
      <c r="F2" s="29" t="s">
        <v>6</v>
      </c>
      <c r="G2" s="29" t="s">
        <v>7</v>
      </c>
      <c r="H2" s="29" t="s">
        <v>8</v>
      </c>
      <c r="I2" s="29" t="s">
        <v>9</v>
      </c>
      <c r="J2" s="30" t="s">
        <v>10</v>
      </c>
      <c r="K2" s="30" t="s">
        <v>12</v>
      </c>
      <c r="L2" s="30" t="s">
        <v>13</v>
      </c>
    </row>
    <row r="3" spans="2:12" ht="130.5" x14ac:dyDescent="0.35">
      <c r="B3" s="31">
        <v>13</v>
      </c>
      <c r="C3" s="31" t="s">
        <v>51</v>
      </c>
      <c r="D3" s="32">
        <v>12</v>
      </c>
      <c r="E3" s="35" t="s">
        <v>320</v>
      </c>
      <c r="F3" s="36" t="s">
        <v>321</v>
      </c>
      <c r="G3" s="39" t="s">
        <v>301</v>
      </c>
      <c r="H3" s="36" t="s">
        <v>322</v>
      </c>
      <c r="I3" s="39" t="s">
        <v>301</v>
      </c>
      <c r="J3" s="36" t="s">
        <v>323</v>
      </c>
      <c r="K3" s="39" t="s">
        <v>301</v>
      </c>
      <c r="L3" s="36" t="s">
        <v>324</v>
      </c>
    </row>
    <row r="4" spans="2:12" x14ac:dyDescent="0.35">
      <c r="B4" s="31">
        <v>51</v>
      </c>
      <c r="C4" s="31" t="s">
        <v>227</v>
      </c>
      <c r="D4" s="33">
        <v>1</v>
      </c>
      <c r="E4" s="35" t="s">
        <v>406</v>
      </c>
      <c r="F4" s="36" t="s">
        <v>332</v>
      </c>
      <c r="G4" s="38" t="s">
        <v>301</v>
      </c>
      <c r="H4" s="36" t="s">
        <v>332</v>
      </c>
      <c r="I4" s="38" t="s">
        <v>301</v>
      </c>
      <c r="J4" s="36" t="s">
        <v>407</v>
      </c>
      <c r="K4" s="11" t="s">
        <v>301</v>
      </c>
      <c r="L4" s="36" t="s">
        <v>319</v>
      </c>
    </row>
    <row r="5" spans="2:12" x14ac:dyDescent="0.35">
      <c r="B5" s="31">
        <v>33</v>
      </c>
      <c r="C5" s="31" t="s">
        <v>194</v>
      </c>
      <c r="D5" s="33">
        <v>1</v>
      </c>
      <c r="E5" s="35" t="s">
        <v>380</v>
      </c>
      <c r="F5" s="38" t="s">
        <v>292</v>
      </c>
      <c r="G5" s="38" t="s">
        <v>292</v>
      </c>
      <c r="H5" s="36" t="s">
        <v>381</v>
      </c>
      <c r="I5" s="38" t="s">
        <v>301</v>
      </c>
      <c r="J5" s="36" t="s">
        <v>382</v>
      </c>
      <c r="K5" s="11" t="s">
        <v>301</v>
      </c>
      <c r="L5" s="36" t="s">
        <v>319</v>
      </c>
    </row>
    <row r="6" spans="2:12" x14ac:dyDescent="0.35">
      <c r="B6" s="31">
        <v>4</v>
      </c>
      <c r="C6" s="31" t="s">
        <v>29</v>
      </c>
      <c r="D6" s="32">
        <v>1</v>
      </c>
      <c r="E6" s="35" t="s">
        <v>303</v>
      </c>
      <c r="F6" s="36" t="s">
        <v>304</v>
      </c>
      <c r="G6" s="39" t="s">
        <v>435</v>
      </c>
      <c r="H6" s="36" t="s">
        <v>304</v>
      </c>
      <c r="I6" s="39" t="s">
        <v>301</v>
      </c>
      <c r="J6" s="36" t="s">
        <v>305</v>
      </c>
      <c r="K6" s="39" t="s">
        <v>301</v>
      </c>
      <c r="L6" s="39" t="s">
        <v>292</v>
      </c>
    </row>
    <row r="7" spans="2:12" x14ac:dyDescent="0.35">
      <c r="B7" s="31">
        <v>83</v>
      </c>
      <c r="C7" s="31" t="s">
        <v>273</v>
      </c>
      <c r="D7" s="33">
        <v>1</v>
      </c>
      <c r="E7" s="35" t="s">
        <v>424</v>
      </c>
      <c r="F7" s="38" t="s">
        <v>292</v>
      </c>
      <c r="G7" s="38" t="s">
        <v>292</v>
      </c>
      <c r="H7" s="36" t="s">
        <v>378</v>
      </c>
      <c r="I7" s="38" t="s">
        <v>301</v>
      </c>
      <c r="J7" s="36" t="s">
        <v>425</v>
      </c>
      <c r="K7" s="11" t="s">
        <v>301</v>
      </c>
      <c r="L7" s="36" t="s">
        <v>319</v>
      </c>
    </row>
    <row r="8" spans="2:12" ht="43.5" x14ac:dyDescent="0.35">
      <c r="B8" s="31">
        <v>5</v>
      </c>
      <c r="C8" s="31" t="s">
        <v>32</v>
      </c>
      <c r="D8" s="32">
        <v>6</v>
      </c>
      <c r="E8" s="35" t="s">
        <v>451</v>
      </c>
      <c r="F8" s="36" t="s">
        <v>306</v>
      </c>
      <c r="G8" s="36" t="s">
        <v>307</v>
      </c>
      <c r="H8" s="36" t="s">
        <v>306</v>
      </c>
      <c r="I8" s="36" t="s">
        <v>307</v>
      </c>
      <c r="J8" s="36" t="s">
        <v>308</v>
      </c>
      <c r="K8" s="36" t="s">
        <v>309</v>
      </c>
      <c r="L8" s="39" t="s">
        <v>292</v>
      </c>
    </row>
    <row r="9" spans="2:12" ht="29" x14ac:dyDescent="0.35">
      <c r="B9" s="31">
        <v>48</v>
      </c>
      <c r="C9" s="31" t="s">
        <v>219</v>
      </c>
      <c r="D9" s="33">
        <v>2</v>
      </c>
      <c r="E9" s="35" t="s">
        <v>401</v>
      </c>
      <c r="F9" s="38" t="s">
        <v>292</v>
      </c>
      <c r="G9" s="38" t="s">
        <v>292</v>
      </c>
      <c r="H9" s="36" t="s">
        <v>402</v>
      </c>
      <c r="I9" s="36" t="s">
        <v>403</v>
      </c>
      <c r="J9" s="36" t="s">
        <v>379</v>
      </c>
      <c r="K9" s="11" t="s">
        <v>301</v>
      </c>
      <c r="L9" s="36" t="s">
        <v>302</v>
      </c>
    </row>
    <row r="10" spans="2:12" ht="58" x14ac:dyDescent="0.35">
      <c r="B10" s="31">
        <v>24</v>
      </c>
      <c r="C10" s="31" t="s">
        <v>94</v>
      </c>
      <c r="D10" s="33">
        <v>4</v>
      </c>
      <c r="E10" s="35" t="s">
        <v>340</v>
      </c>
      <c r="F10" s="36" t="s">
        <v>341</v>
      </c>
      <c r="G10" s="39" t="s">
        <v>301</v>
      </c>
      <c r="H10" s="36" t="s">
        <v>341</v>
      </c>
      <c r="I10" s="39" t="s">
        <v>301</v>
      </c>
      <c r="J10" s="36" t="s">
        <v>342</v>
      </c>
      <c r="K10" s="36" t="s">
        <v>343</v>
      </c>
      <c r="L10" s="36" t="s">
        <v>319</v>
      </c>
    </row>
    <row r="11" spans="2:12" ht="58" x14ac:dyDescent="0.35">
      <c r="B11" s="31">
        <v>27</v>
      </c>
      <c r="C11" s="31" t="s">
        <v>127</v>
      </c>
      <c r="D11" s="33">
        <v>7</v>
      </c>
      <c r="E11" s="35" t="s">
        <v>352</v>
      </c>
      <c r="F11" s="36" t="s">
        <v>353</v>
      </c>
      <c r="G11" s="36" t="s">
        <v>354</v>
      </c>
      <c r="H11" s="36" t="s">
        <v>355</v>
      </c>
      <c r="I11" s="36" t="s">
        <v>356</v>
      </c>
      <c r="J11" s="36" t="s">
        <v>357</v>
      </c>
      <c r="K11" s="36" t="s">
        <v>358</v>
      </c>
      <c r="L11" s="36" t="s">
        <v>359</v>
      </c>
    </row>
    <row r="12" spans="2:12" ht="145" x14ac:dyDescent="0.35">
      <c r="B12" s="31">
        <v>29</v>
      </c>
      <c r="C12" s="31" t="s">
        <v>155</v>
      </c>
      <c r="D12" s="33">
        <v>17</v>
      </c>
      <c r="E12" s="35" t="s">
        <v>364</v>
      </c>
      <c r="F12" s="36" t="s">
        <v>365</v>
      </c>
      <c r="G12" s="36" t="s">
        <v>366</v>
      </c>
      <c r="H12" s="36" t="s">
        <v>367</v>
      </c>
      <c r="I12" s="36" t="s">
        <v>368</v>
      </c>
      <c r="J12" s="36" t="s">
        <v>369</v>
      </c>
      <c r="K12" s="36" t="s">
        <v>370</v>
      </c>
      <c r="L12" s="36" t="s">
        <v>359</v>
      </c>
    </row>
    <row r="13" spans="2:12" x14ac:dyDescent="0.35">
      <c r="B13" s="31">
        <v>32</v>
      </c>
      <c r="C13" s="31" t="s">
        <v>192</v>
      </c>
      <c r="D13" s="33">
        <v>1</v>
      </c>
      <c r="E13" s="35" t="s">
        <v>377</v>
      </c>
      <c r="F13" s="38" t="s">
        <v>434</v>
      </c>
      <c r="G13" s="39" t="s">
        <v>292</v>
      </c>
      <c r="H13" s="36" t="s">
        <v>378</v>
      </c>
      <c r="I13" s="38" t="s">
        <v>301</v>
      </c>
      <c r="J13" s="36" t="s">
        <v>379</v>
      </c>
      <c r="K13" s="11" t="s">
        <v>301</v>
      </c>
      <c r="L13" s="36" t="s">
        <v>319</v>
      </c>
    </row>
    <row r="14" spans="2:12" ht="87" x14ac:dyDescent="0.35">
      <c r="B14" s="31">
        <v>79</v>
      </c>
      <c r="C14" s="31" t="s">
        <v>241</v>
      </c>
      <c r="D14" s="33">
        <v>14</v>
      </c>
      <c r="E14" s="35" t="s">
        <v>415</v>
      </c>
      <c r="F14" s="36" t="s">
        <v>416</v>
      </c>
      <c r="G14" s="36" t="s">
        <v>417</v>
      </c>
      <c r="H14" s="36" t="s">
        <v>416</v>
      </c>
      <c r="I14" s="36" t="s">
        <v>417</v>
      </c>
      <c r="J14" s="36" t="s">
        <v>418</v>
      </c>
      <c r="K14" s="36" t="s">
        <v>419</v>
      </c>
      <c r="L14" s="36" t="s">
        <v>324</v>
      </c>
    </row>
    <row r="15" spans="2:12" ht="29" x14ac:dyDescent="0.35">
      <c r="B15" s="31">
        <v>6</v>
      </c>
      <c r="C15" s="31" t="s">
        <v>41</v>
      </c>
      <c r="D15" s="32">
        <v>2</v>
      </c>
      <c r="E15" s="35" t="s">
        <v>310</v>
      </c>
      <c r="F15" s="36" t="s">
        <v>311</v>
      </c>
      <c r="G15" s="36" t="s">
        <v>312</v>
      </c>
      <c r="H15" s="36" t="s">
        <v>311</v>
      </c>
      <c r="I15" s="36" t="s">
        <v>313</v>
      </c>
      <c r="J15" s="36" t="s">
        <v>314</v>
      </c>
      <c r="K15" s="39" t="s">
        <v>301</v>
      </c>
      <c r="L15" s="39" t="s">
        <v>292</v>
      </c>
    </row>
    <row r="16" spans="2:12" ht="29" x14ac:dyDescent="0.35">
      <c r="B16" s="31">
        <v>49</v>
      </c>
      <c r="C16" s="31" t="s">
        <v>223</v>
      </c>
      <c r="D16" s="33">
        <v>3</v>
      </c>
      <c r="E16" s="35" t="s">
        <v>404</v>
      </c>
      <c r="F16" s="38" t="s">
        <v>292</v>
      </c>
      <c r="G16" s="38" t="s">
        <v>292</v>
      </c>
      <c r="H16" s="36" t="s">
        <v>405</v>
      </c>
      <c r="I16" s="38" t="s">
        <v>301</v>
      </c>
      <c r="J16" s="36" t="s">
        <v>379</v>
      </c>
      <c r="K16" s="11" t="s">
        <v>301</v>
      </c>
      <c r="L16" s="36" t="s">
        <v>302</v>
      </c>
    </row>
    <row r="17" spans="2:12" ht="116" x14ac:dyDescent="0.35">
      <c r="B17" s="31">
        <v>26</v>
      </c>
      <c r="C17" s="31" t="s">
        <v>106</v>
      </c>
      <c r="D17" s="33">
        <v>13</v>
      </c>
      <c r="E17" s="35" t="s">
        <v>348</v>
      </c>
      <c r="F17" s="36" t="s">
        <v>349</v>
      </c>
      <c r="G17" s="39" t="s">
        <v>301</v>
      </c>
      <c r="H17" s="36" t="s">
        <v>350</v>
      </c>
      <c r="I17" s="36" t="s">
        <v>313</v>
      </c>
      <c r="J17" s="36" t="s">
        <v>351</v>
      </c>
      <c r="K17" s="38" t="s">
        <v>301</v>
      </c>
      <c r="L17" s="36" t="s">
        <v>324</v>
      </c>
    </row>
    <row r="18" spans="2:12" ht="58" x14ac:dyDescent="0.35">
      <c r="B18" s="31">
        <v>82</v>
      </c>
      <c r="C18" s="31" t="s">
        <v>262</v>
      </c>
      <c r="D18" s="33">
        <v>7</v>
      </c>
      <c r="E18" s="35" t="s">
        <v>421</v>
      </c>
      <c r="F18" s="36" t="s">
        <v>372</v>
      </c>
      <c r="G18" s="36" t="s">
        <v>373</v>
      </c>
      <c r="H18" s="36" t="s">
        <v>372</v>
      </c>
      <c r="I18" s="36" t="s">
        <v>422</v>
      </c>
      <c r="J18" s="36" t="s">
        <v>423</v>
      </c>
      <c r="K18" s="11" t="s">
        <v>301</v>
      </c>
      <c r="L18" s="36" t="s">
        <v>324</v>
      </c>
    </row>
    <row r="19" spans="2:12" ht="101.5" x14ac:dyDescent="0.35">
      <c r="B19" s="31">
        <v>3</v>
      </c>
      <c r="C19" s="31" t="s">
        <v>14</v>
      </c>
      <c r="D19" s="32">
        <v>9</v>
      </c>
      <c r="E19" s="35" t="s">
        <v>295</v>
      </c>
      <c r="F19" s="36" t="s">
        <v>296</v>
      </c>
      <c r="G19" s="36" t="s">
        <v>297</v>
      </c>
      <c r="H19" s="36" t="s">
        <v>298</v>
      </c>
      <c r="I19" s="36" t="s">
        <v>299</v>
      </c>
      <c r="J19" s="36" t="s">
        <v>300</v>
      </c>
      <c r="K19" s="39" t="s">
        <v>301</v>
      </c>
      <c r="L19" s="36" t="s">
        <v>302</v>
      </c>
    </row>
    <row r="20" spans="2:12" ht="29" x14ac:dyDescent="0.35">
      <c r="B20" s="31">
        <v>12</v>
      </c>
      <c r="C20" s="31" t="s">
        <v>46</v>
      </c>
      <c r="D20" s="32">
        <v>2</v>
      </c>
      <c r="E20" s="35" t="s">
        <v>315</v>
      </c>
      <c r="F20" s="36" t="s">
        <v>316</v>
      </c>
      <c r="G20" s="39" t="s">
        <v>301</v>
      </c>
      <c r="H20" s="36" t="s">
        <v>316</v>
      </c>
      <c r="I20" s="39" t="s">
        <v>301</v>
      </c>
      <c r="J20" s="36" t="s">
        <v>317</v>
      </c>
      <c r="K20" s="36" t="s">
        <v>318</v>
      </c>
      <c r="L20" s="36" t="s">
        <v>319</v>
      </c>
    </row>
    <row r="21" spans="2:12" ht="43.5" x14ac:dyDescent="0.35">
      <c r="B21" s="31">
        <v>25</v>
      </c>
      <c r="C21" s="31" t="s">
        <v>100</v>
      </c>
      <c r="D21" s="32">
        <v>3</v>
      </c>
      <c r="E21" s="35" t="s">
        <v>344</v>
      </c>
      <c r="F21" s="36" t="s">
        <v>345</v>
      </c>
      <c r="G21" s="36" t="s">
        <v>346</v>
      </c>
      <c r="H21" s="36" t="s">
        <v>345</v>
      </c>
      <c r="I21" s="36" t="s">
        <v>346</v>
      </c>
      <c r="J21" s="36" t="s">
        <v>347</v>
      </c>
      <c r="K21" s="38" t="s">
        <v>301</v>
      </c>
      <c r="L21" s="36" t="s">
        <v>319</v>
      </c>
    </row>
    <row r="22" spans="2:12" ht="29" x14ac:dyDescent="0.35">
      <c r="B22" s="31">
        <v>42</v>
      </c>
      <c r="C22" s="31" t="s">
        <v>210</v>
      </c>
      <c r="D22" s="33">
        <v>3</v>
      </c>
      <c r="E22" s="35" t="s">
        <v>395</v>
      </c>
      <c r="F22" s="36" t="s">
        <v>396</v>
      </c>
      <c r="G22" s="38" t="s">
        <v>301</v>
      </c>
      <c r="H22" s="36" t="s">
        <v>396</v>
      </c>
      <c r="I22" s="38" t="s">
        <v>301</v>
      </c>
      <c r="J22" s="36" t="s">
        <v>397</v>
      </c>
      <c r="K22" s="11" t="s">
        <v>301</v>
      </c>
      <c r="L22" s="36" t="s">
        <v>319</v>
      </c>
    </row>
    <row r="23" spans="2:12" ht="145" x14ac:dyDescent="0.35">
      <c r="B23" s="31">
        <v>28</v>
      </c>
      <c r="C23" s="31" t="s">
        <v>140</v>
      </c>
      <c r="D23" s="33">
        <v>11</v>
      </c>
      <c r="E23" s="35" t="s">
        <v>360</v>
      </c>
      <c r="F23" s="36" t="s">
        <v>361</v>
      </c>
      <c r="G23" s="36" t="s">
        <v>362</v>
      </c>
      <c r="H23" s="36" t="s">
        <v>361</v>
      </c>
      <c r="I23" s="36" t="s">
        <v>362</v>
      </c>
      <c r="J23" s="36" t="s">
        <v>363</v>
      </c>
      <c r="K23" s="36" t="s">
        <v>452</v>
      </c>
      <c r="L23" s="36" t="s">
        <v>359</v>
      </c>
    </row>
    <row r="24" spans="2:12" ht="29" x14ac:dyDescent="0.35">
      <c r="B24" s="31">
        <v>41</v>
      </c>
      <c r="C24" s="31" t="s">
        <v>206</v>
      </c>
      <c r="D24" s="33">
        <v>2</v>
      </c>
      <c r="E24" s="35" t="s">
        <v>391</v>
      </c>
      <c r="F24" s="36" t="s">
        <v>392</v>
      </c>
      <c r="G24" s="36" t="s">
        <v>393</v>
      </c>
      <c r="H24" s="36" t="s">
        <v>392</v>
      </c>
      <c r="I24" s="36" t="s">
        <v>393</v>
      </c>
      <c r="J24" s="36" t="s">
        <v>394</v>
      </c>
      <c r="K24" s="11" t="s">
        <v>301</v>
      </c>
      <c r="L24" s="36" t="s">
        <v>319</v>
      </c>
    </row>
    <row r="25" spans="2:12" ht="29" x14ac:dyDescent="0.35">
      <c r="B25" s="31" t="s">
        <v>293</v>
      </c>
      <c r="C25" s="31" t="s">
        <v>275</v>
      </c>
      <c r="D25" s="33">
        <v>2</v>
      </c>
      <c r="E25" s="35" t="s">
        <v>426</v>
      </c>
      <c r="F25" s="36" t="s">
        <v>381</v>
      </c>
      <c r="G25" s="38" t="s">
        <v>301</v>
      </c>
      <c r="H25" s="36" t="s">
        <v>381</v>
      </c>
      <c r="I25" s="38" t="s">
        <v>301</v>
      </c>
      <c r="J25" s="36" t="s">
        <v>427</v>
      </c>
      <c r="K25" s="11" t="s">
        <v>301</v>
      </c>
      <c r="L25" s="36" t="s">
        <v>414</v>
      </c>
    </row>
    <row r="26" spans="2:12" ht="58" x14ac:dyDescent="0.35">
      <c r="B26" s="31" t="s">
        <v>294</v>
      </c>
      <c r="C26" s="31" t="s">
        <v>279</v>
      </c>
      <c r="D26" s="33">
        <v>5</v>
      </c>
      <c r="E26" s="35" t="s">
        <v>428</v>
      </c>
      <c r="F26" s="36" t="s">
        <v>429</v>
      </c>
      <c r="G26" s="36" t="s">
        <v>430</v>
      </c>
      <c r="H26" s="36" t="s">
        <v>431</v>
      </c>
      <c r="I26" s="36" t="s">
        <v>432</v>
      </c>
      <c r="J26" s="36" t="s">
        <v>433</v>
      </c>
      <c r="K26" s="36" t="s">
        <v>1032</v>
      </c>
      <c r="L26" s="38" t="s">
        <v>292</v>
      </c>
    </row>
    <row r="27" spans="2:12" ht="43.5" x14ac:dyDescent="0.35">
      <c r="B27" s="31">
        <v>34</v>
      </c>
      <c r="C27" s="31" t="s">
        <v>196</v>
      </c>
      <c r="D27" s="33">
        <v>3</v>
      </c>
      <c r="E27" s="35" t="s">
        <v>383</v>
      </c>
      <c r="F27" s="38" t="s">
        <v>292</v>
      </c>
      <c r="G27" s="38" t="s">
        <v>292</v>
      </c>
      <c r="H27" s="36" t="s">
        <v>384</v>
      </c>
      <c r="I27" s="36" t="s">
        <v>385</v>
      </c>
      <c r="J27" s="36" t="s">
        <v>382</v>
      </c>
      <c r="K27" s="11" t="s">
        <v>301</v>
      </c>
      <c r="L27" s="36" t="s">
        <v>319</v>
      </c>
    </row>
    <row r="28" spans="2:12" ht="43.5" x14ac:dyDescent="0.35">
      <c r="B28" s="31">
        <v>14</v>
      </c>
      <c r="C28" s="31" t="s">
        <v>69</v>
      </c>
      <c r="D28" s="32">
        <v>5</v>
      </c>
      <c r="E28" s="35" t="s">
        <v>325</v>
      </c>
      <c r="F28" s="36" t="s">
        <v>326</v>
      </c>
      <c r="G28" s="39" t="s">
        <v>301</v>
      </c>
      <c r="H28" s="36" t="s">
        <v>327</v>
      </c>
      <c r="I28" s="39" t="s">
        <v>301</v>
      </c>
      <c r="J28" s="36" t="s">
        <v>328</v>
      </c>
      <c r="K28" s="36" t="s">
        <v>329</v>
      </c>
      <c r="L28" s="36" t="s">
        <v>319</v>
      </c>
    </row>
    <row r="29" spans="2:12" ht="58" x14ac:dyDescent="0.35">
      <c r="B29" s="31">
        <v>47</v>
      </c>
      <c r="C29" s="31" t="s">
        <v>214</v>
      </c>
      <c r="D29" s="33">
        <v>4</v>
      </c>
      <c r="E29" s="35" t="s">
        <v>398</v>
      </c>
      <c r="F29" s="38" t="s">
        <v>292</v>
      </c>
      <c r="G29" s="38" t="s">
        <v>292</v>
      </c>
      <c r="H29" s="36" t="s">
        <v>399</v>
      </c>
      <c r="I29" s="36" t="s">
        <v>385</v>
      </c>
      <c r="J29" s="36" t="s">
        <v>400</v>
      </c>
      <c r="K29" s="11" t="s">
        <v>301</v>
      </c>
      <c r="L29" s="36" t="s">
        <v>319</v>
      </c>
    </row>
    <row r="30" spans="2:12" x14ac:dyDescent="0.35">
      <c r="B30" s="31">
        <v>38</v>
      </c>
      <c r="C30" s="31" t="s">
        <v>202</v>
      </c>
      <c r="D30" s="33">
        <v>1</v>
      </c>
      <c r="E30" s="35" t="s">
        <v>386</v>
      </c>
      <c r="F30" s="36" t="s">
        <v>381</v>
      </c>
      <c r="G30" s="38" t="s">
        <v>301</v>
      </c>
      <c r="H30" s="36" t="s">
        <v>381</v>
      </c>
      <c r="I30" s="38" t="s">
        <v>301</v>
      </c>
      <c r="J30" s="36" t="s">
        <v>387</v>
      </c>
      <c r="K30" s="11" t="s">
        <v>301</v>
      </c>
      <c r="L30" s="38" t="s">
        <v>292</v>
      </c>
    </row>
    <row r="31" spans="2:12" ht="29" x14ac:dyDescent="0.35">
      <c r="B31" s="31">
        <v>52</v>
      </c>
      <c r="C31" s="31" t="s">
        <v>230</v>
      </c>
      <c r="D31" s="33">
        <v>2</v>
      </c>
      <c r="E31" s="35" t="s">
        <v>408</v>
      </c>
      <c r="F31" s="38" t="s">
        <v>292</v>
      </c>
      <c r="G31" s="38" t="s">
        <v>292</v>
      </c>
      <c r="H31" s="36" t="s">
        <v>409</v>
      </c>
      <c r="I31" s="36" t="s">
        <v>385</v>
      </c>
      <c r="J31" s="36" t="s">
        <v>382</v>
      </c>
      <c r="K31" s="11" t="s">
        <v>301</v>
      </c>
      <c r="L31" s="36" t="s">
        <v>319</v>
      </c>
    </row>
    <row r="32" spans="2:12" x14ac:dyDescent="0.35">
      <c r="B32" s="31">
        <v>81</v>
      </c>
      <c r="C32" s="31" t="s">
        <v>260</v>
      </c>
      <c r="D32" s="33">
        <v>1</v>
      </c>
      <c r="E32" s="35" t="s">
        <v>420</v>
      </c>
      <c r="F32" s="38" t="s">
        <v>292</v>
      </c>
      <c r="G32" s="38" t="s">
        <v>292</v>
      </c>
      <c r="H32" s="36" t="s">
        <v>381</v>
      </c>
      <c r="I32" s="38" t="s">
        <v>301</v>
      </c>
      <c r="J32" s="36" t="s">
        <v>379</v>
      </c>
      <c r="K32" s="11" t="s">
        <v>301</v>
      </c>
      <c r="L32" s="38" t="s">
        <v>292</v>
      </c>
    </row>
    <row r="33" spans="2:12" ht="43.5" x14ac:dyDescent="0.35">
      <c r="B33" s="31">
        <v>22</v>
      </c>
      <c r="C33" s="31" t="s">
        <v>78</v>
      </c>
      <c r="D33" s="33">
        <v>4</v>
      </c>
      <c r="E33" s="35" t="s">
        <v>330</v>
      </c>
      <c r="F33" s="36" t="s">
        <v>331</v>
      </c>
      <c r="G33" s="39" t="s">
        <v>301</v>
      </c>
      <c r="H33" s="36" t="s">
        <v>332</v>
      </c>
      <c r="I33" s="39" t="s">
        <v>301</v>
      </c>
      <c r="J33" s="36" t="s">
        <v>333</v>
      </c>
      <c r="K33" s="36" t="s">
        <v>334</v>
      </c>
      <c r="L33" s="36" t="s">
        <v>319</v>
      </c>
    </row>
    <row r="34" spans="2:12" ht="43.5" x14ac:dyDescent="0.35">
      <c r="B34" s="31">
        <v>74</v>
      </c>
      <c r="C34" s="31" t="s">
        <v>233</v>
      </c>
      <c r="D34" s="33">
        <v>4</v>
      </c>
      <c r="E34" s="35" t="s">
        <v>410</v>
      </c>
      <c r="F34" s="36" t="s">
        <v>411</v>
      </c>
      <c r="G34" s="38" t="s">
        <v>301</v>
      </c>
      <c r="H34" s="36" t="s">
        <v>412</v>
      </c>
      <c r="I34" s="38" t="s">
        <v>301</v>
      </c>
      <c r="J34" s="36" t="s">
        <v>413</v>
      </c>
      <c r="K34" s="11" t="s">
        <v>301</v>
      </c>
      <c r="L34" s="36" t="s">
        <v>414</v>
      </c>
    </row>
    <row r="35" spans="2:12" ht="29" x14ac:dyDescent="0.35">
      <c r="B35" s="31">
        <v>23</v>
      </c>
      <c r="C35" s="31" t="s">
        <v>86</v>
      </c>
      <c r="D35" s="32">
        <v>4</v>
      </c>
      <c r="E35" s="35" t="s">
        <v>335</v>
      </c>
      <c r="F35" s="36" t="s">
        <v>336</v>
      </c>
      <c r="G35" s="36" t="s">
        <v>337</v>
      </c>
      <c r="H35" s="36" t="s">
        <v>336</v>
      </c>
      <c r="I35" s="39" t="s">
        <v>301</v>
      </c>
      <c r="J35" s="36" t="s">
        <v>338</v>
      </c>
      <c r="K35" s="36" t="s">
        <v>339</v>
      </c>
      <c r="L35" s="36" t="s">
        <v>319</v>
      </c>
    </row>
    <row r="36" spans="2:12" ht="43.5" x14ac:dyDescent="0.35">
      <c r="B36" s="31">
        <v>30</v>
      </c>
      <c r="C36" s="31" t="s">
        <v>183</v>
      </c>
      <c r="D36" s="33">
        <v>5</v>
      </c>
      <c r="E36" s="35" t="s">
        <v>371</v>
      </c>
      <c r="F36" s="36" t="s">
        <v>372</v>
      </c>
      <c r="G36" s="36" t="s">
        <v>373</v>
      </c>
      <c r="H36" s="36" t="s">
        <v>372</v>
      </c>
      <c r="I36" s="36" t="s">
        <v>374</v>
      </c>
      <c r="J36" s="36" t="s">
        <v>375</v>
      </c>
      <c r="K36" s="36" t="s">
        <v>376</v>
      </c>
      <c r="L36" s="36" t="s">
        <v>302</v>
      </c>
    </row>
    <row r="37" spans="2:12" ht="29" x14ac:dyDescent="0.35">
      <c r="B37" s="31">
        <v>40</v>
      </c>
      <c r="C37" s="31" t="s">
        <v>204</v>
      </c>
      <c r="D37" s="33">
        <v>1</v>
      </c>
      <c r="E37" s="35" t="s">
        <v>388</v>
      </c>
      <c r="F37" s="36" t="s">
        <v>389</v>
      </c>
      <c r="G37" s="38" t="s">
        <v>301</v>
      </c>
      <c r="H37" s="36" t="s">
        <v>389</v>
      </c>
      <c r="I37" s="38" t="s">
        <v>301</v>
      </c>
      <c r="J37" s="36" t="s">
        <v>390</v>
      </c>
      <c r="K37" s="11" t="s">
        <v>301</v>
      </c>
      <c r="L37" s="38" t="s">
        <v>292</v>
      </c>
    </row>
    <row r="38" spans="2:12" x14ac:dyDescent="0.35">
      <c r="B38" s="34"/>
      <c r="C38" s="34"/>
    </row>
    <row r="39" spans="2:12" x14ac:dyDescent="0.35">
      <c r="B39" s="34"/>
      <c r="C39" s="34"/>
    </row>
    <row r="40" spans="2:12" x14ac:dyDescent="0.35">
      <c r="B40" s="34"/>
      <c r="C40" s="34"/>
      <c r="F40" s="40" t="s">
        <v>436</v>
      </c>
    </row>
    <row r="41" spans="2:12" x14ac:dyDescent="0.35">
      <c r="B41" s="34"/>
      <c r="C41" s="34"/>
      <c r="F41" s="41" t="s">
        <v>437</v>
      </c>
    </row>
    <row r="42" spans="2:12" x14ac:dyDescent="0.35">
      <c r="B42" s="34"/>
      <c r="C42" s="34"/>
    </row>
    <row r="43" spans="2:12" x14ac:dyDescent="0.35">
      <c r="B43" s="34"/>
      <c r="C43" s="34"/>
    </row>
    <row r="44" spans="2:12" x14ac:dyDescent="0.35">
      <c r="B44" s="34"/>
      <c r="C44" s="34"/>
    </row>
    <row r="45" spans="2:12" x14ac:dyDescent="0.35">
      <c r="B45" s="34"/>
      <c r="C45" s="34"/>
    </row>
    <row r="46" spans="2:12" x14ac:dyDescent="0.35">
      <c r="B46" s="34"/>
      <c r="C46" s="34"/>
    </row>
    <row r="47" spans="2:12" x14ac:dyDescent="0.35">
      <c r="B47" s="34"/>
      <c r="C47" s="34"/>
    </row>
    <row r="48" spans="2:12" x14ac:dyDescent="0.35">
      <c r="B48" s="34"/>
      <c r="C48" s="34"/>
    </row>
    <row r="49" spans="2:3" x14ac:dyDescent="0.35">
      <c r="B49" s="34"/>
      <c r="C49" s="34"/>
    </row>
    <row r="50" spans="2:3" x14ac:dyDescent="0.35">
      <c r="B50" s="34"/>
      <c r="C50" s="34"/>
    </row>
    <row r="51" spans="2:3" x14ac:dyDescent="0.35">
      <c r="B51" s="34"/>
      <c r="C51" s="34"/>
    </row>
    <row r="52" spans="2:3" x14ac:dyDescent="0.35">
      <c r="B52" s="34"/>
      <c r="C52" s="34"/>
    </row>
    <row r="53" spans="2:3" x14ac:dyDescent="0.35">
      <c r="B53" s="34"/>
      <c r="C53" s="34"/>
    </row>
    <row r="54" spans="2:3" x14ac:dyDescent="0.35">
      <c r="B54" s="34"/>
      <c r="C54" s="34"/>
    </row>
    <row r="55" spans="2:3" x14ac:dyDescent="0.35">
      <c r="B55" s="34"/>
      <c r="C55" s="34"/>
    </row>
    <row r="56" spans="2:3" x14ac:dyDescent="0.35">
      <c r="B56" s="34"/>
      <c r="C56" s="34"/>
    </row>
    <row r="57" spans="2:3" x14ac:dyDescent="0.35">
      <c r="B57" s="34"/>
      <c r="C57" s="34"/>
    </row>
    <row r="58" spans="2:3" x14ac:dyDescent="0.35">
      <c r="B58" s="34"/>
      <c r="C58" s="34"/>
    </row>
    <row r="59" spans="2:3" x14ac:dyDescent="0.35">
      <c r="B59" s="34"/>
      <c r="C59" s="34"/>
    </row>
    <row r="60" spans="2:3" x14ac:dyDescent="0.35">
      <c r="B60" s="34"/>
      <c r="C60" s="34"/>
    </row>
    <row r="61" spans="2:3" x14ac:dyDescent="0.35">
      <c r="B61" s="34"/>
      <c r="C61" s="34"/>
    </row>
    <row r="62" spans="2:3" x14ac:dyDescent="0.35">
      <c r="B62" s="34"/>
      <c r="C62" s="34"/>
    </row>
    <row r="63" spans="2:3" x14ac:dyDescent="0.35">
      <c r="B63" s="34"/>
      <c r="C63" s="34"/>
    </row>
    <row r="64" spans="2:3" x14ac:dyDescent="0.35">
      <c r="B64" s="34"/>
      <c r="C64" s="34"/>
    </row>
    <row r="65" spans="2:3" x14ac:dyDescent="0.35">
      <c r="B65" s="34"/>
      <c r="C65" s="34"/>
    </row>
    <row r="66" spans="2:3" x14ac:dyDescent="0.35">
      <c r="B66" s="34"/>
      <c r="C66" s="34"/>
    </row>
    <row r="67" spans="2:3" x14ac:dyDescent="0.35">
      <c r="B67" s="34"/>
      <c r="C67" s="34"/>
    </row>
    <row r="68" spans="2:3" x14ac:dyDescent="0.35">
      <c r="B68" s="34"/>
      <c r="C68" s="34"/>
    </row>
    <row r="69" spans="2:3" x14ac:dyDescent="0.35">
      <c r="B69" s="34"/>
      <c r="C69" s="34"/>
    </row>
    <row r="70" spans="2:3" x14ac:dyDescent="0.35">
      <c r="B70" s="34"/>
      <c r="C70" s="34"/>
    </row>
    <row r="71" spans="2:3" x14ac:dyDescent="0.35">
      <c r="B71" s="34"/>
      <c r="C71" s="34"/>
    </row>
    <row r="72" spans="2:3" x14ac:dyDescent="0.35">
      <c r="B72" s="34"/>
      <c r="C72" s="34"/>
    </row>
    <row r="73" spans="2:3" x14ac:dyDescent="0.35">
      <c r="B73" s="34"/>
      <c r="C73" s="34"/>
    </row>
    <row r="74" spans="2:3" x14ac:dyDescent="0.35">
      <c r="B74" s="34"/>
      <c r="C74" s="34"/>
    </row>
    <row r="75" spans="2:3" x14ac:dyDescent="0.35">
      <c r="B75" s="34"/>
      <c r="C75" s="34"/>
    </row>
    <row r="76" spans="2:3" x14ac:dyDescent="0.35">
      <c r="B76" s="34"/>
      <c r="C76" s="34"/>
    </row>
    <row r="77" spans="2:3" x14ac:dyDescent="0.35">
      <c r="B77" s="34"/>
      <c r="C77" s="34"/>
    </row>
    <row r="78" spans="2:3" x14ac:dyDescent="0.35">
      <c r="B78" s="34"/>
      <c r="C78" s="34"/>
    </row>
    <row r="79" spans="2:3" x14ac:dyDescent="0.35">
      <c r="B79" s="34"/>
      <c r="C79" s="34"/>
    </row>
    <row r="80" spans="2:3" x14ac:dyDescent="0.35">
      <c r="B80" s="34"/>
      <c r="C80" s="34"/>
    </row>
    <row r="81" spans="2:3" x14ac:dyDescent="0.35">
      <c r="B81" s="34"/>
      <c r="C81" s="34"/>
    </row>
    <row r="82" spans="2:3" x14ac:dyDescent="0.35">
      <c r="B82" s="34"/>
      <c r="C82" s="34"/>
    </row>
    <row r="83" spans="2:3" x14ac:dyDescent="0.35">
      <c r="B83" s="34"/>
      <c r="C83" s="34"/>
    </row>
    <row r="84" spans="2:3" x14ac:dyDescent="0.35">
      <c r="B84" s="34"/>
      <c r="C84" s="34"/>
    </row>
    <row r="85" spans="2:3" x14ac:dyDescent="0.35">
      <c r="B85" s="34"/>
      <c r="C85" s="34"/>
    </row>
    <row r="86" spans="2:3" x14ac:dyDescent="0.35">
      <c r="B86" s="34"/>
      <c r="C86" s="34"/>
    </row>
    <row r="87" spans="2:3" x14ac:dyDescent="0.35">
      <c r="B87" s="34"/>
      <c r="C87" s="34"/>
    </row>
    <row r="88" spans="2:3" x14ac:dyDescent="0.35">
      <c r="B88" s="34"/>
      <c r="C88" s="34"/>
    </row>
    <row r="89" spans="2:3" x14ac:dyDescent="0.35">
      <c r="B89" s="34"/>
      <c r="C89" s="34"/>
    </row>
    <row r="90" spans="2:3" x14ac:dyDescent="0.35">
      <c r="B90" s="34"/>
      <c r="C90" s="34"/>
    </row>
    <row r="91" spans="2:3" x14ac:dyDescent="0.35">
      <c r="B91" s="34"/>
      <c r="C91" s="34"/>
    </row>
    <row r="92" spans="2:3" x14ac:dyDescent="0.35">
      <c r="B92" s="34"/>
      <c r="C92" s="34"/>
    </row>
    <row r="93" spans="2:3" x14ac:dyDescent="0.35">
      <c r="B93" s="34"/>
      <c r="C93" s="34"/>
    </row>
    <row r="94" spans="2:3" x14ac:dyDescent="0.35">
      <c r="B94" s="34"/>
      <c r="C94" s="34"/>
    </row>
    <row r="95" spans="2:3" x14ac:dyDescent="0.35">
      <c r="B95" s="34"/>
      <c r="C95" s="34"/>
    </row>
    <row r="96" spans="2:3" x14ac:dyDescent="0.35">
      <c r="B96" s="34"/>
      <c r="C96" s="34"/>
    </row>
    <row r="97" spans="2:3" x14ac:dyDescent="0.35">
      <c r="B97" s="34"/>
      <c r="C97" s="34"/>
    </row>
    <row r="98" spans="2:3" x14ac:dyDescent="0.35">
      <c r="B98" s="34"/>
      <c r="C98" s="34"/>
    </row>
    <row r="99" spans="2:3" x14ac:dyDescent="0.35">
      <c r="B99" s="34"/>
      <c r="C99" s="34"/>
    </row>
    <row r="100" spans="2:3" x14ac:dyDescent="0.35">
      <c r="B100" s="34"/>
      <c r="C100" s="34"/>
    </row>
    <row r="101" spans="2:3" x14ac:dyDescent="0.35">
      <c r="B101" s="34"/>
      <c r="C101" s="34"/>
    </row>
    <row r="102" spans="2:3" x14ac:dyDescent="0.35">
      <c r="B102" s="34"/>
      <c r="C102" s="34"/>
    </row>
    <row r="103" spans="2:3" x14ac:dyDescent="0.35">
      <c r="B103" s="34"/>
      <c r="C103" s="34"/>
    </row>
    <row r="104" spans="2:3" x14ac:dyDescent="0.35">
      <c r="B104" s="34"/>
      <c r="C104" s="34"/>
    </row>
    <row r="105" spans="2:3" x14ac:dyDescent="0.35">
      <c r="B105" s="34"/>
      <c r="C105" s="34"/>
    </row>
    <row r="106" spans="2:3" x14ac:dyDescent="0.35">
      <c r="B106" s="34"/>
      <c r="C106" s="34"/>
    </row>
    <row r="107" spans="2:3" x14ac:dyDescent="0.35">
      <c r="B107" s="34"/>
      <c r="C107" s="34"/>
    </row>
    <row r="108" spans="2:3" x14ac:dyDescent="0.35">
      <c r="B108" s="34"/>
      <c r="C108" s="34"/>
    </row>
    <row r="109" spans="2:3" x14ac:dyDescent="0.35">
      <c r="B109" s="34"/>
      <c r="C109" s="34"/>
    </row>
    <row r="110" spans="2:3" x14ac:dyDescent="0.35">
      <c r="B110" s="34"/>
      <c r="C110" s="34"/>
    </row>
    <row r="111" spans="2:3" x14ac:dyDescent="0.35">
      <c r="B111" s="34"/>
      <c r="C111" s="34"/>
    </row>
    <row r="112" spans="2:3" x14ac:dyDescent="0.35">
      <c r="B112" s="34"/>
      <c r="C112" s="34"/>
    </row>
    <row r="113" spans="2:3" x14ac:dyDescent="0.35">
      <c r="B113" s="34"/>
      <c r="C113" s="34"/>
    </row>
    <row r="114" spans="2:3" x14ac:dyDescent="0.35">
      <c r="B114" s="34"/>
      <c r="C114" s="34"/>
    </row>
    <row r="115" spans="2:3" x14ac:dyDescent="0.35">
      <c r="B115" s="34"/>
      <c r="C115" s="34"/>
    </row>
    <row r="116" spans="2:3" x14ac:dyDescent="0.35">
      <c r="B116" s="34"/>
      <c r="C116" s="34"/>
    </row>
    <row r="117" spans="2:3" x14ac:dyDescent="0.35">
      <c r="B117" s="34"/>
      <c r="C117" s="34"/>
    </row>
    <row r="118" spans="2:3" x14ac:dyDescent="0.35">
      <c r="B118" s="34"/>
      <c r="C118" s="34"/>
    </row>
    <row r="119" spans="2:3" x14ac:dyDescent="0.35">
      <c r="B119" s="34"/>
      <c r="C119" s="34"/>
    </row>
    <row r="120" spans="2:3" x14ac:dyDescent="0.35">
      <c r="B120" s="34"/>
      <c r="C120" s="34"/>
    </row>
    <row r="121" spans="2:3" x14ac:dyDescent="0.35">
      <c r="B121" s="34"/>
      <c r="C121" s="34"/>
    </row>
    <row r="122" spans="2:3" x14ac:dyDescent="0.35">
      <c r="B122" s="34"/>
      <c r="C122" s="34"/>
    </row>
    <row r="123" spans="2:3" x14ac:dyDescent="0.35">
      <c r="B123" s="34"/>
      <c r="C123" s="34"/>
    </row>
    <row r="124" spans="2:3" x14ac:dyDescent="0.35">
      <c r="B124" s="34"/>
      <c r="C124" s="34"/>
    </row>
    <row r="125" spans="2:3" x14ac:dyDescent="0.35">
      <c r="B125" s="34"/>
      <c r="C125" s="34"/>
    </row>
    <row r="126" spans="2:3" x14ac:dyDescent="0.35">
      <c r="B126" s="34"/>
      <c r="C126" s="34"/>
    </row>
    <row r="127" spans="2:3" x14ac:dyDescent="0.35">
      <c r="B127" s="34"/>
      <c r="C127" s="34"/>
    </row>
    <row r="128" spans="2:3" x14ac:dyDescent="0.35">
      <c r="B128" s="34"/>
      <c r="C128" s="34"/>
    </row>
    <row r="129" spans="2:3" x14ac:dyDescent="0.35">
      <c r="B129" s="34"/>
      <c r="C129" s="34"/>
    </row>
    <row r="130" spans="2:3" x14ac:dyDescent="0.35">
      <c r="B130" s="34"/>
      <c r="C130" s="34"/>
    </row>
    <row r="131" spans="2:3" x14ac:dyDescent="0.35">
      <c r="B131" s="34"/>
      <c r="C131" s="34"/>
    </row>
    <row r="132" spans="2:3" x14ac:dyDescent="0.35">
      <c r="B132" s="34"/>
      <c r="C132" s="34"/>
    </row>
    <row r="133" spans="2:3" x14ac:dyDescent="0.35">
      <c r="B133" s="34"/>
      <c r="C133" s="34"/>
    </row>
    <row r="134" spans="2:3" x14ac:dyDescent="0.35">
      <c r="B134" s="34"/>
      <c r="C134" s="34"/>
    </row>
    <row r="135" spans="2:3" x14ac:dyDescent="0.35">
      <c r="B135" s="34"/>
      <c r="C135" s="34"/>
    </row>
    <row r="136" spans="2:3" x14ac:dyDescent="0.35">
      <c r="B136" s="34"/>
      <c r="C136" s="34"/>
    </row>
    <row r="137" spans="2:3" x14ac:dyDescent="0.35">
      <c r="B137" s="34"/>
      <c r="C137" s="34"/>
    </row>
    <row r="138" spans="2:3" x14ac:dyDescent="0.35">
      <c r="B138" s="34"/>
      <c r="C138" s="34"/>
    </row>
    <row r="139" spans="2:3" x14ac:dyDescent="0.35">
      <c r="B139" s="34"/>
      <c r="C139" s="34"/>
    </row>
    <row r="140" spans="2:3" x14ac:dyDescent="0.35">
      <c r="B140" s="34"/>
      <c r="C140" s="34"/>
    </row>
    <row r="141" spans="2:3" x14ac:dyDescent="0.35">
      <c r="B141" s="34"/>
      <c r="C141" s="34"/>
    </row>
    <row r="142" spans="2:3" x14ac:dyDescent="0.35">
      <c r="B142" s="34"/>
      <c r="C142" s="34"/>
    </row>
    <row r="143" spans="2:3" x14ac:dyDescent="0.35">
      <c r="B143" s="34"/>
      <c r="C143" s="34"/>
    </row>
    <row r="144" spans="2:3" x14ac:dyDescent="0.35">
      <c r="B144" s="34"/>
      <c r="C144" s="34"/>
    </row>
    <row r="145" spans="2:3" x14ac:dyDescent="0.35">
      <c r="B145" s="34"/>
      <c r="C145" s="34"/>
    </row>
    <row r="146" spans="2:3" x14ac:dyDescent="0.35">
      <c r="B146" s="34"/>
      <c r="C146" s="34"/>
    </row>
  </sheetData>
  <autoFilter ref="B2:L37" xr:uid="{AC006F00-F6CF-4458-B2CC-2DE90474991B}">
    <sortState xmlns:xlrd2="http://schemas.microsoft.com/office/spreadsheetml/2017/richdata2" ref="B3:L37">
      <sortCondition ref="C2:C37"/>
    </sortState>
  </autoFilter>
  <mergeCells count="2">
    <mergeCell ref="F1:I1"/>
    <mergeCell ref="J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E159-6117-44E0-B431-9308FED6312E}">
  <sheetPr filterMode="1">
    <tabColor theme="3" tint="0.749992370372631"/>
  </sheetPr>
  <dimension ref="A1:M222"/>
  <sheetViews>
    <sheetView showGridLines="0" tabSelected="1" zoomScaleNormal="100" workbookViewId="0">
      <pane xSplit="4" ySplit="2" topLeftCell="E79" activePane="bottomRight" state="frozen"/>
      <selection pane="topRight" activeCell="E1" sqref="E1"/>
      <selection pane="bottomLeft" activeCell="A3" sqref="A3"/>
      <selection pane="bottomRight" activeCell="D94" sqref="D94"/>
    </sheetView>
  </sheetViews>
  <sheetFormatPr baseColWidth="10" defaultColWidth="11.453125" defaultRowHeight="14.5" x14ac:dyDescent="0.35"/>
  <cols>
    <col min="1" max="1" width="1.453125" style="25" customWidth="1"/>
    <col min="2" max="2" width="18.26953125" style="1" customWidth="1"/>
    <col min="3" max="3" width="26.26953125" style="1" bestFit="1" customWidth="1"/>
    <col min="4" max="4" width="54.453125" style="1" customWidth="1"/>
    <col min="5" max="5" width="21.26953125" style="1" customWidth="1"/>
    <col min="6" max="6" width="25.54296875" style="1" customWidth="1"/>
    <col min="7" max="7" width="28.54296875" style="1" customWidth="1"/>
    <col min="8" max="8" width="21.54296875" style="1" customWidth="1"/>
    <col min="9" max="9" width="28.54296875" style="1" customWidth="1"/>
    <col min="10" max="10" width="21.7265625" style="1" customWidth="1"/>
    <col min="11" max="11" width="32.7265625" style="1" bestFit="1" customWidth="1"/>
    <col min="12" max="13" width="28.54296875" style="1" customWidth="1"/>
    <col min="14" max="16384" width="11.453125" style="1"/>
  </cols>
  <sheetData>
    <row r="1" spans="2:13" s="1" customFormat="1" x14ac:dyDescent="0.35">
      <c r="E1" s="2" t="s">
        <v>0</v>
      </c>
      <c r="F1" s="118" t="s">
        <v>1</v>
      </c>
      <c r="G1" s="118"/>
      <c r="H1" s="118"/>
      <c r="I1" s="118"/>
      <c r="J1" s="119" t="s">
        <v>2</v>
      </c>
      <c r="K1" s="119"/>
      <c r="L1" s="119"/>
      <c r="M1" s="119"/>
    </row>
    <row r="2" spans="2:13" s="1" customFormat="1" ht="29" x14ac:dyDescent="0.35">
      <c r="B2" s="3" t="s">
        <v>3</v>
      </c>
      <c r="C2" s="3" t="s">
        <v>438</v>
      </c>
      <c r="D2" s="4" t="s">
        <v>4</v>
      </c>
      <c r="E2" s="5" t="s">
        <v>5</v>
      </c>
      <c r="F2" s="6" t="s">
        <v>6</v>
      </c>
      <c r="G2" s="6" t="s">
        <v>7</v>
      </c>
      <c r="H2" s="6" t="s">
        <v>8</v>
      </c>
      <c r="I2" s="6" t="s">
        <v>9</v>
      </c>
      <c r="J2" s="7" t="s">
        <v>10</v>
      </c>
      <c r="K2" s="7" t="s">
        <v>11</v>
      </c>
      <c r="L2" s="7" t="s">
        <v>12</v>
      </c>
      <c r="M2" s="7" t="s">
        <v>13</v>
      </c>
    </row>
    <row r="3" spans="2:13" s="1" customFormat="1" hidden="1" x14ac:dyDescent="0.35">
      <c r="B3" s="8" t="s">
        <v>14</v>
      </c>
      <c r="C3" s="9" t="s">
        <v>15</v>
      </c>
      <c r="D3" s="9" t="s">
        <v>16</v>
      </c>
      <c r="E3" s="10" t="s">
        <v>469</v>
      </c>
      <c r="F3" s="10" t="s">
        <v>478</v>
      </c>
      <c r="G3" s="10" t="s">
        <v>479</v>
      </c>
      <c r="H3" s="10" t="s">
        <v>478</v>
      </c>
      <c r="I3" s="10" t="s">
        <v>479</v>
      </c>
      <c r="J3" s="10" t="s">
        <v>465</v>
      </c>
      <c r="K3" s="10" t="s">
        <v>466</v>
      </c>
      <c r="L3" s="11" t="s">
        <v>301</v>
      </c>
      <c r="M3" s="10" t="s">
        <v>468</v>
      </c>
    </row>
    <row r="4" spans="2:13" s="1" customFormat="1" hidden="1" x14ac:dyDescent="0.35">
      <c r="B4" s="8" t="s">
        <v>14</v>
      </c>
      <c r="C4" s="9" t="s">
        <v>15</v>
      </c>
      <c r="D4" s="9" t="s">
        <v>17</v>
      </c>
      <c r="E4" s="10" t="s">
        <v>469</v>
      </c>
      <c r="F4" s="10" t="s">
        <v>462</v>
      </c>
      <c r="G4" s="10" t="s">
        <v>464</v>
      </c>
      <c r="H4" s="10" t="s">
        <v>462</v>
      </c>
      <c r="I4" s="10" t="s">
        <v>464</v>
      </c>
      <c r="J4" s="10" t="s">
        <v>465</v>
      </c>
      <c r="K4" s="10" t="s">
        <v>466</v>
      </c>
      <c r="L4" s="11" t="s">
        <v>301</v>
      </c>
      <c r="M4" s="10" t="s">
        <v>468</v>
      </c>
    </row>
    <row r="5" spans="2:13" s="1" customFormat="1" hidden="1" x14ac:dyDescent="0.35">
      <c r="B5" s="8" t="s">
        <v>14</v>
      </c>
      <c r="C5" s="9" t="s">
        <v>15</v>
      </c>
      <c r="D5" s="9" t="s">
        <v>18</v>
      </c>
      <c r="E5" s="10" t="s">
        <v>469</v>
      </c>
      <c r="F5" s="10" t="s">
        <v>478</v>
      </c>
      <c r="G5" s="10" t="s">
        <v>480</v>
      </c>
      <c r="H5" s="10" t="s">
        <v>478</v>
      </c>
      <c r="I5" s="10" t="s">
        <v>480</v>
      </c>
      <c r="J5" s="10" t="s">
        <v>465</v>
      </c>
      <c r="K5" s="10" t="s">
        <v>466</v>
      </c>
      <c r="L5" s="11" t="s">
        <v>301</v>
      </c>
      <c r="M5" s="10" t="s">
        <v>468</v>
      </c>
    </row>
    <row r="6" spans="2:13" s="1" customFormat="1" ht="29" hidden="1" x14ac:dyDescent="0.35">
      <c r="B6" s="8" t="s">
        <v>14</v>
      </c>
      <c r="C6" s="9" t="s">
        <v>19</v>
      </c>
      <c r="D6" s="9" t="s">
        <v>20</v>
      </c>
      <c r="E6" s="10" t="s">
        <v>469</v>
      </c>
      <c r="F6" s="10" t="s">
        <v>476</v>
      </c>
      <c r="G6" s="10" t="s">
        <v>477</v>
      </c>
      <c r="H6" s="10" t="s">
        <v>476</v>
      </c>
      <c r="I6" s="10" t="s">
        <v>477</v>
      </c>
      <c r="J6" s="10" t="s">
        <v>465</v>
      </c>
      <c r="K6" s="10" t="s">
        <v>466</v>
      </c>
      <c r="L6" s="11" t="s">
        <v>301</v>
      </c>
      <c r="M6" s="10" t="s">
        <v>468</v>
      </c>
    </row>
    <row r="7" spans="2:13" s="1" customFormat="1" ht="29" hidden="1" x14ac:dyDescent="0.35">
      <c r="B7" s="8" t="s">
        <v>14</v>
      </c>
      <c r="C7" s="9" t="s">
        <v>19</v>
      </c>
      <c r="D7" s="9" t="s">
        <v>21</v>
      </c>
      <c r="E7" s="10" t="s">
        <v>474</v>
      </c>
      <c r="F7" s="10" t="s">
        <v>476</v>
      </c>
      <c r="G7" s="10" t="s">
        <v>477</v>
      </c>
      <c r="H7" s="10" t="s">
        <v>476</v>
      </c>
      <c r="I7" s="10" t="s">
        <v>477</v>
      </c>
      <c r="J7" s="10" t="s">
        <v>465</v>
      </c>
      <c r="K7" s="10" t="s">
        <v>466</v>
      </c>
      <c r="L7" s="11" t="s">
        <v>301</v>
      </c>
      <c r="M7" s="10" t="s">
        <v>468</v>
      </c>
    </row>
    <row r="8" spans="2:13" s="1" customFormat="1" ht="29" hidden="1" x14ac:dyDescent="0.35">
      <c r="B8" s="8" t="s">
        <v>14</v>
      </c>
      <c r="C8" s="9" t="s">
        <v>22</v>
      </c>
      <c r="D8" s="9" t="s">
        <v>23</v>
      </c>
      <c r="E8" s="10" t="s">
        <v>469</v>
      </c>
      <c r="F8" s="10" t="s">
        <v>569</v>
      </c>
      <c r="G8" s="10" t="s">
        <v>990</v>
      </c>
      <c r="H8" s="10" t="s">
        <v>462</v>
      </c>
      <c r="I8" s="10" t="s">
        <v>470</v>
      </c>
      <c r="J8" s="10" t="s">
        <v>471</v>
      </c>
      <c r="K8" s="10" t="s">
        <v>466</v>
      </c>
      <c r="L8" s="11" t="s">
        <v>301</v>
      </c>
      <c r="M8" s="10" t="s">
        <v>472</v>
      </c>
    </row>
    <row r="9" spans="2:13" s="1" customFormat="1" ht="29" hidden="1" x14ac:dyDescent="0.35">
      <c r="B9" s="8" t="s">
        <v>14</v>
      </c>
      <c r="C9" s="9" t="s">
        <v>22</v>
      </c>
      <c r="D9" s="9" t="s">
        <v>24</v>
      </c>
      <c r="E9" s="10" t="s">
        <v>474</v>
      </c>
      <c r="F9" s="10" t="s">
        <v>569</v>
      </c>
      <c r="G9" s="10" t="s">
        <v>990</v>
      </c>
      <c r="H9" s="10" t="s">
        <v>462</v>
      </c>
      <c r="I9" s="10" t="s">
        <v>470</v>
      </c>
      <c r="J9" s="10" t="s">
        <v>471</v>
      </c>
      <c r="K9" s="10" t="s">
        <v>466</v>
      </c>
      <c r="L9" s="11" t="s">
        <v>301</v>
      </c>
      <c r="M9" s="10" t="s">
        <v>472</v>
      </c>
    </row>
    <row r="10" spans="2:13" s="1" customFormat="1" hidden="1" x14ac:dyDescent="0.35">
      <c r="B10" s="8" t="s">
        <v>14</v>
      </c>
      <c r="C10" s="9" t="s">
        <v>25</v>
      </c>
      <c r="D10" s="9" t="s">
        <v>26</v>
      </c>
      <c r="E10" s="10" t="s">
        <v>469</v>
      </c>
      <c r="F10" s="10" t="s">
        <v>569</v>
      </c>
      <c r="G10" s="10" t="s">
        <v>990</v>
      </c>
      <c r="H10" s="10" t="s">
        <v>462</v>
      </c>
      <c r="I10" s="10" t="s">
        <v>475</v>
      </c>
      <c r="J10" s="10" t="s">
        <v>471</v>
      </c>
      <c r="K10" s="10" t="s">
        <v>466</v>
      </c>
      <c r="L10" s="11" t="s">
        <v>301</v>
      </c>
      <c r="M10" s="10" t="s">
        <v>472</v>
      </c>
    </row>
    <row r="11" spans="2:13" s="1" customFormat="1" ht="29.5" hidden="1" thickBot="1" x14ac:dyDescent="0.4">
      <c r="B11" s="12" t="s">
        <v>14</v>
      </c>
      <c r="C11" s="13" t="s">
        <v>27</v>
      </c>
      <c r="D11" s="13" t="s">
        <v>28</v>
      </c>
      <c r="E11" s="14" t="s">
        <v>469</v>
      </c>
      <c r="F11" s="14" t="s">
        <v>478</v>
      </c>
      <c r="G11" s="14" t="s">
        <v>481</v>
      </c>
      <c r="H11" s="14" t="s">
        <v>478</v>
      </c>
      <c r="I11" s="14" t="s">
        <v>481</v>
      </c>
      <c r="J11" s="14" t="s">
        <v>465</v>
      </c>
      <c r="K11" s="14" t="s">
        <v>466</v>
      </c>
      <c r="L11" s="15" t="s">
        <v>301</v>
      </c>
      <c r="M11" s="14" t="s">
        <v>468</v>
      </c>
    </row>
    <row r="12" spans="2:13" s="1" customFormat="1" ht="15.5" hidden="1" thickTop="1" thickBot="1" x14ac:dyDescent="0.4">
      <c r="B12" s="16" t="s">
        <v>29</v>
      </c>
      <c r="C12" s="17" t="s">
        <v>30</v>
      </c>
      <c r="D12" s="17" t="s">
        <v>31</v>
      </c>
      <c r="E12" s="18" t="s">
        <v>485</v>
      </c>
      <c r="F12" s="18" t="s">
        <v>482</v>
      </c>
      <c r="G12" s="19" t="s">
        <v>301</v>
      </c>
      <c r="H12" s="18" t="s">
        <v>482</v>
      </c>
      <c r="I12" s="19" t="s">
        <v>301</v>
      </c>
      <c r="J12" s="18" t="s">
        <v>483</v>
      </c>
      <c r="K12" s="18" t="s">
        <v>466</v>
      </c>
      <c r="L12" s="19" t="s">
        <v>301</v>
      </c>
      <c r="M12" s="19" t="s">
        <v>292</v>
      </c>
    </row>
    <row r="13" spans="2:13" s="1" customFormat="1" hidden="1" x14ac:dyDescent="0.35">
      <c r="B13" s="20" t="s">
        <v>32</v>
      </c>
      <c r="C13" s="21" t="s">
        <v>33</v>
      </c>
      <c r="D13" s="21" t="s">
        <v>34</v>
      </c>
      <c r="E13" s="22" t="s">
        <v>489</v>
      </c>
      <c r="F13" s="22" t="s">
        <v>486</v>
      </c>
      <c r="G13" s="23" t="s">
        <v>301</v>
      </c>
      <c r="H13" s="22" t="s">
        <v>486</v>
      </c>
      <c r="I13" s="23" t="s">
        <v>301</v>
      </c>
      <c r="J13" s="22" t="s">
        <v>487</v>
      </c>
      <c r="K13" s="22" t="s">
        <v>466</v>
      </c>
      <c r="L13" s="23" t="s">
        <v>301</v>
      </c>
      <c r="M13" s="23" t="s">
        <v>292</v>
      </c>
    </row>
    <row r="14" spans="2:13" s="1" customFormat="1" ht="29" hidden="1" x14ac:dyDescent="0.35">
      <c r="B14" s="8" t="s">
        <v>32</v>
      </c>
      <c r="C14" s="9" t="s">
        <v>33</v>
      </c>
      <c r="D14" s="9" t="s">
        <v>35</v>
      </c>
      <c r="E14" s="10" t="s">
        <v>491</v>
      </c>
      <c r="F14" s="10" t="s">
        <v>486</v>
      </c>
      <c r="G14" s="11" t="s">
        <v>301</v>
      </c>
      <c r="H14" s="10" t="s">
        <v>486</v>
      </c>
      <c r="I14" s="11" t="s">
        <v>301</v>
      </c>
      <c r="J14" s="10" t="s">
        <v>490</v>
      </c>
      <c r="K14" s="10" t="s">
        <v>466</v>
      </c>
      <c r="L14" s="11" t="s">
        <v>301</v>
      </c>
      <c r="M14" s="11" t="s">
        <v>292</v>
      </c>
    </row>
    <row r="15" spans="2:13" s="1" customFormat="1" ht="29" hidden="1" x14ac:dyDescent="0.35">
      <c r="B15" s="8" t="s">
        <v>32</v>
      </c>
      <c r="C15" s="9" t="s">
        <v>33</v>
      </c>
      <c r="D15" s="9" t="s">
        <v>36</v>
      </c>
      <c r="E15" s="10" t="s">
        <v>492</v>
      </c>
      <c r="F15" s="10" t="s">
        <v>486</v>
      </c>
      <c r="G15" s="11" t="s">
        <v>301</v>
      </c>
      <c r="H15" s="10" t="s">
        <v>486</v>
      </c>
      <c r="I15" s="11" t="s">
        <v>301</v>
      </c>
      <c r="J15" s="10" t="s">
        <v>490</v>
      </c>
      <c r="K15" s="10" t="s">
        <v>466</v>
      </c>
      <c r="L15" s="11" t="s">
        <v>301</v>
      </c>
      <c r="M15" s="11" t="s">
        <v>292</v>
      </c>
    </row>
    <row r="16" spans="2:13" s="1" customFormat="1" ht="29" hidden="1" x14ac:dyDescent="0.35">
      <c r="B16" s="8" t="s">
        <v>32</v>
      </c>
      <c r="C16" s="9" t="s">
        <v>37</v>
      </c>
      <c r="D16" s="9" t="s">
        <v>38</v>
      </c>
      <c r="E16" s="10" t="s">
        <v>496</v>
      </c>
      <c r="F16" s="10" t="s">
        <v>462</v>
      </c>
      <c r="G16" s="10" t="s">
        <v>493</v>
      </c>
      <c r="H16" s="10" t="s">
        <v>462</v>
      </c>
      <c r="I16" s="10" t="s">
        <v>493</v>
      </c>
      <c r="J16" s="10" t="s">
        <v>494</v>
      </c>
      <c r="K16" s="10" t="s">
        <v>466</v>
      </c>
      <c r="L16" s="10" t="s">
        <v>495</v>
      </c>
      <c r="M16" s="11" t="s">
        <v>292</v>
      </c>
    </row>
    <row r="17" spans="2:13" s="1" customFormat="1" ht="29" hidden="1" x14ac:dyDescent="0.35">
      <c r="B17" s="8" t="s">
        <v>32</v>
      </c>
      <c r="C17" s="9" t="s">
        <v>37</v>
      </c>
      <c r="D17" s="9" t="s">
        <v>39</v>
      </c>
      <c r="E17" s="10" t="s">
        <v>489</v>
      </c>
      <c r="F17" s="10" t="s">
        <v>462</v>
      </c>
      <c r="G17" s="10" t="s">
        <v>493</v>
      </c>
      <c r="H17" s="10" t="s">
        <v>462</v>
      </c>
      <c r="I17" s="10" t="s">
        <v>493</v>
      </c>
      <c r="J17" s="10" t="s">
        <v>494</v>
      </c>
      <c r="K17" s="10" t="s">
        <v>466</v>
      </c>
      <c r="L17" s="10" t="s">
        <v>498</v>
      </c>
      <c r="M17" s="11" t="s">
        <v>292</v>
      </c>
    </row>
    <row r="18" spans="2:13" s="1" customFormat="1" ht="29.5" hidden="1" thickBot="1" x14ac:dyDescent="0.4">
      <c r="B18" s="12" t="s">
        <v>32</v>
      </c>
      <c r="C18" s="13" t="s">
        <v>37</v>
      </c>
      <c r="D18" s="13" t="s">
        <v>40</v>
      </c>
      <c r="E18" s="14" t="s">
        <v>489</v>
      </c>
      <c r="F18" s="14" t="s">
        <v>462</v>
      </c>
      <c r="G18" s="14" t="s">
        <v>493</v>
      </c>
      <c r="H18" s="14" t="s">
        <v>462</v>
      </c>
      <c r="I18" s="14" t="s">
        <v>493</v>
      </c>
      <c r="J18" s="14" t="s">
        <v>494</v>
      </c>
      <c r="K18" s="14" t="s">
        <v>466</v>
      </c>
      <c r="L18" s="14" t="s">
        <v>500</v>
      </c>
      <c r="M18" s="15" t="s">
        <v>292</v>
      </c>
    </row>
    <row r="19" spans="2:13" s="1" customFormat="1" ht="29" hidden="1" x14ac:dyDescent="0.35">
      <c r="B19" s="20" t="s">
        <v>41</v>
      </c>
      <c r="C19" s="21" t="s">
        <v>42</v>
      </c>
      <c r="D19" s="21" t="s">
        <v>43</v>
      </c>
      <c r="E19" s="22" t="s">
        <v>509</v>
      </c>
      <c r="F19" s="22" t="s">
        <v>462</v>
      </c>
      <c r="G19" s="22" t="s">
        <v>991</v>
      </c>
      <c r="H19" s="22" t="s">
        <v>462</v>
      </c>
      <c r="I19" s="22" t="s">
        <v>508</v>
      </c>
      <c r="J19" s="22" t="s">
        <v>509</v>
      </c>
      <c r="K19" s="22" t="s">
        <v>466</v>
      </c>
      <c r="L19" s="23" t="s">
        <v>301</v>
      </c>
      <c r="M19" s="23" t="s">
        <v>292</v>
      </c>
    </row>
    <row r="20" spans="2:13" s="1" customFormat="1" ht="15" hidden="1" thickBot="1" x14ac:dyDescent="0.4">
      <c r="B20" s="12" t="s">
        <v>41</v>
      </c>
      <c r="C20" s="13" t="s">
        <v>44</v>
      </c>
      <c r="D20" s="13" t="s">
        <v>45</v>
      </c>
      <c r="E20" s="14" t="s">
        <v>506</v>
      </c>
      <c r="F20" s="14" t="s">
        <v>501</v>
      </c>
      <c r="G20" s="15" t="s">
        <v>301</v>
      </c>
      <c r="H20" s="14" t="s">
        <v>501</v>
      </c>
      <c r="I20" s="15" t="s">
        <v>301</v>
      </c>
      <c r="J20" s="14" t="s">
        <v>503</v>
      </c>
      <c r="K20" s="14" t="s">
        <v>466</v>
      </c>
      <c r="L20" s="15" t="s">
        <v>301</v>
      </c>
      <c r="M20" s="15" t="s">
        <v>292</v>
      </c>
    </row>
    <row r="21" spans="2:13" s="1" customFormat="1" ht="43.5" hidden="1" x14ac:dyDescent="0.35">
      <c r="B21" s="20" t="s">
        <v>46</v>
      </c>
      <c r="C21" s="21" t="s">
        <v>47</v>
      </c>
      <c r="D21" s="21" t="s">
        <v>48</v>
      </c>
      <c r="E21" s="22" t="s">
        <v>513</v>
      </c>
      <c r="F21" s="22" t="s">
        <v>462</v>
      </c>
      <c r="G21" s="23" t="s">
        <v>301</v>
      </c>
      <c r="H21" s="22" t="s">
        <v>462</v>
      </c>
      <c r="I21" s="23" t="s">
        <v>301</v>
      </c>
      <c r="J21" s="22" t="s">
        <v>511</v>
      </c>
      <c r="K21" s="22" t="s">
        <v>466</v>
      </c>
      <c r="L21" s="22" t="s">
        <v>512</v>
      </c>
      <c r="M21" s="22" t="s">
        <v>472</v>
      </c>
    </row>
    <row r="22" spans="2:13" s="1" customFormat="1" ht="29.5" hidden="1" thickBot="1" x14ac:dyDescent="0.4">
      <c r="B22" s="12" t="s">
        <v>46</v>
      </c>
      <c r="C22" s="13" t="s">
        <v>49</v>
      </c>
      <c r="D22" s="13" t="s">
        <v>50</v>
      </c>
      <c r="E22" s="14" t="s">
        <v>513</v>
      </c>
      <c r="F22" s="14" t="s">
        <v>514</v>
      </c>
      <c r="G22" s="15" t="s">
        <v>301</v>
      </c>
      <c r="H22" s="14" t="s">
        <v>514</v>
      </c>
      <c r="I22" s="15" t="s">
        <v>301</v>
      </c>
      <c r="J22" s="14" t="s">
        <v>511</v>
      </c>
      <c r="K22" s="14" t="s">
        <v>466</v>
      </c>
      <c r="L22" s="14" t="s">
        <v>515</v>
      </c>
      <c r="M22" s="14" t="s">
        <v>472</v>
      </c>
    </row>
    <row r="23" spans="2:13" s="1" customFormat="1" hidden="1" x14ac:dyDescent="0.35">
      <c r="B23" s="20" t="s">
        <v>51</v>
      </c>
      <c r="C23" s="21" t="s">
        <v>52</v>
      </c>
      <c r="D23" s="21" t="s">
        <v>53</v>
      </c>
      <c r="E23" s="22" t="s">
        <v>518</v>
      </c>
      <c r="F23" s="23" t="s">
        <v>292</v>
      </c>
      <c r="G23" s="23" t="s">
        <v>301</v>
      </c>
      <c r="H23" s="22" t="s">
        <v>462</v>
      </c>
      <c r="I23" s="23" t="s">
        <v>301</v>
      </c>
      <c r="J23" s="22" t="s">
        <v>520</v>
      </c>
      <c r="K23" s="22" t="s">
        <v>521</v>
      </c>
      <c r="L23" s="23" t="s">
        <v>301</v>
      </c>
      <c r="M23" s="22" t="s">
        <v>522</v>
      </c>
    </row>
    <row r="24" spans="2:13" s="1" customFormat="1" hidden="1" x14ac:dyDescent="0.35">
      <c r="B24" s="8" t="s">
        <v>51</v>
      </c>
      <c r="C24" s="9" t="s">
        <v>54</v>
      </c>
      <c r="D24" s="9" t="s">
        <v>55</v>
      </c>
      <c r="E24" s="10" t="s">
        <v>518</v>
      </c>
      <c r="F24" s="10" t="s">
        <v>462</v>
      </c>
      <c r="G24" s="11" t="s">
        <v>301</v>
      </c>
      <c r="H24" s="10" t="s">
        <v>462</v>
      </c>
      <c r="I24" s="11" t="s">
        <v>301</v>
      </c>
      <c r="J24" s="10" t="s">
        <v>517</v>
      </c>
      <c r="K24" s="10" t="s">
        <v>466</v>
      </c>
      <c r="L24" s="11" t="s">
        <v>301</v>
      </c>
      <c r="M24" s="10" t="s">
        <v>472</v>
      </c>
    </row>
    <row r="25" spans="2:13" s="1" customFormat="1" ht="29" hidden="1" x14ac:dyDescent="0.35">
      <c r="B25" s="8" t="s">
        <v>51</v>
      </c>
      <c r="C25" s="9" t="s">
        <v>56</v>
      </c>
      <c r="D25" s="9" t="s">
        <v>57</v>
      </c>
      <c r="E25" s="10" t="s">
        <v>518</v>
      </c>
      <c r="F25" s="10" t="s">
        <v>530</v>
      </c>
      <c r="G25" s="11" t="s">
        <v>301</v>
      </c>
      <c r="H25" s="10" t="s">
        <v>530</v>
      </c>
      <c r="I25" s="11" t="s">
        <v>301</v>
      </c>
      <c r="J25" s="10" t="s">
        <v>517</v>
      </c>
      <c r="K25" s="10" t="s">
        <v>466</v>
      </c>
      <c r="L25" s="11" t="s">
        <v>301</v>
      </c>
      <c r="M25" s="10" t="s">
        <v>472</v>
      </c>
    </row>
    <row r="26" spans="2:13" s="1" customFormat="1" ht="29" hidden="1" x14ac:dyDescent="0.35">
      <c r="B26" s="8" t="s">
        <v>51</v>
      </c>
      <c r="C26" s="9" t="s">
        <v>56</v>
      </c>
      <c r="D26" s="9" t="s">
        <v>58</v>
      </c>
      <c r="E26" s="10" t="s">
        <v>518</v>
      </c>
      <c r="F26" s="10" t="s">
        <v>528</v>
      </c>
      <c r="G26" s="11" t="s">
        <v>301</v>
      </c>
      <c r="H26" s="10" t="s">
        <v>528</v>
      </c>
      <c r="I26" s="11" t="s">
        <v>301</v>
      </c>
      <c r="J26" s="10" t="s">
        <v>517</v>
      </c>
      <c r="K26" s="10" t="s">
        <v>466</v>
      </c>
      <c r="L26" s="11" t="s">
        <v>301</v>
      </c>
      <c r="M26" s="10" t="s">
        <v>472</v>
      </c>
    </row>
    <row r="27" spans="2:13" s="1" customFormat="1" ht="29" hidden="1" x14ac:dyDescent="0.35">
      <c r="B27" s="8" t="s">
        <v>51</v>
      </c>
      <c r="C27" s="9" t="s">
        <v>56</v>
      </c>
      <c r="D27" s="9" t="s">
        <v>59</v>
      </c>
      <c r="E27" s="10" t="s">
        <v>518</v>
      </c>
      <c r="F27" s="11" t="s">
        <v>292</v>
      </c>
      <c r="G27" s="11" t="s">
        <v>301</v>
      </c>
      <c r="H27" s="10" t="s">
        <v>526</v>
      </c>
      <c r="I27" s="11" t="s">
        <v>301</v>
      </c>
      <c r="J27" s="10" t="s">
        <v>517</v>
      </c>
      <c r="K27" s="10" t="s">
        <v>466</v>
      </c>
      <c r="L27" s="11" t="s">
        <v>301</v>
      </c>
      <c r="M27" s="10" t="s">
        <v>472</v>
      </c>
    </row>
    <row r="28" spans="2:13" s="1" customFormat="1" ht="29" hidden="1" x14ac:dyDescent="0.35">
      <c r="B28" s="8" t="s">
        <v>51</v>
      </c>
      <c r="C28" s="9" t="s">
        <v>56</v>
      </c>
      <c r="D28" s="9" t="s">
        <v>60</v>
      </c>
      <c r="E28" s="10" t="s">
        <v>518</v>
      </c>
      <c r="F28" s="11" t="s">
        <v>292</v>
      </c>
      <c r="G28" s="11" t="s">
        <v>301</v>
      </c>
      <c r="H28" s="10" t="s">
        <v>527</v>
      </c>
      <c r="I28" s="11" t="s">
        <v>301</v>
      </c>
      <c r="J28" s="10" t="s">
        <v>517</v>
      </c>
      <c r="K28" s="10" t="s">
        <v>466</v>
      </c>
      <c r="L28" s="11" t="s">
        <v>301</v>
      </c>
      <c r="M28" s="10" t="s">
        <v>472</v>
      </c>
    </row>
    <row r="29" spans="2:13" s="1" customFormat="1" ht="29" hidden="1" x14ac:dyDescent="0.35">
      <c r="B29" s="8" t="s">
        <v>51</v>
      </c>
      <c r="C29" s="9" t="s">
        <v>56</v>
      </c>
      <c r="D29" s="9" t="s">
        <v>61</v>
      </c>
      <c r="E29" s="10" t="s">
        <v>518</v>
      </c>
      <c r="F29" s="11" t="s">
        <v>292</v>
      </c>
      <c r="G29" s="11" t="s">
        <v>301</v>
      </c>
      <c r="H29" s="10" t="s">
        <v>525</v>
      </c>
      <c r="I29" s="11" t="s">
        <v>301</v>
      </c>
      <c r="J29" s="10" t="s">
        <v>517</v>
      </c>
      <c r="K29" s="10" t="s">
        <v>466</v>
      </c>
      <c r="L29" s="11" t="s">
        <v>301</v>
      </c>
      <c r="M29" s="10" t="s">
        <v>472</v>
      </c>
    </row>
    <row r="30" spans="2:13" s="1" customFormat="1" ht="29" hidden="1" x14ac:dyDescent="0.35">
      <c r="B30" s="8" t="s">
        <v>51</v>
      </c>
      <c r="C30" s="9" t="s">
        <v>56</v>
      </c>
      <c r="D30" s="9" t="s">
        <v>62</v>
      </c>
      <c r="E30" s="10" t="s">
        <v>518</v>
      </c>
      <c r="F30" s="11" t="s">
        <v>292</v>
      </c>
      <c r="G30" s="11" t="s">
        <v>301</v>
      </c>
      <c r="H30" s="10" t="s">
        <v>523</v>
      </c>
      <c r="I30" s="11" t="s">
        <v>301</v>
      </c>
      <c r="J30" s="10" t="s">
        <v>517</v>
      </c>
      <c r="K30" s="10" t="s">
        <v>466</v>
      </c>
      <c r="L30" s="11" t="s">
        <v>301</v>
      </c>
      <c r="M30" s="10" t="s">
        <v>472</v>
      </c>
    </row>
    <row r="31" spans="2:13" s="1" customFormat="1" ht="29" hidden="1" x14ac:dyDescent="0.35">
      <c r="B31" s="8" t="s">
        <v>51</v>
      </c>
      <c r="C31" s="9" t="s">
        <v>56</v>
      </c>
      <c r="D31" s="9" t="s">
        <v>63</v>
      </c>
      <c r="E31" s="10" t="s">
        <v>518</v>
      </c>
      <c r="F31" s="11" t="s">
        <v>292</v>
      </c>
      <c r="G31" s="11" t="s">
        <v>301</v>
      </c>
      <c r="H31" s="10" t="s">
        <v>529</v>
      </c>
      <c r="I31" s="11" t="s">
        <v>301</v>
      </c>
      <c r="J31" s="10" t="s">
        <v>517</v>
      </c>
      <c r="K31" s="10" t="s">
        <v>466</v>
      </c>
      <c r="L31" s="11" t="s">
        <v>301</v>
      </c>
      <c r="M31" s="10" t="s">
        <v>472</v>
      </c>
    </row>
    <row r="32" spans="2:13" s="1" customFormat="1" ht="29" hidden="1" x14ac:dyDescent="0.35">
      <c r="B32" s="8" t="s">
        <v>51</v>
      </c>
      <c r="C32" s="9" t="s">
        <v>56</v>
      </c>
      <c r="D32" s="9" t="s">
        <v>64</v>
      </c>
      <c r="E32" s="10" t="s">
        <v>518</v>
      </c>
      <c r="F32" s="11" t="s">
        <v>292</v>
      </c>
      <c r="G32" s="11" t="s">
        <v>301</v>
      </c>
      <c r="H32" s="10" t="s">
        <v>524</v>
      </c>
      <c r="I32" s="11" t="s">
        <v>301</v>
      </c>
      <c r="J32" s="10" t="s">
        <v>517</v>
      </c>
      <c r="K32" s="10" t="s">
        <v>466</v>
      </c>
      <c r="L32" s="11" t="s">
        <v>301</v>
      </c>
      <c r="M32" s="10" t="s">
        <v>472</v>
      </c>
    </row>
    <row r="33" spans="2:13" s="1" customFormat="1" ht="29" hidden="1" x14ac:dyDescent="0.35">
      <c r="B33" s="8" t="s">
        <v>51</v>
      </c>
      <c r="C33" s="9" t="s">
        <v>65</v>
      </c>
      <c r="D33" s="9" t="s">
        <v>66</v>
      </c>
      <c r="E33" s="10" t="s">
        <v>518</v>
      </c>
      <c r="F33" s="11" t="s">
        <v>292</v>
      </c>
      <c r="G33" s="11" t="s">
        <v>301</v>
      </c>
      <c r="H33" s="10" t="s">
        <v>526</v>
      </c>
      <c r="I33" s="11" t="s">
        <v>301</v>
      </c>
      <c r="J33" s="10" t="s">
        <v>520</v>
      </c>
      <c r="K33" s="10" t="s">
        <v>521</v>
      </c>
      <c r="L33" s="11" t="s">
        <v>301</v>
      </c>
      <c r="M33" s="10" t="s">
        <v>522</v>
      </c>
    </row>
    <row r="34" spans="2:13" s="1" customFormat="1" ht="15" hidden="1" thickBot="1" x14ac:dyDescent="0.4">
      <c r="B34" s="12" t="s">
        <v>51</v>
      </c>
      <c r="C34" s="13" t="s">
        <v>67</v>
      </c>
      <c r="D34" s="13" t="s">
        <v>68</v>
      </c>
      <c r="E34" s="14" t="s">
        <v>518</v>
      </c>
      <c r="F34" s="15" t="s">
        <v>292</v>
      </c>
      <c r="G34" s="15" t="s">
        <v>301</v>
      </c>
      <c r="H34" s="14" t="s">
        <v>527</v>
      </c>
      <c r="I34" s="15" t="s">
        <v>301</v>
      </c>
      <c r="J34" s="14" t="s">
        <v>520</v>
      </c>
      <c r="K34" s="14" t="s">
        <v>521</v>
      </c>
      <c r="L34" s="15" t="s">
        <v>301</v>
      </c>
      <c r="M34" s="14" t="s">
        <v>522</v>
      </c>
    </row>
    <row r="35" spans="2:13" s="1" customFormat="1" ht="29" hidden="1" x14ac:dyDescent="0.35">
      <c r="B35" s="20" t="s">
        <v>69</v>
      </c>
      <c r="C35" s="21" t="s">
        <v>70</v>
      </c>
      <c r="D35" s="21" t="s">
        <v>71</v>
      </c>
      <c r="E35" s="22" t="s">
        <v>533</v>
      </c>
      <c r="F35" s="22" t="s">
        <v>462</v>
      </c>
      <c r="G35" s="23" t="s">
        <v>301</v>
      </c>
      <c r="H35" s="22" t="s">
        <v>462</v>
      </c>
      <c r="I35" s="23" t="s">
        <v>301</v>
      </c>
      <c r="J35" s="22" t="s">
        <v>531</v>
      </c>
      <c r="K35" s="22" t="s">
        <v>466</v>
      </c>
      <c r="L35" s="22" t="s">
        <v>532</v>
      </c>
      <c r="M35" s="22" t="s">
        <v>472</v>
      </c>
    </row>
    <row r="36" spans="2:13" s="1" customFormat="1" hidden="1" x14ac:dyDescent="0.35">
      <c r="B36" s="8" t="s">
        <v>69</v>
      </c>
      <c r="C36" s="9" t="s">
        <v>72</v>
      </c>
      <c r="D36" s="9" t="s">
        <v>73</v>
      </c>
      <c r="E36" s="10" t="s">
        <v>533</v>
      </c>
      <c r="F36" s="10" t="s">
        <v>482</v>
      </c>
      <c r="G36" s="11" t="s">
        <v>301</v>
      </c>
      <c r="H36" s="11" t="s">
        <v>292</v>
      </c>
      <c r="I36" s="11" t="s">
        <v>301</v>
      </c>
      <c r="J36" s="10" t="s">
        <v>531</v>
      </c>
      <c r="K36" s="10" t="s">
        <v>466</v>
      </c>
      <c r="L36" s="11" t="s">
        <v>301</v>
      </c>
      <c r="M36" s="11" t="s">
        <v>292</v>
      </c>
    </row>
    <row r="37" spans="2:13" s="1" customFormat="1" ht="29" hidden="1" x14ac:dyDescent="0.35">
      <c r="B37" s="8" t="s">
        <v>69</v>
      </c>
      <c r="C37" s="9" t="s">
        <v>72</v>
      </c>
      <c r="D37" s="9" t="s">
        <v>74</v>
      </c>
      <c r="E37" s="10" t="s">
        <v>533</v>
      </c>
      <c r="F37" s="10" t="s">
        <v>482</v>
      </c>
      <c r="G37" s="11" t="s">
        <v>301</v>
      </c>
      <c r="H37" s="11" t="s">
        <v>292</v>
      </c>
      <c r="I37" s="11" t="s">
        <v>301</v>
      </c>
      <c r="J37" s="10" t="s">
        <v>531</v>
      </c>
      <c r="K37" s="10" t="s">
        <v>466</v>
      </c>
      <c r="L37" s="10" t="s">
        <v>536</v>
      </c>
      <c r="M37" s="11" t="s">
        <v>292</v>
      </c>
    </row>
    <row r="38" spans="2:13" s="1" customFormat="1" ht="29" hidden="1" x14ac:dyDescent="0.35">
      <c r="B38" s="8" t="s">
        <v>69</v>
      </c>
      <c r="C38" s="9" t="s">
        <v>72</v>
      </c>
      <c r="D38" s="9" t="s">
        <v>75</v>
      </c>
      <c r="E38" s="10" t="s">
        <v>533</v>
      </c>
      <c r="F38" s="10" t="s">
        <v>482</v>
      </c>
      <c r="G38" s="11" t="s">
        <v>301</v>
      </c>
      <c r="H38" s="11" t="s">
        <v>292</v>
      </c>
      <c r="I38" s="11" t="s">
        <v>301</v>
      </c>
      <c r="J38" s="10" t="s">
        <v>531</v>
      </c>
      <c r="K38" s="10" t="s">
        <v>466</v>
      </c>
      <c r="L38" s="10" t="s">
        <v>537</v>
      </c>
      <c r="M38" s="11" t="s">
        <v>292</v>
      </c>
    </row>
    <row r="39" spans="2:13" s="1" customFormat="1" ht="15" hidden="1" thickBot="1" x14ac:dyDescent="0.4">
      <c r="B39" s="12" t="s">
        <v>69</v>
      </c>
      <c r="C39" s="13" t="s">
        <v>76</v>
      </c>
      <c r="D39" s="13" t="s">
        <v>77</v>
      </c>
      <c r="E39" s="14" t="s">
        <v>533</v>
      </c>
      <c r="F39" s="15" t="s">
        <v>292</v>
      </c>
      <c r="G39" s="15" t="s">
        <v>301</v>
      </c>
      <c r="H39" s="14" t="s">
        <v>534</v>
      </c>
      <c r="I39" s="15" t="s">
        <v>301</v>
      </c>
      <c r="J39" s="14" t="s">
        <v>531</v>
      </c>
      <c r="K39" s="14" t="s">
        <v>466</v>
      </c>
      <c r="L39" s="15" t="s">
        <v>301</v>
      </c>
      <c r="M39" s="14" t="s">
        <v>472</v>
      </c>
    </row>
    <row r="40" spans="2:13" s="1" customFormat="1" ht="29" hidden="1" x14ac:dyDescent="0.35">
      <c r="B40" s="20" t="s">
        <v>78</v>
      </c>
      <c r="C40" s="21" t="s">
        <v>79</v>
      </c>
      <c r="D40" s="21" t="s">
        <v>80</v>
      </c>
      <c r="E40" s="22" t="s">
        <v>541</v>
      </c>
      <c r="F40" s="22" t="s">
        <v>462</v>
      </c>
      <c r="G40" s="23" t="s">
        <v>301</v>
      </c>
      <c r="H40" s="22" t="s">
        <v>462</v>
      </c>
      <c r="I40" s="23" t="s">
        <v>301</v>
      </c>
      <c r="J40" s="22" t="s">
        <v>539</v>
      </c>
      <c r="K40" s="22" t="s">
        <v>466</v>
      </c>
      <c r="L40" s="22" t="s">
        <v>540</v>
      </c>
      <c r="M40" s="22" t="s">
        <v>472</v>
      </c>
    </row>
    <row r="41" spans="2:13" s="1" customFormat="1" ht="29" hidden="1" x14ac:dyDescent="0.35">
      <c r="B41" s="8" t="s">
        <v>78</v>
      </c>
      <c r="C41" s="9" t="s">
        <v>81</v>
      </c>
      <c r="D41" s="9" t="s">
        <v>82</v>
      </c>
      <c r="E41" s="10" t="s">
        <v>545</v>
      </c>
      <c r="F41" s="10" t="s">
        <v>462</v>
      </c>
      <c r="G41" s="11" t="s">
        <v>301</v>
      </c>
      <c r="H41" s="10" t="s">
        <v>462</v>
      </c>
      <c r="I41" s="11" t="s">
        <v>301</v>
      </c>
      <c r="J41" s="10" t="s">
        <v>543</v>
      </c>
      <c r="K41" s="10" t="s">
        <v>466</v>
      </c>
      <c r="L41" s="10" t="s">
        <v>544</v>
      </c>
      <c r="M41" s="10" t="s">
        <v>472</v>
      </c>
    </row>
    <row r="42" spans="2:13" s="1" customFormat="1" ht="29" hidden="1" x14ac:dyDescent="0.35">
      <c r="B42" s="8" t="s">
        <v>78</v>
      </c>
      <c r="C42" s="9" t="s">
        <v>81</v>
      </c>
      <c r="D42" s="9" t="s">
        <v>83</v>
      </c>
      <c r="E42" s="10" t="s">
        <v>545</v>
      </c>
      <c r="F42" s="10" t="s">
        <v>462</v>
      </c>
      <c r="G42" s="11" t="s">
        <v>301</v>
      </c>
      <c r="H42" s="10" t="s">
        <v>462</v>
      </c>
      <c r="I42" s="11" t="s">
        <v>301</v>
      </c>
      <c r="J42" s="10" t="s">
        <v>543</v>
      </c>
      <c r="K42" s="10" t="s">
        <v>466</v>
      </c>
      <c r="L42" s="10" t="s">
        <v>546</v>
      </c>
      <c r="M42" s="10" t="s">
        <v>472</v>
      </c>
    </row>
    <row r="43" spans="2:13" s="1" customFormat="1" ht="29.5" hidden="1" thickBot="1" x14ac:dyDescent="0.4">
      <c r="B43" s="12" t="s">
        <v>78</v>
      </c>
      <c r="C43" s="13" t="s">
        <v>84</v>
      </c>
      <c r="D43" s="13" t="s">
        <v>85</v>
      </c>
      <c r="E43" s="14" t="s">
        <v>549</v>
      </c>
      <c r="F43" s="14" t="s">
        <v>655</v>
      </c>
      <c r="G43" s="15" t="s">
        <v>301</v>
      </c>
      <c r="H43" s="15" t="s">
        <v>292</v>
      </c>
      <c r="I43" s="15" t="s">
        <v>301</v>
      </c>
      <c r="J43" s="14" t="s">
        <v>548</v>
      </c>
      <c r="K43" s="14" t="s">
        <v>466</v>
      </c>
      <c r="L43" s="15" t="s">
        <v>301</v>
      </c>
      <c r="M43" s="15" t="s">
        <v>292</v>
      </c>
    </row>
    <row r="44" spans="2:13" s="1" customFormat="1" hidden="1" x14ac:dyDescent="0.35">
      <c r="B44" s="20" t="s">
        <v>86</v>
      </c>
      <c r="C44" s="21" t="s">
        <v>87</v>
      </c>
      <c r="D44" s="21" t="s">
        <v>88</v>
      </c>
      <c r="E44" s="22" t="s">
        <v>554</v>
      </c>
      <c r="F44" s="23" t="s">
        <v>292</v>
      </c>
      <c r="G44" s="23" t="s">
        <v>301</v>
      </c>
      <c r="H44" s="22" t="s">
        <v>462</v>
      </c>
      <c r="I44" s="23" t="s">
        <v>301</v>
      </c>
      <c r="J44" s="22" t="s">
        <v>551</v>
      </c>
      <c r="K44" s="22" t="s">
        <v>466</v>
      </c>
      <c r="L44" s="22" t="s">
        <v>552</v>
      </c>
      <c r="M44" s="22" t="s">
        <v>472</v>
      </c>
    </row>
    <row r="45" spans="2:13" s="1" customFormat="1" hidden="1" x14ac:dyDescent="0.35">
      <c r="B45" s="8" t="s">
        <v>86</v>
      </c>
      <c r="C45" s="9" t="s">
        <v>87</v>
      </c>
      <c r="D45" s="9" t="s">
        <v>89</v>
      </c>
      <c r="E45" s="10" t="s">
        <v>554</v>
      </c>
      <c r="F45" s="11" t="s">
        <v>292</v>
      </c>
      <c r="G45" s="11" t="s">
        <v>301</v>
      </c>
      <c r="H45" s="10" t="s">
        <v>462</v>
      </c>
      <c r="I45" s="11" t="s">
        <v>301</v>
      </c>
      <c r="J45" s="10" t="s">
        <v>551</v>
      </c>
      <c r="K45" s="10" t="s">
        <v>466</v>
      </c>
      <c r="L45" s="10" t="s">
        <v>555</v>
      </c>
      <c r="M45" s="10" t="s">
        <v>472</v>
      </c>
    </row>
    <row r="46" spans="2:13" s="1" customFormat="1" hidden="1" x14ac:dyDescent="0.35">
      <c r="B46" s="8" t="s">
        <v>86</v>
      </c>
      <c r="C46" s="9" t="s">
        <v>90</v>
      </c>
      <c r="D46" s="9" t="s">
        <v>91</v>
      </c>
      <c r="E46" s="10" t="s">
        <v>554</v>
      </c>
      <c r="F46" s="10" t="s">
        <v>462</v>
      </c>
      <c r="G46" s="11" t="s">
        <v>301</v>
      </c>
      <c r="H46" s="10" t="s">
        <v>462</v>
      </c>
      <c r="I46" s="11" t="s">
        <v>301</v>
      </c>
      <c r="J46" s="10" t="s">
        <v>551</v>
      </c>
      <c r="K46" s="10" t="s">
        <v>466</v>
      </c>
      <c r="L46" s="10" t="s">
        <v>556</v>
      </c>
      <c r="M46" s="10" t="s">
        <v>472</v>
      </c>
    </row>
    <row r="47" spans="2:13" s="1" customFormat="1" ht="29.5" hidden="1" thickBot="1" x14ac:dyDescent="0.4">
      <c r="B47" s="12" t="s">
        <v>86</v>
      </c>
      <c r="C47" s="13" t="s">
        <v>92</v>
      </c>
      <c r="D47" s="13" t="s">
        <v>93</v>
      </c>
      <c r="E47" s="14" t="s">
        <v>554</v>
      </c>
      <c r="F47" s="14" t="s">
        <v>557</v>
      </c>
      <c r="G47" s="14" t="s">
        <v>992</v>
      </c>
      <c r="H47" s="14" t="s">
        <v>557</v>
      </c>
      <c r="I47" s="15" t="s">
        <v>301</v>
      </c>
      <c r="J47" s="14" t="s">
        <v>551</v>
      </c>
      <c r="K47" s="14" t="s">
        <v>466</v>
      </c>
      <c r="L47" s="15" t="s">
        <v>301</v>
      </c>
      <c r="M47" s="14" t="s">
        <v>472</v>
      </c>
    </row>
    <row r="48" spans="2:13" s="1" customFormat="1" ht="29" hidden="1" x14ac:dyDescent="0.35">
      <c r="B48" s="20" t="s">
        <v>94</v>
      </c>
      <c r="C48" s="21" t="s">
        <v>95</v>
      </c>
      <c r="D48" s="21" t="s">
        <v>96</v>
      </c>
      <c r="E48" s="22" t="s">
        <v>561</v>
      </c>
      <c r="F48" s="22" t="s">
        <v>558</v>
      </c>
      <c r="G48" s="23" t="s">
        <v>301</v>
      </c>
      <c r="H48" s="22" t="s">
        <v>558</v>
      </c>
      <c r="I48" s="23" t="s">
        <v>301</v>
      </c>
      <c r="J48" s="22" t="s">
        <v>559</v>
      </c>
      <c r="K48" s="22" t="s">
        <v>466</v>
      </c>
      <c r="L48" s="22" t="s">
        <v>560</v>
      </c>
      <c r="M48" s="22" t="s">
        <v>472</v>
      </c>
    </row>
    <row r="49" spans="2:13" s="1" customFormat="1" ht="43.5" hidden="1" x14ac:dyDescent="0.35">
      <c r="B49" s="8" t="s">
        <v>94</v>
      </c>
      <c r="C49" s="9" t="s">
        <v>95</v>
      </c>
      <c r="D49" s="9" t="s">
        <v>97</v>
      </c>
      <c r="E49" s="10" t="s">
        <v>561</v>
      </c>
      <c r="F49" s="10" t="s">
        <v>558</v>
      </c>
      <c r="G49" s="11" t="s">
        <v>301</v>
      </c>
      <c r="H49" s="10" t="s">
        <v>558</v>
      </c>
      <c r="I49" s="11" t="s">
        <v>301</v>
      </c>
      <c r="J49" s="10" t="s">
        <v>559</v>
      </c>
      <c r="K49" s="10" t="s">
        <v>466</v>
      </c>
      <c r="L49" s="10" t="s">
        <v>563</v>
      </c>
      <c r="M49" s="10" t="s">
        <v>472</v>
      </c>
    </row>
    <row r="50" spans="2:13" s="1" customFormat="1" ht="43.5" hidden="1" x14ac:dyDescent="0.35">
      <c r="B50" s="8" t="s">
        <v>94</v>
      </c>
      <c r="C50" s="9" t="s">
        <v>95</v>
      </c>
      <c r="D50" s="9" t="s">
        <v>98</v>
      </c>
      <c r="E50" s="10" t="s">
        <v>561</v>
      </c>
      <c r="F50" s="10" t="s">
        <v>558</v>
      </c>
      <c r="G50" s="11" t="s">
        <v>301</v>
      </c>
      <c r="H50" s="10" t="s">
        <v>558</v>
      </c>
      <c r="I50" s="11" t="s">
        <v>301</v>
      </c>
      <c r="J50" s="10" t="s">
        <v>559</v>
      </c>
      <c r="K50" s="10" t="s">
        <v>466</v>
      </c>
      <c r="L50" s="10" t="s">
        <v>564</v>
      </c>
      <c r="M50" s="10" t="s">
        <v>472</v>
      </c>
    </row>
    <row r="51" spans="2:13" s="1" customFormat="1" ht="29.5" hidden="1" thickBot="1" x14ac:dyDescent="0.4">
      <c r="B51" s="12" t="s">
        <v>94</v>
      </c>
      <c r="C51" s="13" t="s">
        <v>95</v>
      </c>
      <c r="D51" s="13" t="s">
        <v>99</v>
      </c>
      <c r="E51" s="14" t="s">
        <v>565</v>
      </c>
      <c r="F51" s="14" t="s">
        <v>558</v>
      </c>
      <c r="G51" s="15" t="s">
        <v>301</v>
      </c>
      <c r="H51" s="14" t="s">
        <v>558</v>
      </c>
      <c r="I51" s="15" t="s">
        <v>301</v>
      </c>
      <c r="J51" s="14" t="s">
        <v>559</v>
      </c>
      <c r="K51" s="14" t="s">
        <v>466</v>
      </c>
      <c r="L51" s="15" t="s">
        <v>301</v>
      </c>
      <c r="M51" s="14" t="s">
        <v>472</v>
      </c>
    </row>
    <row r="52" spans="2:13" s="1" customFormat="1" hidden="1" x14ac:dyDescent="0.35">
      <c r="B52" s="20" t="s">
        <v>100</v>
      </c>
      <c r="C52" s="21" t="s">
        <v>101</v>
      </c>
      <c r="D52" s="21" t="s">
        <v>102</v>
      </c>
      <c r="E52" s="22" t="s">
        <v>567</v>
      </c>
      <c r="F52" s="22" t="s">
        <v>462</v>
      </c>
      <c r="G52" s="23" t="s">
        <v>301</v>
      </c>
      <c r="H52" s="22" t="s">
        <v>462</v>
      </c>
      <c r="I52" s="23" t="s">
        <v>301</v>
      </c>
      <c r="J52" s="22" t="s">
        <v>566</v>
      </c>
      <c r="K52" s="22" t="s">
        <v>466</v>
      </c>
      <c r="L52" s="23" t="s">
        <v>301</v>
      </c>
      <c r="M52" s="22" t="s">
        <v>472</v>
      </c>
    </row>
    <row r="53" spans="2:13" s="1" customFormat="1" hidden="1" x14ac:dyDescent="0.35">
      <c r="B53" s="8" t="s">
        <v>100</v>
      </c>
      <c r="C53" s="9" t="s">
        <v>103</v>
      </c>
      <c r="D53" s="9" t="s">
        <v>104</v>
      </c>
      <c r="E53" s="10" t="s">
        <v>571</v>
      </c>
      <c r="F53" s="10" t="s">
        <v>569</v>
      </c>
      <c r="G53" s="10" t="s">
        <v>570</v>
      </c>
      <c r="H53" s="10" t="s">
        <v>569</v>
      </c>
      <c r="I53" s="10" t="s">
        <v>570</v>
      </c>
      <c r="J53" s="10" t="s">
        <v>566</v>
      </c>
      <c r="K53" s="10" t="s">
        <v>466</v>
      </c>
      <c r="L53" s="11" t="s">
        <v>301</v>
      </c>
      <c r="M53" s="10" t="s">
        <v>472</v>
      </c>
    </row>
    <row r="54" spans="2:13" s="1" customFormat="1" ht="15" hidden="1" thickBot="1" x14ac:dyDescent="0.4">
      <c r="B54" s="12" t="s">
        <v>100</v>
      </c>
      <c r="C54" s="13" t="s">
        <v>103</v>
      </c>
      <c r="D54" s="13" t="s">
        <v>105</v>
      </c>
      <c r="E54" s="14" t="s">
        <v>572</v>
      </c>
      <c r="F54" s="14" t="s">
        <v>569</v>
      </c>
      <c r="G54" s="14" t="s">
        <v>570</v>
      </c>
      <c r="H54" s="14" t="s">
        <v>569</v>
      </c>
      <c r="I54" s="14" t="s">
        <v>570</v>
      </c>
      <c r="J54" s="14" t="s">
        <v>566</v>
      </c>
      <c r="K54" s="14" t="s">
        <v>466</v>
      </c>
      <c r="L54" s="15" t="s">
        <v>301</v>
      </c>
      <c r="M54" s="14" t="s">
        <v>472</v>
      </c>
    </row>
    <row r="55" spans="2:13" s="1" customFormat="1" ht="29" hidden="1" x14ac:dyDescent="0.35">
      <c r="B55" s="20" t="s">
        <v>106</v>
      </c>
      <c r="C55" s="21" t="s">
        <v>107</v>
      </c>
      <c r="D55" s="21" t="s">
        <v>108</v>
      </c>
      <c r="E55" s="22" t="s">
        <v>574</v>
      </c>
      <c r="F55" s="22" t="s">
        <v>514</v>
      </c>
      <c r="G55" s="23" t="s">
        <v>301</v>
      </c>
      <c r="H55" s="22" t="s">
        <v>514</v>
      </c>
      <c r="I55" s="23" t="s">
        <v>301</v>
      </c>
      <c r="J55" s="22" t="s">
        <v>573</v>
      </c>
      <c r="K55" s="22" t="s">
        <v>466</v>
      </c>
      <c r="L55" s="23" t="s">
        <v>301</v>
      </c>
      <c r="M55" s="22" t="s">
        <v>472</v>
      </c>
    </row>
    <row r="56" spans="2:13" s="1" customFormat="1" ht="43.5" hidden="1" x14ac:dyDescent="0.35">
      <c r="B56" s="8" t="s">
        <v>106</v>
      </c>
      <c r="C56" s="9" t="s">
        <v>109</v>
      </c>
      <c r="D56" s="9" t="s">
        <v>110</v>
      </c>
      <c r="E56" s="10" t="s">
        <v>574</v>
      </c>
      <c r="F56" s="11" t="s">
        <v>292</v>
      </c>
      <c r="G56" s="11" t="s">
        <v>301</v>
      </c>
      <c r="H56" s="10" t="s">
        <v>580</v>
      </c>
      <c r="I56" s="11" t="s">
        <v>301</v>
      </c>
      <c r="J56" s="10" t="s">
        <v>573</v>
      </c>
      <c r="K56" s="10" t="s">
        <v>466</v>
      </c>
      <c r="L56" s="11" t="s">
        <v>301</v>
      </c>
      <c r="M56" s="10" t="s">
        <v>472</v>
      </c>
    </row>
    <row r="57" spans="2:13" s="1" customFormat="1" ht="43.5" hidden="1" x14ac:dyDescent="0.35">
      <c r="B57" s="8" t="s">
        <v>106</v>
      </c>
      <c r="C57" s="9" t="s">
        <v>109</v>
      </c>
      <c r="D57" s="9" t="s">
        <v>111</v>
      </c>
      <c r="E57" s="10" t="s">
        <v>574</v>
      </c>
      <c r="F57" s="11" t="s">
        <v>292</v>
      </c>
      <c r="G57" s="11" t="s">
        <v>301</v>
      </c>
      <c r="H57" s="10" t="s">
        <v>581</v>
      </c>
      <c r="I57" s="11" t="s">
        <v>301</v>
      </c>
      <c r="J57" s="10" t="s">
        <v>573</v>
      </c>
      <c r="K57" s="10" t="s">
        <v>466</v>
      </c>
      <c r="L57" s="11" t="s">
        <v>301</v>
      </c>
      <c r="M57" s="10" t="s">
        <v>472</v>
      </c>
    </row>
    <row r="58" spans="2:13" s="1" customFormat="1" ht="43.5" hidden="1" x14ac:dyDescent="0.35">
      <c r="B58" s="8" t="s">
        <v>106</v>
      </c>
      <c r="C58" s="9" t="s">
        <v>109</v>
      </c>
      <c r="D58" s="9" t="s">
        <v>112</v>
      </c>
      <c r="E58" s="10" t="s">
        <v>574</v>
      </c>
      <c r="F58" s="11" t="s">
        <v>292</v>
      </c>
      <c r="G58" s="11" t="s">
        <v>301</v>
      </c>
      <c r="H58" s="10" t="s">
        <v>579</v>
      </c>
      <c r="I58" s="11" t="s">
        <v>301</v>
      </c>
      <c r="J58" s="10" t="s">
        <v>573</v>
      </c>
      <c r="K58" s="10" t="s">
        <v>466</v>
      </c>
      <c r="L58" s="11" t="s">
        <v>301</v>
      </c>
      <c r="M58" s="10" t="s">
        <v>472</v>
      </c>
    </row>
    <row r="59" spans="2:13" s="1" customFormat="1" ht="43.5" hidden="1" x14ac:dyDescent="0.35">
      <c r="B59" s="8" t="s">
        <v>106</v>
      </c>
      <c r="C59" s="9" t="s">
        <v>109</v>
      </c>
      <c r="D59" s="9" t="s">
        <v>113</v>
      </c>
      <c r="E59" s="10" t="s">
        <v>574</v>
      </c>
      <c r="F59" s="11" t="s">
        <v>292</v>
      </c>
      <c r="G59" s="11" t="s">
        <v>301</v>
      </c>
      <c r="H59" s="10" t="s">
        <v>582</v>
      </c>
      <c r="I59" s="11" t="s">
        <v>301</v>
      </c>
      <c r="J59" s="10" t="s">
        <v>573</v>
      </c>
      <c r="K59" s="10" t="s">
        <v>466</v>
      </c>
      <c r="L59" s="11" t="s">
        <v>301</v>
      </c>
      <c r="M59" s="10" t="s">
        <v>472</v>
      </c>
    </row>
    <row r="60" spans="2:13" s="1" customFormat="1" ht="43.5" hidden="1" x14ac:dyDescent="0.35">
      <c r="B60" s="8" t="s">
        <v>106</v>
      </c>
      <c r="C60" s="9" t="s">
        <v>109</v>
      </c>
      <c r="D60" s="9" t="s">
        <v>114</v>
      </c>
      <c r="E60" s="10" t="s">
        <v>574</v>
      </c>
      <c r="F60" s="11" t="s">
        <v>292</v>
      </c>
      <c r="G60" s="11" t="s">
        <v>301</v>
      </c>
      <c r="H60" s="10" t="s">
        <v>486</v>
      </c>
      <c r="I60" s="11" t="s">
        <v>301</v>
      </c>
      <c r="J60" s="10" t="s">
        <v>573</v>
      </c>
      <c r="K60" s="10" t="s">
        <v>466</v>
      </c>
      <c r="L60" s="11" t="s">
        <v>301</v>
      </c>
      <c r="M60" s="10" t="s">
        <v>472</v>
      </c>
    </row>
    <row r="61" spans="2:13" s="1" customFormat="1" hidden="1" x14ac:dyDescent="0.35">
      <c r="B61" s="8" t="s">
        <v>106</v>
      </c>
      <c r="C61" s="9" t="s">
        <v>115</v>
      </c>
      <c r="D61" s="9" t="s">
        <v>116</v>
      </c>
      <c r="E61" s="10" t="s">
        <v>574</v>
      </c>
      <c r="F61" s="11" t="s">
        <v>292</v>
      </c>
      <c r="G61" s="11" t="s">
        <v>301</v>
      </c>
      <c r="H61" s="10" t="s">
        <v>462</v>
      </c>
      <c r="I61" s="11" t="s">
        <v>301</v>
      </c>
      <c r="J61" s="10" t="s">
        <v>573</v>
      </c>
      <c r="K61" s="10" t="s">
        <v>466</v>
      </c>
      <c r="L61" s="11" t="s">
        <v>301</v>
      </c>
      <c r="M61" s="10" t="s">
        <v>472</v>
      </c>
    </row>
    <row r="62" spans="2:13" s="1" customFormat="1" ht="43.5" hidden="1" x14ac:dyDescent="0.35">
      <c r="B62" s="8" t="s">
        <v>106</v>
      </c>
      <c r="C62" s="9" t="s">
        <v>109</v>
      </c>
      <c r="D62" s="9" t="s">
        <v>117</v>
      </c>
      <c r="E62" s="10" t="s">
        <v>574</v>
      </c>
      <c r="F62" s="11" t="s">
        <v>292</v>
      </c>
      <c r="G62" s="11" t="s">
        <v>301</v>
      </c>
      <c r="H62" s="10" t="s">
        <v>583</v>
      </c>
      <c r="I62" s="11" t="s">
        <v>301</v>
      </c>
      <c r="J62" s="10" t="s">
        <v>573</v>
      </c>
      <c r="K62" s="10" t="s">
        <v>466</v>
      </c>
      <c r="L62" s="11" t="s">
        <v>301</v>
      </c>
      <c r="M62" s="10" t="s">
        <v>472</v>
      </c>
    </row>
    <row r="63" spans="2:13" s="1" customFormat="1" hidden="1" x14ac:dyDescent="0.35">
      <c r="B63" s="8" t="s">
        <v>106</v>
      </c>
      <c r="C63" s="9" t="s">
        <v>118</v>
      </c>
      <c r="D63" s="9" t="s">
        <v>119</v>
      </c>
      <c r="E63" s="10" t="s">
        <v>574</v>
      </c>
      <c r="F63" s="10" t="s">
        <v>462</v>
      </c>
      <c r="G63" s="11" t="s">
        <v>301</v>
      </c>
      <c r="H63" s="10" t="s">
        <v>462</v>
      </c>
      <c r="I63" s="11" t="s">
        <v>301</v>
      </c>
      <c r="J63" s="10" t="s">
        <v>573</v>
      </c>
      <c r="K63" s="10" t="s">
        <v>466</v>
      </c>
      <c r="L63" s="11" t="s">
        <v>301</v>
      </c>
      <c r="M63" s="10" t="s">
        <v>472</v>
      </c>
    </row>
    <row r="64" spans="2:13" s="1" customFormat="1" ht="29" hidden="1" x14ac:dyDescent="0.35">
      <c r="B64" s="8" t="s">
        <v>106</v>
      </c>
      <c r="C64" s="9" t="s">
        <v>120</v>
      </c>
      <c r="D64" s="9" t="s">
        <v>121</v>
      </c>
      <c r="E64" s="10" t="s">
        <v>574</v>
      </c>
      <c r="F64" s="11" t="s">
        <v>292</v>
      </c>
      <c r="G64" s="11" t="s">
        <v>301</v>
      </c>
      <c r="H64" s="10" t="s">
        <v>462</v>
      </c>
      <c r="I64" s="11" t="s">
        <v>301</v>
      </c>
      <c r="J64" s="10" t="s">
        <v>573</v>
      </c>
      <c r="K64" s="10" t="s">
        <v>466</v>
      </c>
      <c r="L64" s="10" t="s">
        <v>575</v>
      </c>
      <c r="M64" s="10" t="s">
        <v>472</v>
      </c>
    </row>
    <row r="65" spans="2:13" s="1" customFormat="1" hidden="1" x14ac:dyDescent="0.35">
      <c r="B65" s="8" t="s">
        <v>106</v>
      </c>
      <c r="C65" s="9" t="s">
        <v>122</v>
      </c>
      <c r="D65" s="9" t="s">
        <v>123</v>
      </c>
      <c r="E65" s="10" t="s">
        <v>574</v>
      </c>
      <c r="F65" s="11" t="s">
        <v>292</v>
      </c>
      <c r="G65" s="11" t="s">
        <v>301</v>
      </c>
      <c r="H65" s="10" t="s">
        <v>462</v>
      </c>
      <c r="I65" s="10" t="s">
        <v>508</v>
      </c>
      <c r="J65" s="10" t="s">
        <v>573</v>
      </c>
      <c r="K65" s="10" t="s">
        <v>466</v>
      </c>
      <c r="L65" s="11" t="s">
        <v>301</v>
      </c>
      <c r="M65" s="10" t="s">
        <v>472</v>
      </c>
    </row>
    <row r="66" spans="2:13" s="1" customFormat="1" hidden="1" x14ac:dyDescent="0.35">
      <c r="B66" s="8" t="s">
        <v>106</v>
      </c>
      <c r="C66" s="9" t="s">
        <v>124</v>
      </c>
      <c r="D66" s="9" t="s">
        <v>125</v>
      </c>
      <c r="E66" s="10" t="s">
        <v>577</v>
      </c>
      <c r="F66" s="11" t="s">
        <v>292</v>
      </c>
      <c r="G66" s="11" t="s">
        <v>301</v>
      </c>
      <c r="H66" s="10" t="s">
        <v>462</v>
      </c>
      <c r="I66" s="11" t="s">
        <v>301</v>
      </c>
      <c r="J66" s="10" t="s">
        <v>576</v>
      </c>
      <c r="K66" s="10" t="s">
        <v>521</v>
      </c>
      <c r="L66" s="11" t="s">
        <v>301</v>
      </c>
      <c r="M66" s="10" t="s">
        <v>522</v>
      </c>
    </row>
    <row r="67" spans="2:13" s="1" customFormat="1" ht="15" hidden="1" thickBot="1" x14ac:dyDescent="0.4">
      <c r="B67" s="12" t="s">
        <v>106</v>
      </c>
      <c r="C67" s="13" t="s">
        <v>124</v>
      </c>
      <c r="D67" s="13" t="s">
        <v>126</v>
      </c>
      <c r="E67" s="14" t="s">
        <v>577</v>
      </c>
      <c r="F67" s="15" t="s">
        <v>292</v>
      </c>
      <c r="G67" s="15" t="s">
        <v>301</v>
      </c>
      <c r="H67" s="14" t="s">
        <v>462</v>
      </c>
      <c r="I67" s="15" t="s">
        <v>301</v>
      </c>
      <c r="J67" s="14" t="s">
        <v>578</v>
      </c>
      <c r="K67" s="14" t="s">
        <v>521</v>
      </c>
      <c r="L67" s="15" t="s">
        <v>301</v>
      </c>
      <c r="M67" s="14" t="s">
        <v>522</v>
      </c>
    </row>
    <row r="68" spans="2:13" s="1" customFormat="1" ht="29" hidden="1" x14ac:dyDescent="0.35">
      <c r="B68" s="20" t="s">
        <v>127</v>
      </c>
      <c r="C68" s="21" t="s">
        <v>128</v>
      </c>
      <c r="D68" s="21" t="s">
        <v>129</v>
      </c>
      <c r="E68" s="22" t="s">
        <v>589</v>
      </c>
      <c r="F68" s="22" t="s">
        <v>625</v>
      </c>
      <c r="G68" s="23" t="s">
        <v>301</v>
      </c>
      <c r="H68" s="22" t="s">
        <v>462</v>
      </c>
      <c r="I68" s="22" t="s">
        <v>588</v>
      </c>
      <c r="J68" s="22" t="s">
        <v>584</v>
      </c>
      <c r="K68" s="22" t="s">
        <v>466</v>
      </c>
      <c r="L68" s="23" t="s">
        <v>301</v>
      </c>
      <c r="M68" s="22" t="s">
        <v>472</v>
      </c>
    </row>
    <row r="69" spans="2:13" s="1" customFormat="1" ht="29" hidden="1" x14ac:dyDescent="0.35">
      <c r="B69" s="8" t="s">
        <v>127</v>
      </c>
      <c r="C69" s="9" t="s">
        <v>128</v>
      </c>
      <c r="D69" s="9" t="s">
        <v>130</v>
      </c>
      <c r="E69" s="10" t="s">
        <v>592</v>
      </c>
      <c r="F69" s="10" t="s">
        <v>625</v>
      </c>
      <c r="G69" s="11" t="s">
        <v>301</v>
      </c>
      <c r="H69" s="10" t="s">
        <v>462</v>
      </c>
      <c r="I69" s="10" t="s">
        <v>591</v>
      </c>
      <c r="J69" s="10" t="s">
        <v>584</v>
      </c>
      <c r="K69" s="10" t="s">
        <v>466</v>
      </c>
      <c r="L69" s="11" t="s">
        <v>301</v>
      </c>
      <c r="M69" s="10" t="s">
        <v>472</v>
      </c>
    </row>
    <row r="70" spans="2:13" s="1" customFormat="1" hidden="1" x14ac:dyDescent="0.35">
      <c r="B70" s="8" t="s">
        <v>127</v>
      </c>
      <c r="C70" s="9" t="s">
        <v>128</v>
      </c>
      <c r="D70" s="9" t="s">
        <v>131</v>
      </c>
      <c r="E70" s="10" t="s">
        <v>586</v>
      </c>
      <c r="F70" s="10" t="s">
        <v>625</v>
      </c>
      <c r="G70" s="11" t="s">
        <v>301</v>
      </c>
      <c r="H70" s="10" t="s">
        <v>501</v>
      </c>
      <c r="I70" s="11" t="s">
        <v>301</v>
      </c>
      <c r="J70" s="10" t="s">
        <v>584</v>
      </c>
      <c r="K70" s="10" t="s">
        <v>466</v>
      </c>
      <c r="L70" s="11" t="s">
        <v>301</v>
      </c>
      <c r="M70" s="10" t="s">
        <v>472</v>
      </c>
    </row>
    <row r="71" spans="2:13" s="1" customFormat="1" ht="29" hidden="1" x14ac:dyDescent="0.35">
      <c r="B71" s="8" t="s">
        <v>127</v>
      </c>
      <c r="C71" s="9" t="s">
        <v>132</v>
      </c>
      <c r="D71" s="9" t="s">
        <v>133</v>
      </c>
      <c r="E71" s="10" t="s">
        <v>589</v>
      </c>
      <c r="F71" s="10" t="s">
        <v>462</v>
      </c>
      <c r="G71" s="10" t="s">
        <v>993</v>
      </c>
      <c r="H71" s="10" t="s">
        <v>462</v>
      </c>
      <c r="I71" s="10" t="s">
        <v>593</v>
      </c>
      <c r="J71" s="10" t="s">
        <v>595</v>
      </c>
      <c r="K71" s="10" t="s">
        <v>466</v>
      </c>
      <c r="L71" s="11" t="s">
        <v>301</v>
      </c>
      <c r="M71" s="11" t="s">
        <v>292</v>
      </c>
    </row>
    <row r="72" spans="2:13" s="1" customFormat="1" ht="29" hidden="1" x14ac:dyDescent="0.35">
      <c r="B72" s="8" t="s">
        <v>127</v>
      </c>
      <c r="C72" s="9" t="s">
        <v>134</v>
      </c>
      <c r="D72" s="9" t="s">
        <v>135</v>
      </c>
      <c r="E72" s="10" t="s">
        <v>586</v>
      </c>
      <c r="F72" s="10" t="s">
        <v>569</v>
      </c>
      <c r="G72" s="11" t="s">
        <v>301</v>
      </c>
      <c r="H72" s="10" t="s">
        <v>569</v>
      </c>
      <c r="I72" s="11" t="s">
        <v>301</v>
      </c>
      <c r="J72" s="10" t="s">
        <v>598</v>
      </c>
      <c r="K72" s="10" t="s">
        <v>466</v>
      </c>
      <c r="L72" s="10" t="s">
        <v>599</v>
      </c>
      <c r="M72" s="10" t="s">
        <v>468</v>
      </c>
    </row>
    <row r="73" spans="2:13" s="1" customFormat="1" ht="29" hidden="1" x14ac:dyDescent="0.35">
      <c r="B73" s="8" t="s">
        <v>127</v>
      </c>
      <c r="C73" s="9" t="s">
        <v>136</v>
      </c>
      <c r="D73" s="9" t="s">
        <v>137</v>
      </c>
      <c r="E73" s="10" t="s">
        <v>586</v>
      </c>
      <c r="F73" s="10" t="s">
        <v>569</v>
      </c>
      <c r="G73" s="11" t="s">
        <v>301</v>
      </c>
      <c r="H73" s="10" t="s">
        <v>569</v>
      </c>
      <c r="I73" s="11" t="s">
        <v>301</v>
      </c>
      <c r="J73" s="10" t="s">
        <v>600</v>
      </c>
      <c r="K73" s="10" t="s">
        <v>466</v>
      </c>
      <c r="L73" s="10" t="s">
        <v>601</v>
      </c>
      <c r="M73" s="10" t="s">
        <v>472</v>
      </c>
    </row>
    <row r="74" spans="2:13" s="1" customFormat="1" ht="29.5" hidden="1" thickBot="1" x14ac:dyDescent="0.4">
      <c r="B74" s="12" t="s">
        <v>127</v>
      </c>
      <c r="C74" s="13" t="s">
        <v>138</v>
      </c>
      <c r="D74" s="13" t="s">
        <v>139</v>
      </c>
      <c r="E74" s="14" t="s">
        <v>597</v>
      </c>
      <c r="F74" s="15" t="s">
        <v>292</v>
      </c>
      <c r="G74" s="15" t="s">
        <v>301</v>
      </c>
      <c r="H74" s="14" t="s">
        <v>527</v>
      </c>
      <c r="I74" s="15" t="s">
        <v>301</v>
      </c>
      <c r="J74" s="14" t="s">
        <v>596</v>
      </c>
      <c r="K74" s="14" t="s">
        <v>521</v>
      </c>
      <c r="L74" s="15" t="s">
        <v>301</v>
      </c>
      <c r="M74" s="14" t="s">
        <v>522</v>
      </c>
    </row>
    <row r="75" spans="2:13" s="1" customFormat="1" ht="29" x14ac:dyDescent="0.35">
      <c r="B75" s="20" t="s">
        <v>140</v>
      </c>
      <c r="C75" s="21" t="s">
        <v>141</v>
      </c>
      <c r="D75" s="21" t="s">
        <v>142</v>
      </c>
      <c r="E75" s="22" t="s">
        <v>610</v>
      </c>
      <c r="F75" s="22" t="s">
        <v>462</v>
      </c>
      <c r="G75" s="22" t="s">
        <v>607</v>
      </c>
      <c r="H75" s="22" t="s">
        <v>462</v>
      </c>
      <c r="I75" s="22" t="s">
        <v>607</v>
      </c>
      <c r="J75" s="22" t="s">
        <v>595</v>
      </c>
      <c r="K75" s="22" t="s">
        <v>466</v>
      </c>
      <c r="L75" s="22" t="s">
        <v>608</v>
      </c>
      <c r="M75" s="22" t="s">
        <v>472</v>
      </c>
    </row>
    <row r="76" spans="2:13" s="1" customFormat="1" ht="29" x14ac:dyDescent="0.35">
      <c r="B76" s="8" t="s">
        <v>140</v>
      </c>
      <c r="C76" s="9" t="s">
        <v>141</v>
      </c>
      <c r="D76" s="9" t="s">
        <v>143</v>
      </c>
      <c r="E76" s="10" t="s">
        <v>610</v>
      </c>
      <c r="F76" s="10" t="s">
        <v>462</v>
      </c>
      <c r="G76" s="10" t="s">
        <v>607</v>
      </c>
      <c r="H76" s="10" t="s">
        <v>462</v>
      </c>
      <c r="I76" s="10" t="s">
        <v>607</v>
      </c>
      <c r="J76" s="10" t="s">
        <v>595</v>
      </c>
      <c r="K76" s="10" t="s">
        <v>466</v>
      </c>
      <c r="L76" s="10" t="s">
        <v>611</v>
      </c>
      <c r="M76" s="10" t="s">
        <v>472</v>
      </c>
    </row>
    <row r="77" spans="2:13" s="1" customFormat="1" x14ac:dyDescent="0.35">
      <c r="B77" s="8" t="s">
        <v>140</v>
      </c>
      <c r="C77" s="9" t="s">
        <v>141</v>
      </c>
      <c r="D77" s="9" t="s">
        <v>144</v>
      </c>
      <c r="E77" s="10" t="s">
        <v>610</v>
      </c>
      <c r="F77" s="10" t="s">
        <v>462</v>
      </c>
      <c r="G77" s="11" t="s">
        <v>301</v>
      </c>
      <c r="H77" s="10" t="s">
        <v>462</v>
      </c>
      <c r="I77" s="11" t="s">
        <v>301</v>
      </c>
      <c r="J77" s="10" t="s">
        <v>612</v>
      </c>
      <c r="K77" s="10" t="s">
        <v>521</v>
      </c>
      <c r="L77" s="11" t="s">
        <v>301</v>
      </c>
      <c r="M77" s="10" t="s">
        <v>522</v>
      </c>
    </row>
    <row r="78" spans="2:13" s="1" customFormat="1" ht="29" x14ac:dyDescent="0.35">
      <c r="B78" s="8" t="s">
        <v>140</v>
      </c>
      <c r="C78" s="9" t="s">
        <v>136</v>
      </c>
      <c r="D78" s="9" t="s">
        <v>145</v>
      </c>
      <c r="E78" s="10" t="s">
        <v>610</v>
      </c>
      <c r="F78" s="10" t="s">
        <v>569</v>
      </c>
      <c r="G78" s="11" t="s">
        <v>301</v>
      </c>
      <c r="H78" s="10" t="s">
        <v>569</v>
      </c>
      <c r="I78" s="11" t="s">
        <v>301</v>
      </c>
      <c r="J78" s="10" t="s">
        <v>600</v>
      </c>
      <c r="K78" s="10" t="s">
        <v>466</v>
      </c>
      <c r="L78" s="10" t="s">
        <v>601</v>
      </c>
      <c r="M78" s="10" t="s">
        <v>472</v>
      </c>
    </row>
    <row r="79" spans="2:13" s="1" customFormat="1" ht="29" x14ac:dyDescent="0.35">
      <c r="B79" s="8" t="s">
        <v>140</v>
      </c>
      <c r="C79" s="9" t="s">
        <v>136</v>
      </c>
      <c r="D79" s="9" t="s">
        <v>146</v>
      </c>
      <c r="E79" s="10" t="s">
        <v>604</v>
      </c>
      <c r="F79" s="10" t="s">
        <v>602</v>
      </c>
      <c r="G79" s="11" t="s">
        <v>301</v>
      </c>
      <c r="H79" s="10" t="s">
        <v>602</v>
      </c>
      <c r="I79" s="11" t="s">
        <v>301</v>
      </c>
      <c r="J79" s="10" t="s">
        <v>598</v>
      </c>
      <c r="K79" s="10" t="s">
        <v>466</v>
      </c>
      <c r="L79" s="10" t="s">
        <v>603</v>
      </c>
      <c r="M79" s="10" t="s">
        <v>472</v>
      </c>
    </row>
    <row r="80" spans="2:13" s="1" customFormat="1" ht="29" x14ac:dyDescent="0.35">
      <c r="B80" s="8" t="s">
        <v>140</v>
      </c>
      <c r="C80" s="9" t="s">
        <v>136</v>
      </c>
      <c r="D80" s="9" t="s">
        <v>147</v>
      </c>
      <c r="E80" s="10" t="s">
        <v>614</v>
      </c>
      <c r="F80" s="10" t="s">
        <v>618</v>
      </c>
      <c r="G80" s="11" t="s">
        <v>301</v>
      </c>
      <c r="H80" s="10" t="s">
        <v>618</v>
      </c>
      <c r="I80" s="11" t="s">
        <v>301</v>
      </c>
      <c r="J80" s="10" t="s">
        <v>598</v>
      </c>
      <c r="K80" s="10" t="s">
        <v>466</v>
      </c>
      <c r="L80" s="10" t="s">
        <v>603</v>
      </c>
      <c r="M80" s="10" t="s">
        <v>472</v>
      </c>
    </row>
    <row r="81" spans="2:13" s="1" customFormat="1" ht="29" x14ac:dyDescent="0.35">
      <c r="B81" s="8" t="s">
        <v>140</v>
      </c>
      <c r="C81" s="9" t="s">
        <v>136</v>
      </c>
      <c r="D81" s="9" t="s">
        <v>148</v>
      </c>
      <c r="E81" s="10" t="s">
        <v>606</v>
      </c>
      <c r="F81" s="10" t="s">
        <v>602</v>
      </c>
      <c r="G81" s="11" t="s">
        <v>301</v>
      </c>
      <c r="H81" s="10" t="s">
        <v>602</v>
      </c>
      <c r="I81" s="11" t="s">
        <v>301</v>
      </c>
      <c r="J81" s="10" t="s">
        <v>598</v>
      </c>
      <c r="K81" s="10" t="s">
        <v>466</v>
      </c>
      <c r="L81" s="10" t="s">
        <v>605</v>
      </c>
      <c r="M81" s="10" t="s">
        <v>472</v>
      </c>
    </row>
    <row r="82" spans="2:13" s="1" customFormat="1" ht="29" x14ac:dyDescent="0.35">
      <c r="B82" s="8" t="s">
        <v>140</v>
      </c>
      <c r="C82" s="9" t="s">
        <v>149</v>
      </c>
      <c r="D82" s="9" t="s">
        <v>150</v>
      </c>
      <c r="E82" s="10" t="s">
        <v>614</v>
      </c>
      <c r="F82" s="10" t="s">
        <v>462</v>
      </c>
      <c r="G82" s="11" t="s">
        <v>301</v>
      </c>
      <c r="H82" s="10" t="s">
        <v>462</v>
      </c>
      <c r="I82" s="11" t="s">
        <v>301</v>
      </c>
      <c r="J82" s="10" t="s">
        <v>598</v>
      </c>
      <c r="K82" s="10" t="s">
        <v>466</v>
      </c>
      <c r="L82" s="10" t="s">
        <v>613</v>
      </c>
      <c r="M82" s="10" t="s">
        <v>472</v>
      </c>
    </row>
    <row r="83" spans="2:13" s="1" customFormat="1" ht="29" x14ac:dyDescent="0.35">
      <c r="B83" s="8" t="s">
        <v>140</v>
      </c>
      <c r="C83" s="9" t="s">
        <v>134</v>
      </c>
      <c r="D83" s="9" t="s">
        <v>151</v>
      </c>
      <c r="E83" s="10" t="s">
        <v>610</v>
      </c>
      <c r="F83" s="10" t="s">
        <v>569</v>
      </c>
      <c r="G83" s="11" t="s">
        <v>301</v>
      </c>
      <c r="H83" s="10" t="s">
        <v>569</v>
      </c>
      <c r="I83" s="11" t="s">
        <v>301</v>
      </c>
      <c r="J83" s="10" t="s">
        <v>598</v>
      </c>
      <c r="K83" s="10" t="s">
        <v>466</v>
      </c>
      <c r="L83" s="10" t="s">
        <v>599</v>
      </c>
      <c r="M83" s="10" t="s">
        <v>468</v>
      </c>
    </row>
    <row r="84" spans="2:13" s="1" customFormat="1" x14ac:dyDescent="0.35">
      <c r="B84" s="8" t="s">
        <v>140</v>
      </c>
      <c r="C84" s="9" t="s">
        <v>103</v>
      </c>
      <c r="D84" s="9" t="s">
        <v>152</v>
      </c>
      <c r="E84" s="10" t="s">
        <v>614</v>
      </c>
      <c r="F84" s="10" t="s">
        <v>569</v>
      </c>
      <c r="G84" s="11" t="s">
        <v>301</v>
      </c>
      <c r="H84" s="10" t="s">
        <v>569</v>
      </c>
      <c r="I84" s="11" t="s">
        <v>301</v>
      </c>
      <c r="J84" s="10" t="s">
        <v>598</v>
      </c>
      <c r="K84" s="10" t="s">
        <v>466</v>
      </c>
      <c r="L84" s="11" t="s">
        <v>301</v>
      </c>
      <c r="M84" s="11" t="s">
        <v>292</v>
      </c>
    </row>
    <row r="85" spans="2:13" s="1" customFormat="1" ht="15" thickBot="1" x14ac:dyDescent="0.4">
      <c r="B85" s="12" t="s">
        <v>140</v>
      </c>
      <c r="C85" s="13" t="s">
        <v>153</v>
      </c>
      <c r="D85" s="13" t="s">
        <v>154</v>
      </c>
      <c r="E85" s="14" t="s">
        <v>617</v>
      </c>
      <c r="F85" s="14" t="s">
        <v>501</v>
      </c>
      <c r="G85" s="15" t="s">
        <v>301</v>
      </c>
      <c r="H85" s="14" t="s">
        <v>501</v>
      </c>
      <c r="I85" s="15" t="s">
        <v>301</v>
      </c>
      <c r="J85" s="14" t="s">
        <v>595</v>
      </c>
      <c r="K85" s="14" t="s">
        <v>466</v>
      </c>
      <c r="L85" s="15" t="s">
        <v>301</v>
      </c>
      <c r="M85" s="15" t="s">
        <v>292</v>
      </c>
    </row>
    <row r="86" spans="2:13" s="1" customFormat="1" ht="29.5" thickTop="1" x14ac:dyDescent="0.35">
      <c r="B86" s="20" t="s">
        <v>155</v>
      </c>
      <c r="C86" s="21" t="s">
        <v>156</v>
      </c>
      <c r="D86" s="21" t="s">
        <v>157</v>
      </c>
      <c r="E86" s="22" t="s">
        <v>623</v>
      </c>
      <c r="F86" s="22" t="s">
        <v>630</v>
      </c>
      <c r="G86" s="22" t="s">
        <v>631</v>
      </c>
      <c r="H86" s="22" t="s">
        <v>630</v>
      </c>
      <c r="I86" s="22" t="s">
        <v>631</v>
      </c>
      <c r="J86" s="22" t="s">
        <v>584</v>
      </c>
      <c r="K86" s="22" t="s">
        <v>466</v>
      </c>
      <c r="L86" s="22" t="s">
        <v>632</v>
      </c>
      <c r="M86" s="22" t="s">
        <v>468</v>
      </c>
    </row>
    <row r="87" spans="2:13" s="1" customFormat="1" ht="29" x14ac:dyDescent="0.35">
      <c r="B87" s="8" t="s">
        <v>155</v>
      </c>
      <c r="C87" s="9" t="s">
        <v>156</v>
      </c>
      <c r="D87" s="9" t="s">
        <v>158</v>
      </c>
      <c r="E87" s="10" t="s">
        <v>623</v>
      </c>
      <c r="F87" s="10" t="s">
        <v>630</v>
      </c>
      <c r="G87" s="10" t="s">
        <v>631</v>
      </c>
      <c r="H87" s="10" t="s">
        <v>630</v>
      </c>
      <c r="I87" s="10" t="s">
        <v>631</v>
      </c>
      <c r="J87" s="10" t="s">
        <v>584</v>
      </c>
      <c r="K87" s="10" t="s">
        <v>466</v>
      </c>
      <c r="L87" s="10" t="s">
        <v>634</v>
      </c>
      <c r="M87" s="10" t="s">
        <v>468</v>
      </c>
    </row>
    <row r="88" spans="2:13" s="1" customFormat="1" ht="29" x14ac:dyDescent="0.35">
      <c r="B88" s="8" t="s">
        <v>155</v>
      </c>
      <c r="C88" s="9" t="s">
        <v>159</v>
      </c>
      <c r="D88" s="9" t="s">
        <v>160</v>
      </c>
      <c r="E88" s="10" t="s">
        <v>623</v>
      </c>
      <c r="F88" s="10" t="s">
        <v>635</v>
      </c>
      <c r="G88" s="10" t="s">
        <v>994</v>
      </c>
      <c r="H88" s="10" t="s">
        <v>635</v>
      </c>
      <c r="I88" s="10" t="s">
        <v>636</v>
      </c>
      <c r="J88" s="10" t="s">
        <v>584</v>
      </c>
      <c r="K88" s="10" t="s">
        <v>466</v>
      </c>
      <c r="L88" s="11" t="s">
        <v>301</v>
      </c>
      <c r="M88" s="10" t="s">
        <v>472</v>
      </c>
    </row>
    <row r="89" spans="2:13" s="1" customFormat="1" ht="29" x14ac:dyDescent="0.35">
      <c r="B89" s="8" t="s">
        <v>155</v>
      </c>
      <c r="C89" s="9" t="s">
        <v>161</v>
      </c>
      <c r="D89" s="9" t="s">
        <v>162</v>
      </c>
      <c r="E89" s="10" t="s">
        <v>623</v>
      </c>
      <c r="F89" s="10" t="s">
        <v>462</v>
      </c>
      <c r="G89" s="10" t="s">
        <v>619</v>
      </c>
      <c r="H89" s="10" t="s">
        <v>462</v>
      </c>
      <c r="I89" s="10" t="s">
        <v>619</v>
      </c>
      <c r="J89" s="10" t="s">
        <v>584</v>
      </c>
      <c r="K89" s="10" t="s">
        <v>466</v>
      </c>
      <c r="L89" s="11" t="s">
        <v>301</v>
      </c>
      <c r="M89" s="10" t="s">
        <v>472</v>
      </c>
    </row>
    <row r="90" spans="2:13" s="1" customFormat="1" ht="29" x14ac:dyDescent="0.35">
      <c r="B90" s="8" t="s">
        <v>155</v>
      </c>
      <c r="C90" s="9" t="s">
        <v>161</v>
      </c>
      <c r="D90" s="9" t="s">
        <v>163</v>
      </c>
      <c r="E90" s="10" t="s">
        <v>623</v>
      </c>
      <c r="F90" s="11" t="s">
        <v>292</v>
      </c>
      <c r="G90" s="11" t="s">
        <v>301</v>
      </c>
      <c r="H90" s="10" t="s">
        <v>462</v>
      </c>
      <c r="I90" s="10" t="s">
        <v>619</v>
      </c>
      <c r="J90" s="10" t="s">
        <v>620</v>
      </c>
      <c r="K90" s="10" t="s">
        <v>521</v>
      </c>
      <c r="L90" s="11" t="s">
        <v>301</v>
      </c>
      <c r="M90" s="10" t="s">
        <v>522</v>
      </c>
    </row>
    <row r="91" spans="2:13" s="1" customFormat="1" ht="29" x14ac:dyDescent="0.35">
      <c r="B91" s="8" t="s">
        <v>155</v>
      </c>
      <c r="C91" s="9" t="s">
        <v>164</v>
      </c>
      <c r="D91" s="9" t="s">
        <v>165</v>
      </c>
      <c r="E91" s="10" t="s">
        <v>623</v>
      </c>
      <c r="F91" s="10" t="s">
        <v>637</v>
      </c>
      <c r="G91" s="10" t="s">
        <v>638</v>
      </c>
      <c r="H91" s="10" t="s">
        <v>637</v>
      </c>
      <c r="I91" s="10" t="s">
        <v>638</v>
      </c>
      <c r="J91" s="10" t="s">
        <v>584</v>
      </c>
      <c r="K91" s="10" t="s">
        <v>466</v>
      </c>
      <c r="L91" s="11" t="s">
        <v>301</v>
      </c>
      <c r="M91" s="10" t="s">
        <v>468</v>
      </c>
    </row>
    <row r="92" spans="2:13" s="1" customFormat="1" ht="29" x14ac:dyDescent="0.35">
      <c r="B92" s="8" t="s">
        <v>155</v>
      </c>
      <c r="C92" s="9" t="s">
        <v>166</v>
      </c>
      <c r="D92" s="9" t="s">
        <v>167</v>
      </c>
      <c r="E92" s="10" t="s">
        <v>623</v>
      </c>
      <c r="F92" s="11" t="s">
        <v>292</v>
      </c>
      <c r="G92" s="11" t="s">
        <v>301</v>
      </c>
      <c r="H92" s="10" t="s">
        <v>626</v>
      </c>
      <c r="I92" s="11" t="s">
        <v>301</v>
      </c>
      <c r="J92" s="10" t="s">
        <v>584</v>
      </c>
      <c r="K92" s="10" t="s">
        <v>466</v>
      </c>
      <c r="L92" s="11" t="s">
        <v>627</v>
      </c>
      <c r="M92" s="10" t="s">
        <v>472</v>
      </c>
    </row>
    <row r="93" spans="2:13" s="1" customFormat="1" ht="29" x14ac:dyDescent="0.35">
      <c r="B93" s="8" t="s">
        <v>155</v>
      </c>
      <c r="C93" s="9" t="s">
        <v>166</v>
      </c>
      <c r="D93" s="9" t="s">
        <v>168</v>
      </c>
      <c r="E93" s="10" t="s">
        <v>623</v>
      </c>
      <c r="F93" s="11" t="s">
        <v>292</v>
      </c>
      <c r="G93" s="11" t="s">
        <v>301</v>
      </c>
      <c r="H93" s="10" t="s">
        <v>626</v>
      </c>
      <c r="I93" s="11" t="s">
        <v>301</v>
      </c>
      <c r="J93" s="10" t="s">
        <v>584</v>
      </c>
      <c r="K93" s="10" t="s">
        <v>466</v>
      </c>
      <c r="L93" s="11" t="s">
        <v>629</v>
      </c>
      <c r="M93" s="10" t="s">
        <v>472</v>
      </c>
    </row>
    <row r="94" spans="2:13" s="1" customFormat="1" x14ac:dyDescent="0.35">
      <c r="B94" s="8" t="s">
        <v>155</v>
      </c>
      <c r="C94" s="9" t="s">
        <v>124</v>
      </c>
      <c r="D94" s="9" t="s">
        <v>169</v>
      </c>
      <c r="E94" s="10" t="s">
        <v>623</v>
      </c>
      <c r="F94" s="10" t="s">
        <v>462</v>
      </c>
      <c r="G94" s="11" t="s">
        <v>301</v>
      </c>
      <c r="H94" s="10" t="s">
        <v>462</v>
      </c>
      <c r="I94" s="11" t="s">
        <v>301</v>
      </c>
      <c r="J94" s="10" t="s">
        <v>576</v>
      </c>
      <c r="K94" s="10" t="s">
        <v>521</v>
      </c>
      <c r="L94" s="11" t="s">
        <v>301</v>
      </c>
      <c r="M94" s="10" t="s">
        <v>522</v>
      </c>
    </row>
    <row r="95" spans="2:13" s="1" customFormat="1" x14ac:dyDescent="0.35">
      <c r="B95" s="8" t="s">
        <v>155</v>
      </c>
      <c r="C95" s="9" t="s">
        <v>124</v>
      </c>
      <c r="D95" s="9" t="s">
        <v>170</v>
      </c>
      <c r="E95" s="10" t="s">
        <v>623</v>
      </c>
      <c r="F95" s="10" t="s">
        <v>462</v>
      </c>
      <c r="G95" s="11" t="s">
        <v>301</v>
      </c>
      <c r="H95" s="10" t="s">
        <v>462</v>
      </c>
      <c r="I95" s="11" t="s">
        <v>301</v>
      </c>
      <c r="J95" s="10" t="s">
        <v>578</v>
      </c>
      <c r="K95" s="10" t="s">
        <v>521</v>
      </c>
      <c r="L95" s="11" t="s">
        <v>301</v>
      </c>
      <c r="M95" s="10" t="s">
        <v>522</v>
      </c>
    </row>
    <row r="96" spans="2:13" s="1" customFormat="1" x14ac:dyDescent="0.35">
      <c r="B96" s="8" t="s">
        <v>155</v>
      </c>
      <c r="C96" s="9" t="s">
        <v>124</v>
      </c>
      <c r="D96" s="9" t="s">
        <v>171</v>
      </c>
      <c r="E96" s="10" t="s">
        <v>623</v>
      </c>
      <c r="F96" s="10" t="s">
        <v>462</v>
      </c>
      <c r="G96" s="11" t="s">
        <v>301</v>
      </c>
      <c r="H96" s="10" t="s">
        <v>462</v>
      </c>
      <c r="I96" s="11" t="s">
        <v>301</v>
      </c>
      <c r="J96" s="10" t="s">
        <v>624</v>
      </c>
      <c r="K96" s="10" t="s">
        <v>521</v>
      </c>
      <c r="L96" s="11" t="s">
        <v>301</v>
      </c>
      <c r="M96" s="10" t="s">
        <v>522</v>
      </c>
    </row>
    <row r="97" spans="2:13" s="1" customFormat="1" ht="29" x14ac:dyDescent="0.35">
      <c r="B97" s="8" t="s">
        <v>155</v>
      </c>
      <c r="C97" s="9" t="s">
        <v>172</v>
      </c>
      <c r="D97" s="9" t="s">
        <v>173</v>
      </c>
      <c r="E97" s="10" t="s">
        <v>623</v>
      </c>
      <c r="F97" s="10" t="s">
        <v>476</v>
      </c>
      <c r="G97" s="11" t="s">
        <v>301</v>
      </c>
      <c r="H97" s="10" t="s">
        <v>476</v>
      </c>
      <c r="I97" s="11" t="s">
        <v>301</v>
      </c>
      <c r="J97" s="10" t="s">
        <v>584</v>
      </c>
      <c r="K97" s="10" t="s">
        <v>466</v>
      </c>
      <c r="L97" s="11" t="s">
        <v>301</v>
      </c>
      <c r="M97" s="10" t="s">
        <v>472</v>
      </c>
    </row>
    <row r="98" spans="2:13" s="1" customFormat="1" x14ac:dyDescent="0.35">
      <c r="B98" s="8" t="s">
        <v>155</v>
      </c>
      <c r="C98" s="9" t="s">
        <v>174</v>
      </c>
      <c r="D98" s="9" t="s">
        <v>175</v>
      </c>
      <c r="E98" s="10" t="s">
        <v>623</v>
      </c>
      <c r="F98" s="10" t="s">
        <v>527</v>
      </c>
      <c r="G98" s="11" t="s">
        <v>301</v>
      </c>
      <c r="H98" s="10" t="s">
        <v>527</v>
      </c>
      <c r="I98" s="11" t="s">
        <v>301</v>
      </c>
      <c r="J98" s="10" t="s">
        <v>624</v>
      </c>
      <c r="K98" s="10" t="s">
        <v>521</v>
      </c>
      <c r="L98" s="11" t="s">
        <v>301</v>
      </c>
      <c r="M98" s="10" t="s">
        <v>522</v>
      </c>
    </row>
    <row r="99" spans="2:13" s="1" customFormat="1" x14ac:dyDescent="0.35">
      <c r="B99" s="8" t="s">
        <v>155</v>
      </c>
      <c r="C99" s="9" t="s">
        <v>176</v>
      </c>
      <c r="D99" s="9" t="s">
        <v>177</v>
      </c>
      <c r="E99" s="10" t="s">
        <v>623</v>
      </c>
      <c r="F99" s="10" t="s">
        <v>569</v>
      </c>
      <c r="G99" s="11" t="s">
        <v>301</v>
      </c>
      <c r="H99" s="10" t="s">
        <v>569</v>
      </c>
      <c r="I99" s="11" t="s">
        <v>301</v>
      </c>
      <c r="J99" s="10" t="s">
        <v>584</v>
      </c>
      <c r="K99" s="10" t="s">
        <v>466</v>
      </c>
      <c r="L99" s="11" t="s">
        <v>301</v>
      </c>
      <c r="M99" s="11" t="s">
        <v>292</v>
      </c>
    </row>
    <row r="100" spans="2:13" s="1" customFormat="1" ht="29" x14ac:dyDescent="0.35">
      <c r="B100" s="8" t="s">
        <v>155</v>
      </c>
      <c r="C100" s="9" t="s">
        <v>178</v>
      </c>
      <c r="D100" s="9" t="s">
        <v>179</v>
      </c>
      <c r="E100" s="10" t="s">
        <v>623</v>
      </c>
      <c r="F100" s="10" t="s">
        <v>476</v>
      </c>
      <c r="G100" s="11" t="s">
        <v>301</v>
      </c>
      <c r="H100" s="10" t="s">
        <v>476</v>
      </c>
      <c r="I100" s="11" t="s">
        <v>301</v>
      </c>
      <c r="J100" s="10" t="s">
        <v>584</v>
      </c>
      <c r="K100" s="10" t="s">
        <v>466</v>
      </c>
      <c r="L100" s="11" t="s">
        <v>301</v>
      </c>
      <c r="M100" s="10" t="s">
        <v>468</v>
      </c>
    </row>
    <row r="101" spans="2:13" s="1" customFormat="1" ht="29" x14ac:dyDescent="0.35">
      <c r="B101" s="8" t="s">
        <v>155</v>
      </c>
      <c r="C101" s="9" t="s">
        <v>180</v>
      </c>
      <c r="D101" s="9" t="s">
        <v>181</v>
      </c>
      <c r="E101" s="10" t="s">
        <v>623</v>
      </c>
      <c r="F101" s="10" t="s">
        <v>482</v>
      </c>
      <c r="G101" s="11" t="s">
        <v>301</v>
      </c>
      <c r="H101" s="10" t="s">
        <v>482</v>
      </c>
      <c r="I101" s="11" t="s">
        <v>301</v>
      </c>
      <c r="J101" s="10" t="s">
        <v>584</v>
      </c>
      <c r="K101" s="10" t="s">
        <v>466</v>
      </c>
      <c r="L101" s="11" t="s">
        <v>301</v>
      </c>
      <c r="M101" s="10" t="s">
        <v>472</v>
      </c>
    </row>
    <row r="102" spans="2:13" s="1" customFormat="1" ht="29.5" thickBot="1" x14ac:dyDescent="0.4">
      <c r="B102" s="12" t="s">
        <v>155</v>
      </c>
      <c r="C102" s="13" t="s">
        <v>128</v>
      </c>
      <c r="D102" s="13" t="s">
        <v>182</v>
      </c>
      <c r="E102" s="14" t="s">
        <v>623</v>
      </c>
      <c r="F102" s="14" t="s">
        <v>625</v>
      </c>
      <c r="G102" s="15" t="s">
        <v>301</v>
      </c>
      <c r="H102" s="14" t="s">
        <v>625</v>
      </c>
      <c r="I102" s="15" t="s">
        <v>301</v>
      </c>
      <c r="J102" s="14" t="s">
        <v>584</v>
      </c>
      <c r="K102" s="14" t="s">
        <v>466</v>
      </c>
      <c r="L102" s="15" t="s">
        <v>301</v>
      </c>
      <c r="M102" s="14" t="s">
        <v>468</v>
      </c>
    </row>
    <row r="103" spans="2:13" s="1" customFormat="1" ht="29.5" hidden="1" thickTop="1" x14ac:dyDescent="0.35">
      <c r="B103" s="20" t="s">
        <v>183</v>
      </c>
      <c r="C103" s="21" t="s">
        <v>184</v>
      </c>
      <c r="D103" s="21" t="s">
        <v>185</v>
      </c>
      <c r="E103" s="22" t="s">
        <v>641</v>
      </c>
      <c r="F103" s="22" t="s">
        <v>462</v>
      </c>
      <c r="G103" s="22" t="s">
        <v>639</v>
      </c>
      <c r="H103" s="22" t="s">
        <v>462</v>
      </c>
      <c r="I103" s="22" t="s">
        <v>639</v>
      </c>
      <c r="J103" s="22" t="s">
        <v>640</v>
      </c>
      <c r="K103" s="22" t="s">
        <v>466</v>
      </c>
      <c r="L103" s="23" t="s">
        <v>301</v>
      </c>
      <c r="M103" s="22" t="s">
        <v>468</v>
      </c>
    </row>
    <row r="104" spans="2:13" s="1" customFormat="1" ht="29.5" hidden="1" thickTop="1" x14ac:dyDescent="0.35">
      <c r="B104" s="8" t="s">
        <v>183</v>
      </c>
      <c r="C104" s="9" t="s">
        <v>186</v>
      </c>
      <c r="D104" s="9" t="s">
        <v>187</v>
      </c>
      <c r="E104" s="10" t="s">
        <v>641</v>
      </c>
      <c r="F104" s="10" t="s">
        <v>462</v>
      </c>
      <c r="G104" s="10" t="s">
        <v>995</v>
      </c>
      <c r="H104" s="10" t="s">
        <v>462</v>
      </c>
      <c r="I104" s="10" t="s">
        <v>642</v>
      </c>
      <c r="J104" s="10" t="s">
        <v>640</v>
      </c>
      <c r="K104" s="10" t="s">
        <v>466</v>
      </c>
      <c r="L104" s="11" t="s">
        <v>301</v>
      </c>
      <c r="M104" s="10" t="s">
        <v>468</v>
      </c>
    </row>
    <row r="105" spans="2:13" s="1" customFormat="1" ht="15" hidden="1" thickTop="1" x14ac:dyDescent="0.35">
      <c r="B105" s="8" t="s">
        <v>183</v>
      </c>
      <c r="C105" s="9" t="s">
        <v>188</v>
      </c>
      <c r="D105" s="9" t="s">
        <v>189</v>
      </c>
      <c r="E105" s="10" t="s">
        <v>641</v>
      </c>
      <c r="F105" s="10" t="s">
        <v>462</v>
      </c>
      <c r="G105" s="11" t="s">
        <v>301</v>
      </c>
      <c r="H105" s="10" t="s">
        <v>462</v>
      </c>
      <c r="I105" s="11" t="s">
        <v>301</v>
      </c>
      <c r="J105" s="10" t="s">
        <v>640</v>
      </c>
      <c r="K105" s="10" t="s">
        <v>466</v>
      </c>
      <c r="L105" s="10" t="s">
        <v>613</v>
      </c>
      <c r="M105" s="10" t="s">
        <v>472</v>
      </c>
    </row>
    <row r="106" spans="2:13" s="1" customFormat="1" ht="29.5" hidden="1" thickTop="1" x14ac:dyDescent="0.35">
      <c r="B106" s="8" t="s">
        <v>183</v>
      </c>
      <c r="C106" s="9" t="s">
        <v>190</v>
      </c>
      <c r="D106" s="9" t="s">
        <v>191</v>
      </c>
      <c r="E106" s="10" t="s">
        <v>641</v>
      </c>
      <c r="F106" s="10" t="s">
        <v>643</v>
      </c>
      <c r="G106" s="11" t="s">
        <v>301</v>
      </c>
      <c r="H106" s="10" t="s">
        <v>643</v>
      </c>
      <c r="I106" s="11" t="s">
        <v>301</v>
      </c>
      <c r="J106" s="10" t="s">
        <v>640</v>
      </c>
      <c r="K106" s="10" t="s">
        <v>466</v>
      </c>
      <c r="L106" s="11" t="s">
        <v>301</v>
      </c>
      <c r="M106" s="11" t="s">
        <v>292</v>
      </c>
    </row>
    <row r="107" spans="2:13" s="1" customFormat="1" ht="30" hidden="1" thickTop="1" thickBot="1" x14ac:dyDescent="0.4">
      <c r="B107" s="12" t="s">
        <v>183</v>
      </c>
      <c r="C107" s="13" t="s">
        <v>159</v>
      </c>
      <c r="D107" s="13" t="s">
        <v>1030</v>
      </c>
      <c r="E107" s="14" t="s">
        <v>646</v>
      </c>
      <c r="F107" s="14" t="s">
        <v>635</v>
      </c>
      <c r="G107" s="14" t="s">
        <v>994</v>
      </c>
      <c r="H107" s="14" t="s">
        <v>635</v>
      </c>
      <c r="I107" s="14" t="s">
        <v>636</v>
      </c>
      <c r="J107" s="14" t="s">
        <v>584</v>
      </c>
      <c r="K107" s="14" t="s">
        <v>466</v>
      </c>
      <c r="L107" s="15" t="s">
        <v>301</v>
      </c>
      <c r="M107" s="14" t="s">
        <v>472</v>
      </c>
    </row>
    <row r="108" spans="2:13" s="1" customFormat="1" ht="30" hidden="1" thickTop="1" thickBot="1" x14ac:dyDescent="0.4">
      <c r="B108" s="16" t="s">
        <v>192</v>
      </c>
      <c r="C108" s="17" t="s">
        <v>190</v>
      </c>
      <c r="D108" s="17" t="s">
        <v>193</v>
      </c>
      <c r="E108" s="18" t="s">
        <v>648</v>
      </c>
      <c r="F108" s="19" t="s">
        <v>292</v>
      </c>
      <c r="G108" s="19" t="s">
        <v>301</v>
      </c>
      <c r="H108" s="18" t="s">
        <v>643</v>
      </c>
      <c r="I108" s="19" t="s">
        <v>301</v>
      </c>
      <c r="J108" s="18" t="s">
        <v>640</v>
      </c>
      <c r="K108" s="18" t="s">
        <v>466</v>
      </c>
      <c r="L108" s="19" t="s">
        <v>301</v>
      </c>
      <c r="M108" s="18" t="s">
        <v>472</v>
      </c>
    </row>
    <row r="109" spans="2:13" s="1" customFormat="1" ht="15.5" hidden="1" thickTop="1" thickBot="1" x14ac:dyDescent="0.4">
      <c r="B109" s="16" t="s">
        <v>194</v>
      </c>
      <c r="C109" s="17" t="s">
        <v>30</v>
      </c>
      <c r="D109" s="17" t="s">
        <v>195</v>
      </c>
      <c r="E109" s="18" t="s">
        <v>649</v>
      </c>
      <c r="F109" s="19" t="s">
        <v>292</v>
      </c>
      <c r="G109" s="19" t="s">
        <v>301</v>
      </c>
      <c r="H109" s="18" t="s">
        <v>501</v>
      </c>
      <c r="I109" s="19" t="s">
        <v>301</v>
      </c>
      <c r="J109" s="18" t="s">
        <v>584</v>
      </c>
      <c r="K109" s="18" t="s">
        <v>466</v>
      </c>
      <c r="L109" s="19" t="s">
        <v>301</v>
      </c>
      <c r="M109" s="18" t="s">
        <v>472</v>
      </c>
    </row>
    <row r="110" spans="2:13" s="1" customFormat="1" ht="29.5" hidden="1" thickTop="1" x14ac:dyDescent="0.35">
      <c r="B110" s="20" t="s">
        <v>196</v>
      </c>
      <c r="C110" s="21" t="s">
        <v>197</v>
      </c>
      <c r="D110" s="21" t="s">
        <v>198</v>
      </c>
      <c r="E110" s="22" t="s">
        <v>651</v>
      </c>
      <c r="F110" s="23" t="s">
        <v>292</v>
      </c>
      <c r="G110" s="23" t="s">
        <v>301</v>
      </c>
      <c r="H110" s="22" t="s">
        <v>482</v>
      </c>
      <c r="I110" s="23" t="s">
        <v>301</v>
      </c>
      <c r="J110" s="22" t="s">
        <v>584</v>
      </c>
      <c r="K110" s="22" t="s">
        <v>466</v>
      </c>
      <c r="L110" s="23" t="s">
        <v>301</v>
      </c>
      <c r="M110" s="22" t="s">
        <v>472</v>
      </c>
    </row>
    <row r="111" spans="2:13" s="1" customFormat="1" ht="15" hidden="1" thickTop="1" x14ac:dyDescent="0.35">
      <c r="B111" s="8" t="s">
        <v>196</v>
      </c>
      <c r="C111" s="9" t="s">
        <v>199</v>
      </c>
      <c r="D111" s="9" t="s">
        <v>200</v>
      </c>
      <c r="E111" s="10" t="s">
        <v>651</v>
      </c>
      <c r="F111" s="11" t="s">
        <v>292</v>
      </c>
      <c r="G111" s="11" t="s">
        <v>301</v>
      </c>
      <c r="H111" s="10" t="s">
        <v>462</v>
      </c>
      <c r="I111" s="11" t="s">
        <v>301</v>
      </c>
      <c r="J111" s="10" t="s">
        <v>584</v>
      </c>
      <c r="K111" s="10" t="s">
        <v>466</v>
      </c>
      <c r="L111" s="11" t="s">
        <v>301</v>
      </c>
      <c r="M111" s="10" t="s">
        <v>472</v>
      </c>
    </row>
    <row r="112" spans="2:13" s="1" customFormat="1" ht="15.5" hidden="1" thickTop="1" thickBot="1" x14ac:dyDescent="0.4">
      <c r="B112" s="12" t="s">
        <v>196</v>
      </c>
      <c r="C112" s="13" t="s">
        <v>159</v>
      </c>
      <c r="D112" s="13" t="s">
        <v>201</v>
      </c>
      <c r="E112" s="14" t="s">
        <v>651</v>
      </c>
      <c r="F112" s="15" t="s">
        <v>292</v>
      </c>
      <c r="G112" s="15" t="s">
        <v>301</v>
      </c>
      <c r="H112" s="14" t="s">
        <v>635</v>
      </c>
      <c r="I112" s="14" t="s">
        <v>636</v>
      </c>
      <c r="J112" s="14" t="s">
        <v>584</v>
      </c>
      <c r="K112" s="14" t="s">
        <v>466</v>
      </c>
      <c r="L112" s="15" t="s">
        <v>301</v>
      </c>
      <c r="M112" s="14" t="s">
        <v>472</v>
      </c>
    </row>
    <row r="113" spans="2:13" s="1" customFormat="1" ht="15.5" hidden="1" thickTop="1" thickBot="1" x14ac:dyDescent="0.4">
      <c r="B113" s="16" t="s">
        <v>202</v>
      </c>
      <c r="C113" s="17" t="s">
        <v>30</v>
      </c>
      <c r="D113" s="17" t="s">
        <v>203</v>
      </c>
      <c r="E113" s="18" t="s">
        <v>653</v>
      </c>
      <c r="F113" s="18" t="s">
        <v>501</v>
      </c>
      <c r="G113" s="19" t="s">
        <v>301</v>
      </c>
      <c r="H113" s="18" t="s">
        <v>501</v>
      </c>
      <c r="I113" s="19" t="s">
        <v>301</v>
      </c>
      <c r="J113" s="18" t="s">
        <v>652</v>
      </c>
      <c r="K113" s="18" t="s">
        <v>466</v>
      </c>
      <c r="L113" s="19" t="s">
        <v>301</v>
      </c>
      <c r="M113" s="19" t="s">
        <v>292</v>
      </c>
    </row>
    <row r="114" spans="2:13" s="1" customFormat="1" ht="30" hidden="1" thickTop="1" thickBot="1" x14ac:dyDescent="0.4">
      <c r="B114" s="16" t="s">
        <v>204</v>
      </c>
      <c r="C114" s="17" t="s">
        <v>84</v>
      </c>
      <c r="D114" s="17" t="s">
        <v>205</v>
      </c>
      <c r="E114" s="18" t="s">
        <v>657</v>
      </c>
      <c r="F114" s="18" t="s">
        <v>655</v>
      </c>
      <c r="G114" s="19" t="s">
        <v>301</v>
      </c>
      <c r="H114" s="18" t="s">
        <v>655</v>
      </c>
      <c r="I114" s="19" t="s">
        <v>301</v>
      </c>
      <c r="J114" s="18" t="s">
        <v>656</v>
      </c>
      <c r="K114" s="18" t="s">
        <v>466</v>
      </c>
      <c r="L114" s="19" t="s">
        <v>301</v>
      </c>
      <c r="M114" s="19" t="s">
        <v>292</v>
      </c>
    </row>
    <row r="115" spans="2:13" s="1" customFormat="1" ht="15" hidden="1" thickTop="1" x14ac:dyDescent="0.35">
      <c r="B115" s="20" t="s">
        <v>206</v>
      </c>
      <c r="C115" s="21" t="s">
        <v>207</v>
      </c>
      <c r="D115" s="21" t="s">
        <v>208</v>
      </c>
      <c r="E115" s="22" t="s">
        <v>660</v>
      </c>
      <c r="F115" s="22" t="s">
        <v>514</v>
      </c>
      <c r="G115" s="22" t="s">
        <v>658</v>
      </c>
      <c r="H115" s="22" t="s">
        <v>514</v>
      </c>
      <c r="I115" s="22" t="s">
        <v>658</v>
      </c>
      <c r="J115" s="22" t="s">
        <v>659</v>
      </c>
      <c r="K115" s="22" t="s">
        <v>466</v>
      </c>
      <c r="L115" s="23" t="s">
        <v>301</v>
      </c>
      <c r="M115" s="22" t="s">
        <v>472</v>
      </c>
    </row>
    <row r="116" spans="2:13" s="1" customFormat="1" ht="15.5" hidden="1" thickTop="1" thickBot="1" x14ac:dyDescent="0.4">
      <c r="B116" s="12" t="s">
        <v>206</v>
      </c>
      <c r="C116" s="13" t="s">
        <v>207</v>
      </c>
      <c r="D116" s="13" t="s">
        <v>209</v>
      </c>
      <c r="E116" s="14" t="s">
        <v>661</v>
      </c>
      <c r="F116" s="14" t="s">
        <v>514</v>
      </c>
      <c r="G116" s="14" t="s">
        <v>658</v>
      </c>
      <c r="H116" s="14" t="s">
        <v>514</v>
      </c>
      <c r="I116" s="14" t="s">
        <v>658</v>
      </c>
      <c r="J116" s="14" t="s">
        <v>659</v>
      </c>
      <c r="K116" s="14" t="s">
        <v>466</v>
      </c>
      <c r="L116" s="15" t="s">
        <v>301</v>
      </c>
      <c r="M116" s="14" t="s">
        <v>472</v>
      </c>
    </row>
    <row r="117" spans="2:13" s="1" customFormat="1" ht="29.5" hidden="1" thickTop="1" x14ac:dyDescent="0.35">
      <c r="B117" s="20" t="s">
        <v>210</v>
      </c>
      <c r="C117" s="21" t="s">
        <v>136</v>
      </c>
      <c r="D117" s="21" t="s">
        <v>211</v>
      </c>
      <c r="E117" s="22" t="s">
        <v>663</v>
      </c>
      <c r="F117" s="22" t="s">
        <v>482</v>
      </c>
      <c r="G117" s="23" t="s">
        <v>301</v>
      </c>
      <c r="H117" s="22" t="s">
        <v>482</v>
      </c>
      <c r="I117" s="23" t="s">
        <v>301</v>
      </c>
      <c r="J117" s="22" t="s">
        <v>662</v>
      </c>
      <c r="K117" s="22" t="s">
        <v>466</v>
      </c>
      <c r="L117" s="23" t="s">
        <v>301</v>
      </c>
      <c r="M117" s="22" t="s">
        <v>472</v>
      </c>
    </row>
    <row r="118" spans="2:13" s="1" customFormat="1" ht="29.5" hidden="1" thickTop="1" x14ac:dyDescent="0.35">
      <c r="B118" s="8" t="s">
        <v>210</v>
      </c>
      <c r="C118" s="9" t="s">
        <v>136</v>
      </c>
      <c r="D118" s="9" t="s">
        <v>212</v>
      </c>
      <c r="E118" s="10" t="s">
        <v>663</v>
      </c>
      <c r="F118" s="10" t="s">
        <v>462</v>
      </c>
      <c r="G118" s="11" t="s">
        <v>301</v>
      </c>
      <c r="H118" s="10" t="s">
        <v>462</v>
      </c>
      <c r="I118" s="11" t="s">
        <v>301</v>
      </c>
      <c r="J118" s="10" t="s">
        <v>662</v>
      </c>
      <c r="K118" s="10" t="s">
        <v>466</v>
      </c>
      <c r="L118" s="11" t="s">
        <v>301</v>
      </c>
      <c r="M118" s="10" t="s">
        <v>472</v>
      </c>
    </row>
    <row r="119" spans="2:13" s="1" customFormat="1" ht="30" hidden="1" thickTop="1" thickBot="1" x14ac:dyDescent="0.4">
      <c r="B119" s="12" t="s">
        <v>210</v>
      </c>
      <c r="C119" s="13" t="s">
        <v>136</v>
      </c>
      <c r="D119" s="13" t="s">
        <v>213</v>
      </c>
      <c r="E119" s="14" t="s">
        <v>663</v>
      </c>
      <c r="F119" s="14" t="s">
        <v>482</v>
      </c>
      <c r="G119" s="15" t="s">
        <v>301</v>
      </c>
      <c r="H119" s="14" t="s">
        <v>482</v>
      </c>
      <c r="I119" s="15" t="s">
        <v>301</v>
      </c>
      <c r="J119" s="14" t="s">
        <v>584</v>
      </c>
      <c r="K119" s="14" t="s">
        <v>466</v>
      </c>
      <c r="L119" s="15" t="s">
        <v>301</v>
      </c>
      <c r="M119" s="14" t="s">
        <v>472</v>
      </c>
    </row>
    <row r="120" spans="2:13" s="1" customFormat="1" ht="29.5" hidden="1" thickTop="1" x14ac:dyDescent="0.35">
      <c r="B120" s="20" t="s">
        <v>214</v>
      </c>
      <c r="C120" s="21" t="s">
        <v>190</v>
      </c>
      <c r="D120" s="21" t="s">
        <v>215</v>
      </c>
      <c r="E120" s="22" t="s">
        <v>665</v>
      </c>
      <c r="F120" s="23" t="s">
        <v>292</v>
      </c>
      <c r="G120" s="23" t="s">
        <v>301</v>
      </c>
      <c r="H120" s="22" t="s">
        <v>643</v>
      </c>
      <c r="I120" s="23" t="s">
        <v>301</v>
      </c>
      <c r="J120" s="22" t="s">
        <v>640</v>
      </c>
      <c r="K120" s="22" t="s">
        <v>466</v>
      </c>
      <c r="L120" s="23" t="s">
        <v>301</v>
      </c>
      <c r="M120" s="22" t="s">
        <v>472</v>
      </c>
    </row>
    <row r="121" spans="2:13" s="1" customFormat="1" ht="15" hidden="1" thickTop="1" x14ac:dyDescent="0.35">
      <c r="B121" s="8" t="s">
        <v>214</v>
      </c>
      <c r="C121" s="9" t="s">
        <v>190</v>
      </c>
      <c r="D121" s="9" t="s">
        <v>216</v>
      </c>
      <c r="E121" s="10" t="s">
        <v>665</v>
      </c>
      <c r="F121" s="11" t="s">
        <v>292</v>
      </c>
      <c r="G121" s="11" t="s">
        <v>301</v>
      </c>
      <c r="H121" s="10" t="s">
        <v>569</v>
      </c>
      <c r="I121" s="11" t="s">
        <v>301</v>
      </c>
      <c r="J121" s="10" t="s">
        <v>666</v>
      </c>
      <c r="K121" s="10" t="s">
        <v>466</v>
      </c>
      <c r="L121" s="11" t="s">
        <v>301</v>
      </c>
      <c r="M121" s="10" t="s">
        <v>472</v>
      </c>
    </row>
    <row r="122" spans="2:13" s="1" customFormat="1" ht="15" hidden="1" thickTop="1" x14ac:dyDescent="0.35">
      <c r="B122" s="8" t="s">
        <v>214</v>
      </c>
      <c r="C122" s="9" t="s">
        <v>199</v>
      </c>
      <c r="D122" s="9" t="s">
        <v>217</v>
      </c>
      <c r="E122" s="10" t="s">
        <v>665</v>
      </c>
      <c r="F122" s="11" t="s">
        <v>292</v>
      </c>
      <c r="G122" s="11" t="s">
        <v>301</v>
      </c>
      <c r="H122" s="10" t="s">
        <v>462</v>
      </c>
      <c r="I122" s="11" t="s">
        <v>301</v>
      </c>
      <c r="J122" s="10" t="s">
        <v>584</v>
      </c>
      <c r="K122" s="10" t="s">
        <v>466</v>
      </c>
      <c r="L122" s="11" t="s">
        <v>301</v>
      </c>
      <c r="M122" s="10" t="s">
        <v>472</v>
      </c>
    </row>
    <row r="123" spans="2:13" s="1" customFormat="1" ht="15.5" hidden="1" thickTop="1" thickBot="1" x14ac:dyDescent="0.4">
      <c r="B123" s="12" t="s">
        <v>214</v>
      </c>
      <c r="C123" s="13" t="s">
        <v>159</v>
      </c>
      <c r="D123" s="13" t="s">
        <v>218</v>
      </c>
      <c r="E123" s="14" t="s">
        <v>665</v>
      </c>
      <c r="F123" s="15" t="s">
        <v>292</v>
      </c>
      <c r="G123" s="15" t="s">
        <v>301</v>
      </c>
      <c r="H123" s="14" t="s">
        <v>635</v>
      </c>
      <c r="I123" s="14" t="s">
        <v>636</v>
      </c>
      <c r="J123" s="14" t="s">
        <v>584</v>
      </c>
      <c r="K123" s="14" t="s">
        <v>466</v>
      </c>
      <c r="L123" s="15" t="s">
        <v>301</v>
      </c>
      <c r="M123" s="14" t="s">
        <v>472</v>
      </c>
    </row>
    <row r="124" spans="2:13" s="1" customFormat="1" ht="15" hidden="1" thickTop="1" x14ac:dyDescent="0.35">
      <c r="B124" s="20" t="s">
        <v>219</v>
      </c>
      <c r="C124" s="21" t="s">
        <v>197</v>
      </c>
      <c r="D124" s="21" t="s">
        <v>220</v>
      </c>
      <c r="E124" s="22" t="s">
        <v>667</v>
      </c>
      <c r="F124" s="23" t="s">
        <v>292</v>
      </c>
      <c r="G124" s="23" t="s">
        <v>301</v>
      </c>
      <c r="H124" s="22" t="s">
        <v>668</v>
      </c>
      <c r="I124" s="22" t="s">
        <v>669</v>
      </c>
      <c r="J124" s="22" t="s">
        <v>640</v>
      </c>
      <c r="K124" s="22" t="s">
        <v>466</v>
      </c>
      <c r="L124" s="23" t="s">
        <v>301</v>
      </c>
      <c r="M124" s="22" t="s">
        <v>472</v>
      </c>
    </row>
    <row r="125" spans="2:13" s="1" customFormat="1" ht="30" hidden="1" thickTop="1" thickBot="1" x14ac:dyDescent="0.4">
      <c r="B125" s="12" t="s">
        <v>219</v>
      </c>
      <c r="C125" s="13" t="s">
        <v>221</v>
      </c>
      <c r="D125" s="13" t="s">
        <v>222</v>
      </c>
      <c r="E125" s="14" t="s">
        <v>667</v>
      </c>
      <c r="F125" s="15" t="s">
        <v>292</v>
      </c>
      <c r="G125" s="15" t="s">
        <v>301</v>
      </c>
      <c r="H125" s="14" t="s">
        <v>462</v>
      </c>
      <c r="I125" s="14" t="s">
        <v>642</v>
      </c>
      <c r="J125" s="14" t="s">
        <v>640</v>
      </c>
      <c r="K125" s="14" t="s">
        <v>466</v>
      </c>
      <c r="L125" s="15" t="s">
        <v>301</v>
      </c>
      <c r="M125" s="14" t="s">
        <v>468</v>
      </c>
    </row>
    <row r="126" spans="2:13" s="1" customFormat="1" ht="15" hidden="1" thickTop="1" x14ac:dyDescent="0.35">
      <c r="B126" s="20" t="s">
        <v>223</v>
      </c>
      <c r="C126" s="21" t="s">
        <v>197</v>
      </c>
      <c r="D126" s="21" t="s">
        <v>224</v>
      </c>
      <c r="E126" s="22" t="s">
        <v>670</v>
      </c>
      <c r="F126" s="23" t="s">
        <v>292</v>
      </c>
      <c r="G126" s="23" t="s">
        <v>301</v>
      </c>
      <c r="H126" s="22" t="s">
        <v>668</v>
      </c>
      <c r="I126" s="22" t="s">
        <v>669</v>
      </c>
      <c r="J126" s="22" t="s">
        <v>640</v>
      </c>
      <c r="K126" s="22" t="s">
        <v>466</v>
      </c>
      <c r="L126" s="23" t="s">
        <v>301</v>
      </c>
      <c r="M126" s="22" t="s">
        <v>472</v>
      </c>
    </row>
    <row r="127" spans="2:13" s="1" customFormat="1" ht="29.5" hidden="1" thickTop="1" x14ac:dyDescent="0.35">
      <c r="B127" s="8" t="s">
        <v>223</v>
      </c>
      <c r="C127" s="9" t="s">
        <v>221</v>
      </c>
      <c r="D127" s="9" t="s">
        <v>225</v>
      </c>
      <c r="E127" s="10" t="s">
        <v>670</v>
      </c>
      <c r="F127" s="11" t="s">
        <v>292</v>
      </c>
      <c r="G127" s="11" t="s">
        <v>301</v>
      </c>
      <c r="H127" s="10" t="s">
        <v>462</v>
      </c>
      <c r="I127" s="10" t="s">
        <v>642</v>
      </c>
      <c r="J127" s="10" t="s">
        <v>640</v>
      </c>
      <c r="K127" s="10" t="s">
        <v>466</v>
      </c>
      <c r="L127" s="11" t="s">
        <v>301</v>
      </c>
      <c r="M127" s="10" t="s">
        <v>468</v>
      </c>
    </row>
    <row r="128" spans="2:13" s="1" customFormat="1" ht="30" hidden="1" thickTop="1" thickBot="1" x14ac:dyDescent="0.4">
      <c r="B128" s="12" t="s">
        <v>223</v>
      </c>
      <c r="C128" s="13" t="s">
        <v>190</v>
      </c>
      <c r="D128" s="13" t="s">
        <v>226</v>
      </c>
      <c r="E128" s="14" t="s">
        <v>670</v>
      </c>
      <c r="F128" s="15" t="s">
        <v>292</v>
      </c>
      <c r="G128" s="15" t="s">
        <v>301</v>
      </c>
      <c r="H128" s="14" t="s">
        <v>643</v>
      </c>
      <c r="I128" s="15" t="s">
        <v>301</v>
      </c>
      <c r="J128" s="14" t="s">
        <v>640</v>
      </c>
      <c r="K128" s="14" t="s">
        <v>466</v>
      </c>
      <c r="L128" s="15" t="s">
        <v>301</v>
      </c>
      <c r="M128" s="14" t="s">
        <v>472</v>
      </c>
    </row>
    <row r="129" spans="2:13" s="1" customFormat="1" ht="15.5" hidden="1" thickTop="1" thickBot="1" x14ac:dyDescent="0.4">
      <c r="B129" s="16" t="s">
        <v>227</v>
      </c>
      <c r="C129" s="17" t="s">
        <v>228</v>
      </c>
      <c r="D129" s="17" t="s">
        <v>229</v>
      </c>
      <c r="E129" s="18" t="s">
        <v>673</v>
      </c>
      <c r="F129" s="18" t="s">
        <v>462</v>
      </c>
      <c r="G129" s="19" t="s">
        <v>301</v>
      </c>
      <c r="H129" s="18" t="s">
        <v>462</v>
      </c>
      <c r="I129" s="19" t="s">
        <v>301</v>
      </c>
      <c r="J129" s="18" t="s">
        <v>672</v>
      </c>
      <c r="K129" s="18" t="s">
        <v>466</v>
      </c>
      <c r="L129" s="19" t="s">
        <v>301</v>
      </c>
      <c r="M129" s="18" t="s">
        <v>472</v>
      </c>
    </row>
    <row r="130" spans="2:13" s="1" customFormat="1" ht="15" hidden="1" thickTop="1" x14ac:dyDescent="0.35">
      <c r="B130" s="20" t="s">
        <v>230</v>
      </c>
      <c r="C130" s="21" t="s">
        <v>199</v>
      </c>
      <c r="D130" s="21" t="s">
        <v>231</v>
      </c>
      <c r="E130" s="22" t="s">
        <v>674</v>
      </c>
      <c r="F130" s="23" t="s">
        <v>292</v>
      </c>
      <c r="G130" s="23" t="s">
        <v>301</v>
      </c>
      <c r="H130" s="22" t="s">
        <v>462</v>
      </c>
      <c r="I130" s="23" t="s">
        <v>301</v>
      </c>
      <c r="J130" s="22" t="s">
        <v>584</v>
      </c>
      <c r="K130" s="22" t="s">
        <v>466</v>
      </c>
      <c r="L130" s="23" t="s">
        <v>301</v>
      </c>
      <c r="M130" s="22" t="s">
        <v>472</v>
      </c>
    </row>
    <row r="131" spans="2:13" s="1" customFormat="1" ht="15.5" hidden="1" thickTop="1" thickBot="1" x14ac:dyDescent="0.4">
      <c r="B131" s="12" t="s">
        <v>230</v>
      </c>
      <c r="C131" s="13" t="s">
        <v>159</v>
      </c>
      <c r="D131" s="13" t="s">
        <v>232</v>
      </c>
      <c r="E131" s="14" t="s">
        <v>674</v>
      </c>
      <c r="F131" s="15" t="s">
        <v>292</v>
      </c>
      <c r="G131" s="15" t="s">
        <v>301</v>
      </c>
      <c r="H131" s="14" t="s">
        <v>635</v>
      </c>
      <c r="I131" s="14" t="s">
        <v>636</v>
      </c>
      <c r="J131" s="14" t="s">
        <v>584</v>
      </c>
      <c r="K131" s="14" t="s">
        <v>466</v>
      </c>
      <c r="L131" s="15" t="s">
        <v>301</v>
      </c>
      <c r="M131" s="14" t="s">
        <v>472</v>
      </c>
    </row>
    <row r="132" spans="2:13" s="1" customFormat="1" ht="15" hidden="1" thickTop="1" x14ac:dyDescent="0.35">
      <c r="B132" s="20" t="s">
        <v>233</v>
      </c>
      <c r="C132" s="21" t="s">
        <v>234</v>
      </c>
      <c r="D132" s="21" t="s">
        <v>235</v>
      </c>
      <c r="E132" s="22" t="s">
        <v>677</v>
      </c>
      <c r="F132" s="22" t="s">
        <v>462</v>
      </c>
      <c r="G132" s="23" t="s">
        <v>301</v>
      </c>
      <c r="H132" s="22" t="s">
        <v>462</v>
      </c>
      <c r="I132" s="23" t="s">
        <v>301</v>
      </c>
      <c r="J132" s="22" t="s">
        <v>675</v>
      </c>
      <c r="K132" s="22" t="s">
        <v>466</v>
      </c>
      <c r="L132" s="23" t="s">
        <v>301</v>
      </c>
      <c r="M132" s="23" t="s">
        <v>292</v>
      </c>
    </row>
    <row r="133" spans="2:13" s="1" customFormat="1" ht="15" hidden="1" thickTop="1" x14ac:dyDescent="0.35">
      <c r="B133" s="8" t="s">
        <v>233</v>
      </c>
      <c r="C133" s="9" t="s">
        <v>236</v>
      </c>
      <c r="D133" s="9" t="s">
        <v>237</v>
      </c>
      <c r="E133" s="10" t="s">
        <v>677</v>
      </c>
      <c r="F133" s="10" t="s">
        <v>668</v>
      </c>
      <c r="G133" s="11" t="s">
        <v>301</v>
      </c>
      <c r="H133" s="10" t="s">
        <v>482</v>
      </c>
      <c r="I133" s="11" t="s">
        <v>301</v>
      </c>
      <c r="J133" s="10" t="s">
        <v>675</v>
      </c>
      <c r="K133" s="10" t="s">
        <v>466</v>
      </c>
      <c r="L133" s="11" t="s">
        <v>301</v>
      </c>
      <c r="M133" s="11" t="s">
        <v>292</v>
      </c>
    </row>
    <row r="134" spans="2:13" s="1" customFormat="1" ht="15" hidden="1" thickTop="1" x14ac:dyDescent="0.35">
      <c r="B134" s="8" t="s">
        <v>233</v>
      </c>
      <c r="C134" s="9" t="s">
        <v>238</v>
      </c>
      <c r="D134" s="9" t="s">
        <v>239</v>
      </c>
      <c r="E134" s="10" t="s">
        <v>677</v>
      </c>
      <c r="F134" s="10" t="s">
        <v>527</v>
      </c>
      <c r="G134" s="11" t="s">
        <v>301</v>
      </c>
      <c r="H134" s="10" t="s">
        <v>527</v>
      </c>
      <c r="I134" s="11" t="s">
        <v>301</v>
      </c>
      <c r="J134" s="10" t="s">
        <v>675</v>
      </c>
      <c r="K134" s="10" t="s">
        <v>466</v>
      </c>
      <c r="L134" s="11" t="s">
        <v>301</v>
      </c>
      <c r="M134" s="11" t="s">
        <v>292</v>
      </c>
    </row>
    <row r="135" spans="2:13" s="1" customFormat="1" ht="30" hidden="1" thickTop="1" thickBot="1" x14ac:dyDescent="0.4">
      <c r="B135" s="12" t="s">
        <v>233</v>
      </c>
      <c r="C135" s="13" t="s">
        <v>138</v>
      </c>
      <c r="D135" s="13" t="s">
        <v>240</v>
      </c>
      <c r="E135" s="14" t="s">
        <v>681</v>
      </c>
      <c r="F135" s="15" t="s">
        <v>292</v>
      </c>
      <c r="G135" s="15" t="s">
        <v>301</v>
      </c>
      <c r="H135" s="14" t="s">
        <v>527</v>
      </c>
      <c r="I135" s="15" t="s">
        <v>301</v>
      </c>
      <c r="J135" s="14" t="s">
        <v>679</v>
      </c>
      <c r="K135" s="14" t="s">
        <v>521</v>
      </c>
      <c r="L135" s="15" t="s">
        <v>301</v>
      </c>
      <c r="M135" s="14" t="s">
        <v>522</v>
      </c>
    </row>
    <row r="136" spans="2:13" s="1" customFormat="1" ht="15" hidden="1" thickTop="1" x14ac:dyDescent="0.35">
      <c r="B136" s="20" t="s">
        <v>241</v>
      </c>
      <c r="C136" s="21" t="s">
        <v>242</v>
      </c>
      <c r="D136" s="21" t="s">
        <v>243</v>
      </c>
      <c r="E136" s="22" t="s">
        <v>684</v>
      </c>
      <c r="F136" s="22" t="s">
        <v>462</v>
      </c>
      <c r="G136" s="22" t="s">
        <v>682</v>
      </c>
      <c r="H136" s="22" t="s">
        <v>462</v>
      </c>
      <c r="I136" s="22" t="s">
        <v>682</v>
      </c>
      <c r="J136" s="22" t="s">
        <v>666</v>
      </c>
      <c r="K136" s="22" t="s">
        <v>466</v>
      </c>
      <c r="L136" s="22" t="s">
        <v>683</v>
      </c>
      <c r="M136" s="22" t="s">
        <v>472</v>
      </c>
    </row>
    <row r="137" spans="2:13" s="1" customFormat="1" ht="15" hidden="1" thickTop="1" x14ac:dyDescent="0.35">
      <c r="B137" s="8" t="s">
        <v>241</v>
      </c>
      <c r="C137" s="9" t="s">
        <v>244</v>
      </c>
      <c r="D137" s="9" t="s">
        <v>245</v>
      </c>
      <c r="E137" s="10" t="s">
        <v>684</v>
      </c>
      <c r="F137" s="10" t="s">
        <v>618</v>
      </c>
      <c r="G137" s="10" t="s">
        <v>696</v>
      </c>
      <c r="H137" s="10" t="s">
        <v>618</v>
      </c>
      <c r="I137" s="10" t="s">
        <v>696</v>
      </c>
      <c r="J137" s="10" t="s">
        <v>666</v>
      </c>
      <c r="K137" s="10" t="s">
        <v>466</v>
      </c>
      <c r="L137" s="10" t="s">
        <v>683</v>
      </c>
      <c r="M137" s="10" t="s">
        <v>472</v>
      </c>
    </row>
    <row r="138" spans="2:13" s="1" customFormat="1" ht="15" hidden="1" thickTop="1" x14ac:dyDescent="0.35">
      <c r="B138" s="8" t="s">
        <v>241</v>
      </c>
      <c r="C138" s="9" t="s">
        <v>244</v>
      </c>
      <c r="D138" s="9" t="s">
        <v>246</v>
      </c>
      <c r="E138" s="10" t="s">
        <v>684</v>
      </c>
      <c r="F138" s="10" t="s">
        <v>618</v>
      </c>
      <c r="G138" s="10" t="s">
        <v>696</v>
      </c>
      <c r="H138" s="10" t="s">
        <v>618</v>
      </c>
      <c r="I138" s="10" t="s">
        <v>696</v>
      </c>
      <c r="J138" s="10" t="s">
        <v>688</v>
      </c>
      <c r="K138" s="10" t="s">
        <v>466</v>
      </c>
      <c r="L138" s="10" t="s">
        <v>699</v>
      </c>
      <c r="M138" s="11" t="s">
        <v>292</v>
      </c>
    </row>
    <row r="139" spans="2:13" s="1" customFormat="1" ht="29.5" hidden="1" thickTop="1" x14ac:dyDescent="0.35">
      <c r="B139" s="8" t="s">
        <v>241</v>
      </c>
      <c r="C139" s="9" t="s">
        <v>247</v>
      </c>
      <c r="D139" s="9" t="s">
        <v>248</v>
      </c>
      <c r="E139" s="10" t="s">
        <v>684</v>
      </c>
      <c r="F139" s="10" t="s">
        <v>686</v>
      </c>
      <c r="G139" s="11" t="s">
        <v>301</v>
      </c>
      <c r="H139" s="10" t="s">
        <v>686</v>
      </c>
      <c r="I139" s="11" t="s">
        <v>301</v>
      </c>
      <c r="J139" s="10" t="s">
        <v>688</v>
      </c>
      <c r="K139" s="10" t="s">
        <v>466</v>
      </c>
      <c r="L139" s="10" t="s">
        <v>699</v>
      </c>
      <c r="M139" s="11" t="s">
        <v>292</v>
      </c>
    </row>
    <row r="140" spans="2:13" s="1" customFormat="1" ht="29.5" hidden="1" thickTop="1" x14ac:dyDescent="0.35">
      <c r="B140" s="8" t="s">
        <v>241</v>
      </c>
      <c r="C140" s="9" t="s">
        <v>247</v>
      </c>
      <c r="D140" s="9" t="s">
        <v>249</v>
      </c>
      <c r="E140" s="10" t="s">
        <v>684</v>
      </c>
      <c r="F140" s="10" t="s">
        <v>686</v>
      </c>
      <c r="G140" s="11" t="s">
        <v>301</v>
      </c>
      <c r="H140" s="10" t="s">
        <v>686</v>
      </c>
      <c r="I140" s="11" t="s">
        <v>301</v>
      </c>
      <c r="J140" s="10" t="s">
        <v>688</v>
      </c>
      <c r="K140" s="10" t="s">
        <v>466</v>
      </c>
      <c r="L140" s="10" t="s">
        <v>699</v>
      </c>
      <c r="M140" s="11" t="s">
        <v>292</v>
      </c>
    </row>
    <row r="141" spans="2:13" s="1" customFormat="1" ht="29.5" hidden="1" thickTop="1" x14ac:dyDescent="0.35">
      <c r="B141" s="8" t="s">
        <v>241</v>
      </c>
      <c r="C141" s="9" t="s">
        <v>247</v>
      </c>
      <c r="D141" s="9" t="s">
        <v>250</v>
      </c>
      <c r="E141" s="10" t="s">
        <v>684</v>
      </c>
      <c r="F141" s="10" t="s">
        <v>686</v>
      </c>
      <c r="G141" s="11" t="s">
        <v>301</v>
      </c>
      <c r="H141" s="10" t="s">
        <v>686</v>
      </c>
      <c r="I141" s="11" t="s">
        <v>301</v>
      </c>
      <c r="J141" s="10" t="s">
        <v>688</v>
      </c>
      <c r="K141" s="10" t="s">
        <v>466</v>
      </c>
      <c r="L141" s="10" t="s">
        <v>699</v>
      </c>
      <c r="M141" s="11" t="s">
        <v>292</v>
      </c>
    </row>
    <row r="142" spans="2:13" s="1" customFormat="1" ht="29.5" hidden="1" thickTop="1" x14ac:dyDescent="0.35">
      <c r="B142" s="8" t="s">
        <v>241</v>
      </c>
      <c r="C142" s="9" t="s">
        <v>247</v>
      </c>
      <c r="D142" s="9" t="s">
        <v>251</v>
      </c>
      <c r="E142" s="10" t="s">
        <v>684</v>
      </c>
      <c r="F142" s="10" t="s">
        <v>686</v>
      </c>
      <c r="G142" s="11" t="s">
        <v>301</v>
      </c>
      <c r="H142" s="10" t="s">
        <v>686</v>
      </c>
      <c r="I142" s="11" t="s">
        <v>301</v>
      </c>
      <c r="J142" s="10" t="s">
        <v>688</v>
      </c>
      <c r="K142" s="10" t="s">
        <v>466</v>
      </c>
      <c r="L142" s="10" t="s">
        <v>699</v>
      </c>
      <c r="M142" s="11" t="s">
        <v>292</v>
      </c>
    </row>
    <row r="143" spans="2:13" s="1" customFormat="1" ht="29.5" hidden="1" thickTop="1" x14ac:dyDescent="0.35">
      <c r="B143" s="8" t="s">
        <v>241</v>
      </c>
      <c r="C143" s="9" t="s">
        <v>247</v>
      </c>
      <c r="D143" s="9" t="s">
        <v>252</v>
      </c>
      <c r="E143" s="10" t="s">
        <v>684</v>
      </c>
      <c r="F143" s="10" t="s">
        <v>686</v>
      </c>
      <c r="G143" s="11" t="s">
        <v>301</v>
      </c>
      <c r="H143" s="10" t="s">
        <v>686</v>
      </c>
      <c r="I143" s="11" t="s">
        <v>301</v>
      </c>
      <c r="J143" s="10" t="s">
        <v>688</v>
      </c>
      <c r="K143" s="10" t="s">
        <v>466</v>
      </c>
      <c r="L143" s="10" t="s">
        <v>699</v>
      </c>
      <c r="M143" s="11" t="s">
        <v>292</v>
      </c>
    </row>
    <row r="144" spans="2:13" s="1" customFormat="1" ht="29.5" hidden="1" thickTop="1" x14ac:dyDescent="0.35">
      <c r="B144" s="8" t="s">
        <v>241</v>
      </c>
      <c r="C144" s="9" t="s">
        <v>247</v>
      </c>
      <c r="D144" s="9" t="s">
        <v>253</v>
      </c>
      <c r="E144" s="10" t="s">
        <v>684</v>
      </c>
      <c r="F144" s="10" t="s">
        <v>686</v>
      </c>
      <c r="G144" s="11" t="s">
        <v>301</v>
      </c>
      <c r="H144" s="10" t="s">
        <v>686</v>
      </c>
      <c r="I144" s="11" t="s">
        <v>301</v>
      </c>
      <c r="J144" s="10" t="s">
        <v>688</v>
      </c>
      <c r="K144" s="10" t="s">
        <v>466</v>
      </c>
      <c r="L144" s="10" t="s">
        <v>699</v>
      </c>
      <c r="M144" s="11" t="s">
        <v>292</v>
      </c>
    </row>
    <row r="145" spans="2:13" s="1" customFormat="1" ht="15" hidden="1" thickTop="1" x14ac:dyDescent="0.35">
      <c r="B145" s="8" t="s">
        <v>241</v>
      </c>
      <c r="C145" s="9" t="s">
        <v>254</v>
      </c>
      <c r="D145" s="9" t="s">
        <v>255</v>
      </c>
      <c r="E145" s="10" t="s">
        <v>684</v>
      </c>
      <c r="F145" s="10" t="s">
        <v>686</v>
      </c>
      <c r="G145" s="11" t="s">
        <v>301</v>
      </c>
      <c r="H145" s="10" t="s">
        <v>686</v>
      </c>
      <c r="I145" s="11" t="s">
        <v>301</v>
      </c>
      <c r="J145" s="10" t="s">
        <v>666</v>
      </c>
      <c r="K145" s="10" t="s">
        <v>466</v>
      </c>
      <c r="L145" s="10" t="s">
        <v>683</v>
      </c>
      <c r="M145" s="10" t="s">
        <v>472</v>
      </c>
    </row>
    <row r="146" spans="2:13" s="1" customFormat="1" ht="15" hidden="1" thickTop="1" x14ac:dyDescent="0.35">
      <c r="B146" s="8" t="s">
        <v>241</v>
      </c>
      <c r="C146" s="9" t="s">
        <v>190</v>
      </c>
      <c r="D146" s="9" t="s">
        <v>256</v>
      </c>
      <c r="E146" s="10" t="s">
        <v>684</v>
      </c>
      <c r="F146" s="10" t="s">
        <v>569</v>
      </c>
      <c r="G146" s="11" t="s">
        <v>301</v>
      </c>
      <c r="H146" s="10" t="s">
        <v>569</v>
      </c>
      <c r="I146" s="11" t="s">
        <v>301</v>
      </c>
      <c r="J146" s="10" t="s">
        <v>666</v>
      </c>
      <c r="K146" s="10" t="s">
        <v>466</v>
      </c>
      <c r="L146" s="11" t="s">
        <v>301</v>
      </c>
      <c r="M146" s="10" t="s">
        <v>472</v>
      </c>
    </row>
    <row r="147" spans="2:13" s="1" customFormat="1" ht="15" hidden="1" thickTop="1" x14ac:dyDescent="0.35">
      <c r="B147" s="8" t="s">
        <v>241</v>
      </c>
      <c r="C147" s="9" t="s">
        <v>190</v>
      </c>
      <c r="D147" s="9" t="s">
        <v>257</v>
      </c>
      <c r="E147" s="10" t="s">
        <v>684</v>
      </c>
      <c r="F147" s="10" t="s">
        <v>557</v>
      </c>
      <c r="G147" s="11" t="s">
        <v>301</v>
      </c>
      <c r="H147" s="10" t="s">
        <v>557</v>
      </c>
      <c r="I147" s="11" t="s">
        <v>301</v>
      </c>
      <c r="J147" s="10" t="s">
        <v>666</v>
      </c>
      <c r="K147" s="10" t="s">
        <v>466</v>
      </c>
      <c r="L147" s="11" t="s">
        <v>301</v>
      </c>
      <c r="M147" s="10" t="s">
        <v>472</v>
      </c>
    </row>
    <row r="148" spans="2:13" s="1" customFormat="1" ht="15" hidden="1" thickTop="1" x14ac:dyDescent="0.35">
      <c r="B148" s="8" t="s">
        <v>241</v>
      </c>
      <c r="C148" s="9" t="s">
        <v>199</v>
      </c>
      <c r="D148" s="9" t="s">
        <v>258</v>
      </c>
      <c r="E148" s="10" t="s">
        <v>684</v>
      </c>
      <c r="F148" s="10" t="s">
        <v>462</v>
      </c>
      <c r="G148" s="11" t="s">
        <v>301</v>
      </c>
      <c r="H148" s="10" t="s">
        <v>462</v>
      </c>
      <c r="I148" s="11" t="s">
        <v>301</v>
      </c>
      <c r="J148" s="10" t="s">
        <v>584</v>
      </c>
      <c r="K148" s="10" t="s">
        <v>466</v>
      </c>
      <c r="L148" s="11" t="s">
        <v>301</v>
      </c>
      <c r="M148" s="10" t="s">
        <v>472</v>
      </c>
    </row>
    <row r="149" spans="2:13" s="1" customFormat="1" ht="15.5" hidden="1" thickTop="1" thickBot="1" x14ac:dyDescent="0.4">
      <c r="B149" s="12" t="s">
        <v>241</v>
      </c>
      <c r="C149" s="13" t="s">
        <v>174</v>
      </c>
      <c r="D149" s="13" t="s">
        <v>259</v>
      </c>
      <c r="E149" s="14" t="s">
        <v>684</v>
      </c>
      <c r="F149" s="14" t="s">
        <v>527</v>
      </c>
      <c r="G149" s="15" t="s">
        <v>301</v>
      </c>
      <c r="H149" s="14" t="s">
        <v>527</v>
      </c>
      <c r="I149" s="15" t="s">
        <v>301</v>
      </c>
      <c r="J149" s="14" t="s">
        <v>624</v>
      </c>
      <c r="K149" s="14" t="s">
        <v>521</v>
      </c>
      <c r="L149" s="15" t="s">
        <v>301</v>
      </c>
      <c r="M149" s="14" t="s">
        <v>522</v>
      </c>
    </row>
    <row r="150" spans="2:13" s="1" customFormat="1" ht="15.5" hidden="1" thickTop="1" thickBot="1" x14ac:dyDescent="0.4">
      <c r="B150" s="16" t="s">
        <v>260</v>
      </c>
      <c r="C150" s="17" t="s">
        <v>30</v>
      </c>
      <c r="D150" s="17" t="s">
        <v>261</v>
      </c>
      <c r="E150" s="18" t="s">
        <v>700</v>
      </c>
      <c r="F150" s="19" t="s">
        <v>292</v>
      </c>
      <c r="G150" s="19" t="s">
        <v>301</v>
      </c>
      <c r="H150" s="18" t="s">
        <v>501</v>
      </c>
      <c r="I150" s="19" t="s">
        <v>301</v>
      </c>
      <c r="J150" s="18" t="s">
        <v>640</v>
      </c>
      <c r="K150" s="18" t="s">
        <v>466</v>
      </c>
      <c r="L150" s="19" t="s">
        <v>301</v>
      </c>
      <c r="M150" s="19" t="s">
        <v>292</v>
      </c>
    </row>
    <row r="151" spans="2:13" s="1" customFormat="1" ht="15" hidden="1" thickTop="1" x14ac:dyDescent="0.35">
      <c r="B151" s="20" t="s">
        <v>262</v>
      </c>
      <c r="C151" s="21" t="s">
        <v>263</v>
      </c>
      <c r="D151" s="21" t="s">
        <v>264</v>
      </c>
      <c r="E151" s="22" t="s">
        <v>701</v>
      </c>
      <c r="F151" s="23" t="s">
        <v>292</v>
      </c>
      <c r="G151" s="23" t="s">
        <v>301</v>
      </c>
      <c r="H151" s="22" t="s">
        <v>462</v>
      </c>
      <c r="I151" s="22" t="s">
        <v>704</v>
      </c>
      <c r="J151" s="22" t="s">
        <v>705</v>
      </c>
      <c r="K151" s="22" t="s">
        <v>521</v>
      </c>
      <c r="L151" s="23" t="s">
        <v>301</v>
      </c>
      <c r="M151" s="22" t="s">
        <v>522</v>
      </c>
    </row>
    <row r="152" spans="2:13" s="1" customFormat="1" ht="29.5" hidden="1" thickTop="1" x14ac:dyDescent="0.35">
      <c r="B152" s="8" t="s">
        <v>262</v>
      </c>
      <c r="C152" s="9" t="s">
        <v>265</v>
      </c>
      <c r="D152" s="9" t="s">
        <v>266</v>
      </c>
      <c r="E152" s="10" t="s">
        <v>701</v>
      </c>
      <c r="F152" s="10" t="s">
        <v>462</v>
      </c>
      <c r="G152" s="10" t="s">
        <v>639</v>
      </c>
      <c r="H152" s="10" t="s">
        <v>462</v>
      </c>
      <c r="I152" s="10" t="s">
        <v>639</v>
      </c>
      <c r="J152" s="10" t="s">
        <v>702</v>
      </c>
      <c r="K152" s="10" t="s">
        <v>466</v>
      </c>
      <c r="L152" s="11" t="s">
        <v>301</v>
      </c>
      <c r="M152" s="10" t="s">
        <v>472</v>
      </c>
    </row>
    <row r="153" spans="2:13" s="1" customFormat="1" ht="15" hidden="1" thickTop="1" x14ac:dyDescent="0.35">
      <c r="B153" s="8" t="s">
        <v>262</v>
      </c>
      <c r="C153" s="9" t="s">
        <v>267</v>
      </c>
      <c r="D153" s="9" t="s">
        <v>268</v>
      </c>
      <c r="E153" s="10" t="s">
        <v>701</v>
      </c>
      <c r="F153" s="10" t="s">
        <v>462</v>
      </c>
      <c r="G153" s="10" t="s">
        <v>639</v>
      </c>
      <c r="H153" s="10" t="s">
        <v>462</v>
      </c>
      <c r="I153" s="10" t="s">
        <v>703</v>
      </c>
      <c r="J153" s="10" t="s">
        <v>702</v>
      </c>
      <c r="K153" s="10" t="s">
        <v>466</v>
      </c>
      <c r="L153" s="11" t="s">
        <v>301</v>
      </c>
      <c r="M153" s="10" t="s">
        <v>472</v>
      </c>
    </row>
    <row r="154" spans="2:13" s="1" customFormat="1" ht="29.5" hidden="1" thickTop="1" x14ac:dyDescent="0.35">
      <c r="B154" s="8" t="s">
        <v>262</v>
      </c>
      <c r="C154" s="9" t="s">
        <v>190</v>
      </c>
      <c r="D154" s="9" t="s">
        <v>191</v>
      </c>
      <c r="E154" s="10" t="s">
        <v>701</v>
      </c>
      <c r="F154" s="10" t="s">
        <v>643</v>
      </c>
      <c r="G154" s="11" t="s">
        <v>301</v>
      </c>
      <c r="H154" s="10" t="s">
        <v>643</v>
      </c>
      <c r="I154" s="11" t="s">
        <v>301</v>
      </c>
      <c r="J154" s="10" t="s">
        <v>702</v>
      </c>
      <c r="K154" s="10" t="s">
        <v>466</v>
      </c>
      <c r="L154" s="11" t="s">
        <v>301</v>
      </c>
      <c r="M154" s="10" t="s">
        <v>472</v>
      </c>
    </row>
    <row r="155" spans="2:13" s="1" customFormat="1" ht="15" hidden="1" thickTop="1" x14ac:dyDescent="0.35">
      <c r="B155" s="8" t="s">
        <v>262</v>
      </c>
      <c r="C155" s="9" t="s">
        <v>269</v>
      </c>
      <c r="D155" s="9" t="s">
        <v>270</v>
      </c>
      <c r="E155" s="10" t="s">
        <v>701</v>
      </c>
      <c r="F155" s="10" t="s">
        <v>462</v>
      </c>
      <c r="G155" s="10" t="s">
        <v>995</v>
      </c>
      <c r="H155" s="10" t="s">
        <v>462</v>
      </c>
      <c r="I155" s="10" t="s">
        <v>703</v>
      </c>
      <c r="J155" s="10" t="s">
        <v>702</v>
      </c>
      <c r="K155" s="10" t="s">
        <v>466</v>
      </c>
      <c r="L155" s="11" t="s">
        <v>301</v>
      </c>
      <c r="M155" s="10" t="s">
        <v>472</v>
      </c>
    </row>
    <row r="156" spans="2:13" s="1" customFormat="1" ht="29.5" hidden="1" thickTop="1" x14ac:dyDescent="0.35">
      <c r="B156" s="8" t="s">
        <v>262</v>
      </c>
      <c r="C156" s="9" t="s">
        <v>188</v>
      </c>
      <c r="D156" s="9" t="s">
        <v>271</v>
      </c>
      <c r="E156" s="10" t="s">
        <v>701</v>
      </c>
      <c r="F156" s="10" t="s">
        <v>462</v>
      </c>
      <c r="G156" s="11" t="s">
        <v>301</v>
      </c>
      <c r="H156" s="10" t="s">
        <v>462</v>
      </c>
      <c r="I156" s="11" t="s">
        <v>301</v>
      </c>
      <c r="J156" s="10" t="s">
        <v>640</v>
      </c>
      <c r="K156" s="10" t="s">
        <v>466</v>
      </c>
      <c r="L156" s="10" t="s">
        <v>613</v>
      </c>
      <c r="M156" s="10" t="s">
        <v>472</v>
      </c>
    </row>
    <row r="157" spans="2:13" s="1" customFormat="1" ht="30" hidden="1" thickTop="1" thickBot="1" x14ac:dyDescent="0.4">
      <c r="B157" s="12" t="s">
        <v>262</v>
      </c>
      <c r="C157" s="13" t="s">
        <v>159</v>
      </c>
      <c r="D157" s="13" t="s">
        <v>272</v>
      </c>
      <c r="E157" s="14" t="s">
        <v>701</v>
      </c>
      <c r="F157" s="14" t="s">
        <v>635</v>
      </c>
      <c r="G157" s="14" t="s">
        <v>994</v>
      </c>
      <c r="H157" s="14" t="s">
        <v>635</v>
      </c>
      <c r="I157" s="14" t="s">
        <v>636</v>
      </c>
      <c r="J157" s="14" t="s">
        <v>584</v>
      </c>
      <c r="K157" s="14" t="s">
        <v>466</v>
      </c>
      <c r="L157" s="15" t="s">
        <v>301</v>
      </c>
      <c r="M157" s="14" t="s">
        <v>472</v>
      </c>
    </row>
    <row r="158" spans="2:13" s="1" customFormat="1" ht="30" hidden="1" thickTop="1" thickBot="1" x14ac:dyDescent="0.4">
      <c r="B158" s="16" t="s">
        <v>273</v>
      </c>
      <c r="C158" s="17" t="s">
        <v>190</v>
      </c>
      <c r="D158" s="17" t="s">
        <v>274</v>
      </c>
      <c r="E158" s="18" t="s">
        <v>707</v>
      </c>
      <c r="F158" s="19" t="s">
        <v>292</v>
      </c>
      <c r="G158" s="19" t="s">
        <v>301</v>
      </c>
      <c r="H158" s="18" t="s">
        <v>643</v>
      </c>
      <c r="I158" s="19" t="s">
        <v>301</v>
      </c>
      <c r="J158" s="18" t="s">
        <v>702</v>
      </c>
      <c r="K158" s="18" t="s">
        <v>466</v>
      </c>
      <c r="L158" s="19" t="s">
        <v>301</v>
      </c>
      <c r="M158" s="18" t="s">
        <v>472</v>
      </c>
    </row>
    <row r="159" spans="2:13" s="1" customFormat="1" ht="44" hidden="1" thickTop="1" x14ac:dyDescent="0.35">
      <c r="B159" s="20" t="s">
        <v>275</v>
      </c>
      <c r="C159" s="21" t="s">
        <v>276</v>
      </c>
      <c r="D159" s="21" t="s">
        <v>277</v>
      </c>
      <c r="E159" s="22" t="s">
        <v>711</v>
      </c>
      <c r="F159" s="22" t="s">
        <v>501</v>
      </c>
      <c r="G159" s="23" t="s">
        <v>301</v>
      </c>
      <c r="H159" s="22" t="s">
        <v>501</v>
      </c>
      <c r="I159" s="23" t="s">
        <v>301</v>
      </c>
      <c r="J159" s="22" t="s">
        <v>709</v>
      </c>
      <c r="K159" s="22" t="s">
        <v>466</v>
      </c>
      <c r="L159" s="23" t="s">
        <v>301</v>
      </c>
      <c r="M159" s="23" t="s">
        <v>292</v>
      </c>
    </row>
    <row r="160" spans="2:13" s="1" customFormat="1" ht="44.5" hidden="1" thickTop="1" thickBot="1" x14ac:dyDescent="0.4">
      <c r="B160" s="12" t="s">
        <v>275</v>
      </c>
      <c r="C160" s="13" t="s">
        <v>276</v>
      </c>
      <c r="D160" s="13" t="s">
        <v>278</v>
      </c>
      <c r="E160" s="14" t="s">
        <v>711</v>
      </c>
      <c r="F160" s="15" t="s">
        <v>292</v>
      </c>
      <c r="G160" s="15" t="s">
        <v>301</v>
      </c>
      <c r="H160" s="14" t="s">
        <v>501</v>
      </c>
      <c r="I160" s="15" t="s">
        <v>301</v>
      </c>
      <c r="J160" s="14" t="s">
        <v>712</v>
      </c>
      <c r="K160" s="14" t="s">
        <v>521</v>
      </c>
      <c r="L160" s="15" t="s">
        <v>301</v>
      </c>
      <c r="M160" s="14" t="s">
        <v>522</v>
      </c>
    </row>
    <row r="161" spans="1:13" ht="15" hidden="1" thickTop="1" x14ac:dyDescent="0.35">
      <c r="A161" s="1"/>
      <c r="B161" s="20" t="s">
        <v>279</v>
      </c>
      <c r="C161" s="21" t="s">
        <v>280</v>
      </c>
      <c r="D161" s="21" t="s">
        <v>281</v>
      </c>
      <c r="E161" s="22" t="s">
        <v>716</v>
      </c>
      <c r="F161" s="22" t="s">
        <v>462</v>
      </c>
      <c r="G161" s="22" t="s">
        <v>717</v>
      </c>
      <c r="H161" s="22" t="s">
        <v>462</v>
      </c>
      <c r="I161" s="22" t="s">
        <v>717</v>
      </c>
      <c r="J161" s="22" t="s">
        <v>718</v>
      </c>
      <c r="K161" s="22" t="s">
        <v>466</v>
      </c>
      <c r="L161" s="22" t="s">
        <v>683</v>
      </c>
      <c r="M161" s="23" t="s">
        <v>292</v>
      </c>
    </row>
    <row r="162" spans="1:13" ht="29.5" hidden="1" thickTop="1" x14ac:dyDescent="0.35">
      <c r="A162" s="1"/>
      <c r="B162" s="8" t="s">
        <v>279</v>
      </c>
      <c r="C162" s="9" t="s">
        <v>282</v>
      </c>
      <c r="D162" s="9" t="s">
        <v>283</v>
      </c>
      <c r="E162" s="10" t="s">
        <v>721</v>
      </c>
      <c r="F162" s="10" t="s">
        <v>482</v>
      </c>
      <c r="G162" s="10" t="s">
        <v>720</v>
      </c>
      <c r="H162" s="10" t="s">
        <v>482</v>
      </c>
      <c r="I162" s="10" t="s">
        <v>720</v>
      </c>
      <c r="J162" s="10" t="s">
        <v>718</v>
      </c>
      <c r="K162" s="10" t="s">
        <v>466</v>
      </c>
      <c r="L162" s="10" t="s">
        <v>683</v>
      </c>
      <c r="M162" s="11" t="s">
        <v>292</v>
      </c>
    </row>
    <row r="163" spans="1:13" ht="58.5" hidden="1" thickTop="1" x14ac:dyDescent="0.35">
      <c r="A163" s="1"/>
      <c r="B163" s="8" t="s">
        <v>279</v>
      </c>
      <c r="C163" s="9" t="s">
        <v>284</v>
      </c>
      <c r="D163" s="9" t="s">
        <v>285</v>
      </c>
      <c r="E163" s="10" t="s">
        <v>716</v>
      </c>
      <c r="F163" s="10" t="s">
        <v>462</v>
      </c>
      <c r="G163" s="10" t="s">
        <v>713</v>
      </c>
      <c r="H163" s="10" t="s">
        <v>462</v>
      </c>
      <c r="I163" s="10" t="s">
        <v>713</v>
      </c>
      <c r="J163" s="10" t="s">
        <v>714</v>
      </c>
      <c r="K163" s="10" t="s">
        <v>466</v>
      </c>
      <c r="L163" s="10" t="s">
        <v>683</v>
      </c>
      <c r="M163" s="11" t="s">
        <v>292</v>
      </c>
    </row>
    <row r="164" spans="1:13" ht="44" hidden="1" thickTop="1" x14ac:dyDescent="0.35">
      <c r="A164" s="1"/>
      <c r="B164" s="8" t="s">
        <v>279</v>
      </c>
      <c r="C164" s="9" t="s">
        <v>286</v>
      </c>
      <c r="D164" s="9" t="s">
        <v>287</v>
      </c>
      <c r="E164" s="10" t="s">
        <v>716</v>
      </c>
      <c r="F164" s="10" t="s">
        <v>462</v>
      </c>
      <c r="G164" s="11" t="s">
        <v>301</v>
      </c>
      <c r="H164" s="10" t="s">
        <v>462</v>
      </c>
      <c r="I164" s="11" t="s">
        <v>301</v>
      </c>
      <c r="J164" s="10" t="s">
        <v>719</v>
      </c>
      <c r="K164" s="10" t="s">
        <v>466</v>
      </c>
      <c r="L164" s="10" t="s">
        <v>1033</v>
      </c>
      <c r="M164" s="11" t="s">
        <v>292</v>
      </c>
    </row>
    <row r="165" spans="1:13" ht="30" hidden="1" thickTop="1" thickBot="1" x14ac:dyDescent="0.4">
      <c r="A165" s="1"/>
      <c r="B165" s="12" t="s">
        <v>279</v>
      </c>
      <c r="C165" s="13" t="s">
        <v>288</v>
      </c>
      <c r="D165" s="13" t="s">
        <v>289</v>
      </c>
      <c r="E165" s="14" t="s">
        <v>716</v>
      </c>
      <c r="F165" s="14" t="s">
        <v>569</v>
      </c>
      <c r="G165" s="14" t="s">
        <v>996</v>
      </c>
      <c r="H165" s="14" t="s">
        <v>722</v>
      </c>
      <c r="I165" s="15" t="s">
        <v>301</v>
      </c>
      <c r="J165" s="14" t="s">
        <v>723</v>
      </c>
      <c r="K165" s="14" t="s">
        <v>466</v>
      </c>
      <c r="L165" s="14" t="s">
        <v>683</v>
      </c>
      <c r="M165" s="15" t="s">
        <v>292</v>
      </c>
    </row>
    <row r="166" spans="1:13" ht="15" thickTop="1" x14ac:dyDescent="0.35">
      <c r="A166" s="1"/>
    </row>
    <row r="168" spans="1:13" x14ac:dyDescent="0.35">
      <c r="C168" s="42" t="s">
        <v>439</v>
      </c>
    </row>
    <row r="170" spans="1:13" x14ac:dyDescent="0.35">
      <c r="A170" s="1"/>
    </row>
    <row r="171" spans="1:13" x14ac:dyDescent="0.35">
      <c r="A171" s="1"/>
    </row>
    <row r="172" spans="1:13" x14ac:dyDescent="0.35">
      <c r="A172" s="1"/>
    </row>
    <row r="173" spans="1:13" x14ac:dyDescent="0.35">
      <c r="A173" s="1"/>
    </row>
    <row r="174" spans="1:13" x14ac:dyDescent="0.35">
      <c r="A174" s="1"/>
    </row>
    <row r="175" spans="1:13" x14ac:dyDescent="0.35">
      <c r="A175" s="1"/>
    </row>
    <row r="176" spans="1:13" x14ac:dyDescent="0.35">
      <c r="A176" s="1"/>
    </row>
    <row r="177" spans="1:2" x14ac:dyDescent="0.35">
      <c r="A177" s="1"/>
    </row>
    <row r="180" spans="1:2" x14ac:dyDescent="0.35">
      <c r="A180" s="1"/>
    </row>
    <row r="181" spans="1:2" x14ac:dyDescent="0.35">
      <c r="A181" s="1"/>
    </row>
    <row r="184" spans="1:2" x14ac:dyDescent="0.35">
      <c r="A184" s="1"/>
      <c r="B184" s="24"/>
    </row>
    <row r="185" spans="1:2" x14ac:dyDescent="0.35">
      <c r="A185" s="1"/>
      <c r="B185" s="24"/>
    </row>
    <row r="186" spans="1:2" x14ac:dyDescent="0.35">
      <c r="A186" s="1"/>
      <c r="B186" s="24"/>
    </row>
    <row r="187" spans="1:2" x14ac:dyDescent="0.35">
      <c r="A187" s="1"/>
      <c r="B187" s="24"/>
    </row>
    <row r="188" spans="1:2" x14ac:dyDescent="0.35">
      <c r="A188" s="1"/>
      <c r="B188" s="24"/>
    </row>
    <row r="189" spans="1:2" x14ac:dyDescent="0.35">
      <c r="A189" s="1"/>
      <c r="B189" s="24"/>
    </row>
    <row r="190" spans="1:2" x14ac:dyDescent="0.35">
      <c r="A190" s="1"/>
      <c r="B190" s="24"/>
    </row>
    <row r="191" spans="1:2" x14ac:dyDescent="0.35">
      <c r="A191" s="1"/>
      <c r="B191" s="24"/>
    </row>
    <row r="192" spans="1:2" x14ac:dyDescent="0.35">
      <c r="A192" s="1"/>
      <c r="B192" s="24"/>
    </row>
    <row r="193" spans="2:2" s="1" customFormat="1" x14ac:dyDescent="0.35">
      <c r="B193" s="24"/>
    </row>
    <row r="194" spans="2:2" s="1" customFormat="1" x14ac:dyDescent="0.35">
      <c r="B194" s="24"/>
    </row>
    <row r="195" spans="2:2" s="1" customFormat="1" x14ac:dyDescent="0.35">
      <c r="B195" s="24"/>
    </row>
    <row r="196" spans="2:2" s="1" customFormat="1" x14ac:dyDescent="0.35">
      <c r="B196" s="24"/>
    </row>
    <row r="197" spans="2:2" s="1" customFormat="1" x14ac:dyDescent="0.35">
      <c r="B197" s="24"/>
    </row>
    <row r="198" spans="2:2" s="1" customFormat="1" x14ac:dyDescent="0.35">
      <c r="B198" s="24"/>
    </row>
    <row r="199" spans="2:2" s="1" customFormat="1" x14ac:dyDescent="0.35">
      <c r="B199" s="24"/>
    </row>
    <row r="200" spans="2:2" s="1" customFormat="1" x14ac:dyDescent="0.35">
      <c r="B200" s="24"/>
    </row>
    <row r="201" spans="2:2" s="1" customFormat="1" x14ac:dyDescent="0.35">
      <c r="B201" s="24"/>
    </row>
    <row r="202" spans="2:2" s="1" customFormat="1" x14ac:dyDescent="0.35">
      <c r="B202" s="24"/>
    </row>
    <row r="203" spans="2:2" s="1" customFormat="1" x14ac:dyDescent="0.35">
      <c r="B203" s="24"/>
    </row>
    <row r="204" spans="2:2" s="1" customFormat="1" x14ac:dyDescent="0.35">
      <c r="B204" s="24"/>
    </row>
    <row r="205" spans="2:2" s="1" customFormat="1" x14ac:dyDescent="0.35">
      <c r="B205" s="24"/>
    </row>
    <row r="206" spans="2:2" s="1" customFormat="1" x14ac:dyDescent="0.35">
      <c r="B206" s="24"/>
    </row>
    <row r="207" spans="2:2" s="1" customFormat="1" x14ac:dyDescent="0.35">
      <c r="B207" s="24"/>
    </row>
    <row r="208" spans="2:2" s="1" customFormat="1" x14ac:dyDescent="0.35">
      <c r="B208" s="24"/>
    </row>
    <row r="209" spans="2:2" s="1" customFormat="1" x14ac:dyDescent="0.35">
      <c r="B209" s="24"/>
    </row>
    <row r="210" spans="2:2" s="1" customFormat="1" x14ac:dyDescent="0.35">
      <c r="B210" s="24"/>
    </row>
    <row r="211" spans="2:2" s="1" customFormat="1" x14ac:dyDescent="0.35">
      <c r="B211" s="24"/>
    </row>
    <row r="212" spans="2:2" s="1" customFormat="1" x14ac:dyDescent="0.35">
      <c r="B212" s="24"/>
    </row>
    <row r="213" spans="2:2" s="1" customFormat="1" x14ac:dyDescent="0.35">
      <c r="B213" s="24"/>
    </row>
    <row r="214" spans="2:2" s="1" customFormat="1" x14ac:dyDescent="0.35">
      <c r="B214" s="24"/>
    </row>
    <row r="215" spans="2:2" s="1" customFormat="1" x14ac:dyDescent="0.35">
      <c r="B215" s="24"/>
    </row>
    <row r="216" spans="2:2" s="1" customFormat="1" x14ac:dyDescent="0.35"/>
    <row r="217" spans="2:2" s="1" customFormat="1" x14ac:dyDescent="0.35"/>
    <row r="218" spans="2:2" s="1" customFormat="1" x14ac:dyDescent="0.35"/>
    <row r="219" spans="2:2" s="1" customFormat="1" x14ac:dyDescent="0.35"/>
    <row r="220" spans="2:2" s="1" customFormat="1" x14ac:dyDescent="0.35"/>
    <row r="221" spans="2:2" s="1" customFormat="1" x14ac:dyDescent="0.35"/>
    <row r="222" spans="2:2" s="1" customFormat="1" x14ac:dyDescent="0.35"/>
  </sheetData>
  <autoFilter ref="B2:M165" xr:uid="{27F2E159-6117-44E0-B431-9308FED6312E}">
    <filterColumn colId="0">
      <filters>
        <filter val="Copper (Cu)"/>
        <filter val="Nickel (Ni)"/>
      </filters>
    </filterColumn>
  </autoFilter>
  <mergeCells count="2">
    <mergeCell ref="F1:I1"/>
    <mergeCell ref="J1:M1"/>
  </mergeCells>
  <dataValidations count="3">
    <dataValidation type="list" allowBlank="1" showInputMessage="1" showErrorMessage="1" sqref="M23 M33:M34 M66:M67 M74 M90 M94:M96 M98 M135 M149 M151 M160 M77" xr:uid="{6C65E17F-31C1-4814-9EAD-2FABBC4D840C}">
      <formula1>"Pyrometallurgy,Hydrometallurgy,Recycling,NA"</formula1>
    </dataValidation>
    <dataValidation type="list" allowBlank="1" showInputMessage="1" showErrorMessage="1" sqref="K3:K53 K68:K165 K56:K65" xr:uid="{4747B2D1-178B-448D-93CD-1BE7995EA793}">
      <formula1>"Primary,Secondary"</formula1>
    </dataValidation>
    <dataValidation type="list" allowBlank="1" showInputMessage="1" showErrorMessage="1" sqref="M35:M46 M3:M22 M24:M32 M71:M73 M161:M165 M97 M91:M93 M150 M152:M159 M75:M76 M78:M89 M99:M134 M136:M148" xr:uid="{A57753C4-EB56-45CC-AD5E-4CF0BC33A674}">
      <formula1>"Pyrometallurgy,Hydrometallurgy,Unknown,NA"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6C84-D48F-4803-9B48-D054BC9026CC}">
  <sheetPr>
    <tabColor theme="9" tint="0.79998168889431442"/>
  </sheetPr>
  <dimension ref="B1:X166"/>
  <sheetViews>
    <sheetView showGridLines="0" zoomScaleNormal="100" workbookViewId="0">
      <pane xSplit="3" ySplit="2" topLeftCell="D150" activePane="bottomRight" state="frozen"/>
      <selection pane="topRight" activeCell="D1" sqref="D1"/>
      <selection pane="bottomLeft" activeCell="A3" sqref="A3"/>
      <selection pane="bottomRight" activeCell="D171" sqref="D171"/>
    </sheetView>
  </sheetViews>
  <sheetFormatPr baseColWidth="10" defaultColWidth="11.453125" defaultRowHeight="14.5" x14ac:dyDescent="0.35"/>
  <cols>
    <col min="1" max="1" width="1.453125" style="25" customWidth="1"/>
    <col min="2" max="2" width="18.1796875" style="25" customWidth="1"/>
    <col min="3" max="3" width="54.453125" style="25" customWidth="1"/>
    <col min="4" max="4" width="27.453125" style="25" bestFit="1" customWidth="1"/>
    <col min="5" max="5" width="21.453125" style="25" customWidth="1"/>
    <col min="6" max="6" width="35.7265625" style="25" customWidth="1"/>
    <col min="7" max="7" width="28.54296875" style="25" customWidth="1"/>
    <col min="8" max="8" width="21.453125" style="25" customWidth="1"/>
    <col min="9" max="9" width="35.7265625" style="25" customWidth="1"/>
    <col min="10" max="10" width="21.453125" style="25" customWidth="1"/>
    <col min="11" max="11" width="35.7265625" style="25" customWidth="1"/>
    <col min="12" max="12" width="21.7265625" style="25" customWidth="1"/>
    <col min="13" max="13" width="21.453125" style="25" customWidth="1"/>
    <col min="14" max="14" width="35.7265625" style="25" customWidth="1"/>
    <col min="15" max="15" width="28.26953125" style="25" bestFit="1" customWidth="1"/>
    <col min="16" max="16" width="21.453125" style="25" customWidth="1"/>
    <col min="17" max="17" width="35.7265625" style="25" customWidth="1"/>
    <col min="18" max="19" width="28.54296875" style="25" customWidth="1"/>
    <col min="20" max="20" width="21.453125" style="25" customWidth="1"/>
    <col min="21" max="21" width="35.7265625" style="25" customWidth="1"/>
    <col min="22" max="22" width="27.7265625" style="25" bestFit="1" customWidth="1"/>
    <col min="23" max="23" width="21.453125" style="25" customWidth="1"/>
    <col min="24" max="24" width="35.7265625" style="25" customWidth="1"/>
    <col min="25" max="16384" width="11.453125" style="25"/>
  </cols>
  <sheetData>
    <row r="1" spans="2:24" x14ac:dyDescent="0.35">
      <c r="D1" s="120" t="s">
        <v>1</v>
      </c>
      <c r="E1" s="120"/>
      <c r="F1" s="120"/>
      <c r="G1" s="120"/>
      <c r="H1" s="120"/>
      <c r="I1" s="120"/>
      <c r="J1" s="120"/>
      <c r="K1" s="121"/>
      <c r="L1" s="119" t="s">
        <v>2</v>
      </c>
      <c r="M1" s="119"/>
      <c r="N1" s="119"/>
      <c r="O1" s="119"/>
      <c r="P1" s="119"/>
      <c r="Q1" s="119"/>
      <c r="R1" s="119"/>
      <c r="S1" s="119"/>
      <c r="T1" s="119"/>
      <c r="U1" s="119"/>
      <c r="V1" s="122" t="s">
        <v>0</v>
      </c>
      <c r="W1" s="123"/>
      <c r="X1" s="124"/>
    </row>
    <row r="2" spans="2:24" ht="29" x14ac:dyDescent="0.35">
      <c r="B2" s="26" t="s">
        <v>3</v>
      </c>
      <c r="C2" s="27" t="s">
        <v>4</v>
      </c>
      <c r="D2" s="29" t="s">
        <v>8</v>
      </c>
      <c r="E2" s="43" t="s">
        <v>454</v>
      </c>
      <c r="F2" s="44" t="s">
        <v>455</v>
      </c>
      <c r="G2" s="29" t="s">
        <v>9</v>
      </c>
      <c r="H2" s="43" t="s">
        <v>456</v>
      </c>
      <c r="I2" s="44" t="s">
        <v>455</v>
      </c>
      <c r="J2" s="43" t="s">
        <v>457</v>
      </c>
      <c r="K2" s="44" t="s">
        <v>455</v>
      </c>
      <c r="L2" s="30" t="s">
        <v>10</v>
      </c>
      <c r="M2" s="45" t="s">
        <v>458</v>
      </c>
      <c r="N2" s="46" t="s">
        <v>455</v>
      </c>
      <c r="O2" s="30" t="s">
        <v>11</v>
      </c>
      <c r="P2" s="45" t="s">
        <v>459</v>
      </c>
      <c r="Q2" s="46" t="s">
        <v>455</v>
      </c>
      <c r="R2" s="30" t="s">
        <v>12</v>
      </c>
      <c r="S2" s="30" t="s">
        <v>13</v>
      </c>
      <c r="T2" s="45" t="s">
        <v>460</v>
      </c>
      <c r="U2" s="46" t="s">
        <v>455</v>
      </c>
      <c r="V2" s="28" t="s">
        <v>5</v>
      </c>
      <c r="W2" s="47" t="s">
        <v>461</v>
      </c>
      <c r="X2" s="48" t="s">
        <v>455</v>
      </c>
    </row>
    <row r="3" spans="2:24" ht="29" x14ac:dyDescent="0.35">
      <c r="B3" s="32" t="s">
        <v>14</v>
      </c>
      <c r="C3" s="32" t="s">
        <v>17</v>
      </c>
      <c r="D3" s="49" t="s">
        <v>462</v>
      </c>
      <c r="E3" s="50">
        <v>0.56200000000000006</v>
      </c>
      <c r="F3" s="51" t="s">
        <v>463</v>
      </c>
      <c r="G3" s="49" t="s">
        <v>464</v>
      </c>
      <c r="H3" s="50">
        <v>0.14465676469336511</v>
      </c>
      <c r="I3" s="51" t="s">
        <v>997</v>
      </c>
      <c r="J3" s="52" t="s">
        <v>292</v>
      </c>
      <c r="K3" s="53" t="s">
        <v>292</v>
      </c>
      <c r="L3" s="49" t="s">
        <v>465</v>
      </c>
      <c r="M3" s="52" t="s">
        <v>292</v>
      </c>
      <c r="N3" s="53" t="s">
        <v>292</v>
      </c>
      <c r="O3" s="49" t="s">
        <v>466</v>
      </c>
      <c r="P3" s="50">
        <v>0</v>
      </c>
      <c r="Q3" s="51" t="s">
        <v>467</v>
      </c>
      <c r="R3" s="38" t="s">
        <v>301</v>
      </c>
      <c r="S3" s="49" t="s">
        <v>468</v>
      </c>
      <c r="T3" s="52" t="s">
        <v>292</v>
      </c>
      <c r="U3" s="53" t="s">
        <v>292</v>
      </c>
      <c r="V3" s="49" t="s">
        <v>469</v>
      </c>
      <c r="W3" s="52" t="s">
        <v>292</v>
      </c>
      <c r="X3" s="53" t="s">
        <v>292</v>
      </c>
    </row>
    <row r="4" spans="2:24" ht="43.5" x14ac:dyDescent="0.35">
      <c r="B4" s="32" t="s">
        <v>14</v>
      </c>
      <c r="C4" s="32" t="s">
        <v>23</v>
      </c>
      <c r="D4" s="49" t="s">
        <v>462</v>
      </c>
      <c r="E4" s="50">
        <v>0.56200000000000006</v>
      </c>
      <c r="F4" s="51" t="s">
        <v>463</v>
      </c>
      <c r="G4" s="49" t="s">
        <v>470</v>
      </c>
      <c r="H4" s="50">
        <v>0.46831009715883631</v>
      </c>
      <c r="I4" s="51" t="s">
        <v>998</v>
      </c>
      <c r="J4" s="52" t="s">
        <v>292</v>
      </c>
      <c r="K4" s="53" t="s">
        <v>292</v>
      </c>
      <c r="L4" s="49" t="s">
        <v>471</v>
      </c>
      <c r="M4" s="52" t="s">
        <v>292</v>
      </c>
      <c r="N4" s="53" t="s">
        <v>292</v>
      </c>
      <c r="O4" s="49" t="s">
        <v>466</v>
      </c>
      <c r="P4" s="50">
        <v>0</v>
      </c>
      <c r="Q4" s="51" t="s">
        <v>467</v>
      </c>
      <c r="R4" s="38" t="s">
        <v>301</v>
      </c>
      <c r="S4" s="49" t="s">
        <v>472</v>
      </c>
      <c r="T4" s="52" t="s">
        <v>292</v>
      </c>
      <c r="U4" s="53" t="s">
        <v>292</v>
      </c>
      <c r="V4" s="49" t="s">
        <v>469</v>
      </c>
      <c r="W4" s="50">
        <v>0.77777777777777779</v>
      </c>
      <c r="X4" s="51" t="s">
        <v>473</v>
      </c>
    </row>
    <row r="5" spans="2:24" ht="43.5" x14ac:dyDescent="0.35">
      <c r="B5" s="32" t="s">
        <v>14</v>
      </c>
      <c r="C5" s="32" t="s">
        <v>24</v>
      </c>
      <c r="D5" s="49" t="s">
        <v>462</v>
      </c>
      <c r="E5" s="50">
        <v>0.56200000000000006</v>
      </c>
      <c r="F5" s="51" t="s">
        <v>463</v>
      </c>
      <c r="G5" s="49" t="s">
        <v>470</v>
      </c>
      <c r="H5" s="50">
        <v>0.46831009715883631</v>
      </c>
      <c r="I5" s="51" t="s">
        <v>998</v>
      </c>
      <c r="J5" s="52" t="s">
        <v>292</v>
      </c>
      <c r="K5" s="53" t="s">
        <v>292</v>
      </c>
      <c r="L5" s="49" t="s">
        <v>471</v>
      </c>
      <c r="M5" s="52" t="s">
        <v>292</v>
      </c>
      <c r="N5" s="53" t="s">
        <v>292</v>
      </c>
      <c r="O5" s="49" t="s">
        <v>466</v>
      </c>
      <c r="P5" s="50">
        <v>0</v>
      </c>
      <c r="Q5" s="51" t="s">
        <v>467</v>
      </c>
      <c r="R5" s="38" t="s">
        <v>301</v>
      </c>
      <c r="S5" s="49" t="s">
        <v>472</v>
      </c>
      <c r="T5" s="52" t="s">
        <v>292</v>
      </c>
      <c r="U5" s="53" t="s">
        <v>292</v>
      </c>
      <c r="V5" s="49" t="s">
        <v>474</v>
      </c>
      <c r="W5" s="50">
        <v>0.22222222222222221</v>
      </c>
      <c r="X5" s="51" t="s">
        <v>473</v>
      </c>
    </row>
    <row r="6" spans="2:24" ht="43.5" x14ac:dyDescent="0.35">
      <c r="B6" s="32" t="s">
        <v>14</v>
      </c>
      <c r="C6" s="32" t="s">
        <v>26</v>
      </c>
      <c r="D6" s="49" t="s">
        <v>462</v>
      </c>
      <c r="E6" s="50">
        <v>0.56200000000000006</v>
      </c>
      <c r="F6" s="51" t="s">
        <v>463</v>
      </c>
      <c r="G6" s="49" t="s">
        <v>475</v>
      </c>
      <c r="H6" s="50">
        <v>0.38703313814779855</v>
      </c>
      <c r="I6" s="51" t="s">
        <v>998</v>
      </c>
      <c r="J6" s="52" t="s">
        <v>292</v>
      </c>
      <c r="K6" s="53" t="s">
        <v>292</v>
      </c>
      <c r="L6" s="49" t="s">
        <v>471</v>
      </c>
      <c r="M6" s="52" t="s">
        <v>292</v>
      </c>
      <c r="N6" s="53" t="s">
        <v>292</v>
      </c>
      <c r="O6" s="49" t="s">
        <v>466</v>
      </c>
      <c r="P6" s="50">
        <v>0</v>
      </c>
      <c r="Q6" s="51" t="s">
        <v>467</v>
      </c>
      <c r="R6" s="38" t="s">
        <v>301</v>
      </c>
      <c r="S6" s="49" t="s">
        <v>472</v>
      </c>
      <c r="T6" s="52" t="s">
        <v>292</v>
      </c>
      <c r="U6" s="53" t="s">
        <v>292</v>
      </c>
      <c r="V6" s="49" t="s">
        <v>469</v>
      </c>
      <c r="W6" s="52" t="s">
        <v>292</v>
      </c>
      <c r="X6" s="53" t="s">
        <v>292</v>
      </c>
    </row>
    <row r="7" spans="2:24" ht="43.5" x14ac:dyDescent="0.35">
      <c r="B7" s="32" t="s">
        <v>14</v>
      </c>
      <c r="C7" s="32" t="s">
        <v>20</v>
      </c>
      <c r="D7" s="49" t="s">
        <v>476</v>
      </c>
      <c r="E7" s="50">
        <v>0.32100000000000001</v>
      </c>
      <c r="F7" s="51" t="s">
        <v>463</v>
      </c>
      <c r="G7" s="49" t="s">
        <v>477</v>
      </c>
      <c r="H7" s="52" t="s">
        <v>292</v>
      </c>
      <c r="I7" s="53" t="s">
        <v>292</v>
      </c>
      <c r="J7" s="52" t="s">
        <v>292</v>
      </c>
      <c r="K7" s="53" t="s">
        <v>292</v>
      </c>
      <c r="L7" s="49" t="s">
        <v>465</v>
      </c>
      <c r="M7" s="52" t="s">
        <v>292</v>
      </c>
      <c r="N7" s="53" t="s">
        <v>292</v>
      </c>
      <c r="O7" s="49" t="s">
        <v>466</v>
      </c>
      <c r="P7" s="50">
        <v>0</v>
      </c>
      <c r="Q7" s="51" t="s">
        <v>467</v>
      </c>
      <c r="R7" s="38" t="s">
        <v>301</v>
      </c>
      <c r="S7" s="49" t="s">
        <v>468</v>
      </c>
      <c r="T7" s="52" t="s">
        <v>292</v>
      </c>
      <c r="U7" s="53" t="s">
        <v>292</v>
      </c>
      <c r="V7" s="49" t="s">
        <v>469</v>
      </c>
      <c r="W7" s="50">
        <v>0.86099999999999999</v>
      </c>
      <c r="X7" s="51" t="s">
        <v>473</v>
      </c>
    </row>
    <row r="8" spans="2:24" ht="43.5" x14ac:dyDescent="0.35">
      <c r="B8" s="32" t="s">
        <v>14</v>
      </c>
      <c r="C8" s="32" t="s">
        <v>21</v>
      </c>
      <c r="D8" s="49" t="s">
        <v>476</v>
      </c>
      <c r="E8" s="50">
        <v>0.32100000000000001</v>
      </c>
      <c r="F8" s="51" t="s">
        <v>463</v>
      </c>
      <c r="G8" s="49" t="s">
        <v>477</v>
      </c>
      <c r="H8" s="52" t="s">
        <v>292</v>
      </c>
      <c r="I8" s="53" t="s">
        <v>292</v>
      </c>
      <c r="J8" s="52" t="s">
        <v>292</v>
      </c>
      <c r="K8" s="53" t="s">
        <v>292</v>
      </c>
      <c r="L8" s="49" t="s">
        <v>465</v>
      </c>
      <c r="M8" s="52" t="s">
        <v>292</v>
      </c>
      <c r="N8" s="53" t="s">
        <v>292</v>
      </c>
      <c r="O8" s="49" t="s">
        <v>466</v>
      </c>
      <c r="P8" s="50">
        <v>0</v>
      </c>
      <c r="Q8" s="51" t="s">
        <v>467</v>
      </c>
      <c r="R8" s="38" t="s">
        <v>301</v>
      </c>
      <c r="S8" s="49" t="s">
        <v>468</v>
      </c>
      <c r="T8" s="52" t="s">
        <v>292</v>
      </c>
      <c r="U8" s="53" t="s">
        <v>292</v>
      </c>
      <c r="V8" s="49" t="s">
        <v>474</v>
      </c>
      <c r="W8" s="50">
        <v>0.13900000000000001</v>
      </c>
      <c r="X8" s="51" t="s">
        <v>473</v>
      </c>
    </row>
    <row r="9" spans="2:24" ht="29" x14ac:dyDescent="0.35">
      <c r="B9" s="32" t="s">
        <v>14</v>
      </c>
      <c r="C9" s="32" t="s">
        <v>16</v>
      </c>
      <c r="D9" s="49" t="s">
        <v>478</v>
      </c>
      <c r="E9" s="50">
        <v>0.105</v>
      </c>
      <c r="F9" s="51" t="s">
        <v>463</v>
      </c>
      <c r="G9" s="49" t="s">
        <v>479</v>
      </c>
      <c r="H9" s="50">
        <v>0.40386940749697703</v>
      </c>
      <c r="I9" s="51" t="s">
        <v>999</v>
      </c>
      <c r="J9" s="52" t="s">
        <v>292</v>
      </c>
      <c r="K9" s="53" t="s">
        <v>292</v>
      </c>
      <c r="L9" s="49" t="s">
        <v>465</v>
      </c>
      <c r="M9" s="52" t="s">
        <v>292</v>
      </c>
      <c r="N9" s="53" t="s">
        <v>292</v>
      </c>
      <c r="O9" s="49" t="s">
        <v>466</v>
      </c>
      <c r="P9" s="50">
        <v>0</v>
      </c>
      <c r="Q9" s="51" t="s">
        <v>467</v>
      </c>
      <c r="R9" s="38" t="s">
        <v>301</v>
      </c>
      <c r="S9" s="49" t="s">
        <v>468</v>
      </c>
      <c r="T9" s="52" t="s">
        <v>292</v>
      </c>
      <c r="U9" s="53" t="s">
        <v>292</v>
      </c>
      <c r="V9" s="49" t="s">
        <v>469</v>
      </c>
      <c r="W9" s="52" t="s">
        <v>292</v>
      </c>
      <c r="X9" s="53" t="s">
        <v>292</v>
      </c>
    </row>
    <row r="10" spans="2:24" ht="29" x14ac:dyDescent="0.35">
      <c r="B10" s="32" t="s">
        <v>14</v>
      </c>
      <c r="C10" s="32" t="s">
        <v>18</v>
      </c>
      <c r="D10" s="49" t="s">
        <v>478</v>
      </c>
      <c r="E10" s="50">
        <v>0.105</v>
      </c>
      <c r="F10" s="51" t="s">
        <v>463</v>
      </c>
      <c r="G10" s="49" t="s">
        <v>480</v>
      </c>
      <c r="H10" s="50">
        <v>0.45852478839177746</v>
      </c>
      <c r="I10" s="51" t="s">
        <v>999</v>
      </c>
      <c r="J10" s="52" t="s">
        <v>292</v>
      </c>
      <c r="K10" s="53" t="s">
        <v>292</v>
      </c>
      <c r="L10" s="49" t="s">
        <v>465</v>
      </c>
      <c r="M10" s="52" t="s">
        <v>292</v>
      </c>
      <c r="N10" s="53" t="s">
        <v>292</v>
      </c>
      <c r="O10" s="49" t="s">
        <v>466</v>
      </c>
      <c r="P10" s="50">
        <v>0</v>
      </c>
      <c r="Q10" s="51" t="s">
        <v>467</v>
      </c>
      <c r="R10" s="38" t="s">
        <v>301</v>
      </c>
      <c r="S10" s="49" t="s">
        <v>468</v>
      </c>
      <c r="T10" s="52" t="s">
        <v>292</v>
      </c>
      <c r="U10" s="53" t="s">
        <v>292</v>
      </c>
      <c r="V10" s="49" t="s">
        <v>469</v>
      </c>
      <c r="W10" s="52" t="s">
        <v>292</v>
      </c>
      <c r="X10" s="53" t="s">
        <v>292</v>
      </c>
    </row>
    <row r="11" spans="2:24" ht="29.5" thickBot="1" x14ac:dyDescent="0.4">
      <c r="B11" s="61" t="s">
        <v>14</v>
      </c>
      <c r="C11" s="61" t="s">
        <v>28</v>
      </c>
      <c r="D11" s="62" t="s">
        <v>478</v>
      </c>
      <c r="E11" s="63">
        <v>0.105</v>
      </c>
      <c r="F11" s="64" t="s">
        <v>463</v>
      </c>
      <c r="G11" s="62" t="s">
        <v>481</v>
      </c>
      <c r="H11" s="63">
        <v>0.13760580411124546</v>
      </c>
      <c r="I11" s="64" t="s">
        <v>999</v>
      </c>
      <c r="J11" s="71" t="s">
        <v>292</v>
      </c>
      <c r="K11" s="72" t="s">
        <v>292</v>
      </c>
      <c r="L11" s="62" t="s">
        <v>465</v>
      </c>
      <c r="M11" s="71" t="s">
        <v>292</v>
      </c>
      <c r="N11" s="72" t="s">
        <v>292</v>
      </c>
      <c r="O11" s="62" t="s">
        <v>466</v>
      </c>
      <c r="P11" s="63">
        <v>0</v>
      </c>
      <c r="Q11" s="64" t="s">
        <v>467</v>
      </c>
      <c r="R11" s="65" t="s">
        <v>301</v>
      </c>
      <c r="S11" s="62" t="s">
        <v>468</v>
      </c>
      <c r="T11" s="71" t="s">
        <v>292</v>
      </c>
      <c r="U11" s="72" t="s">
        <v>292</v>
      </c>
      <c r="V11" s="62" t="s">
        <v>469</v>
      </c>
      <c r="W11" s="71" t="s">
        <v>292</v>
      </c>
      <c r="X11" s="72" t="s">
        <v>292</v>
      </c>
    </row>
    <row r="12" spans="2:24" ht="15.5" thickTop="1" thickBot="1" x14ac:dyDescent="0.4">
      <c r="B12" s="66" t="s">
        <v>29</v>
      </c>
      <c r="C12" s="66" t="s">
        <v>31</v>
      </c>
      <c r="D12" s="67" t="s">
        <v>482</v>
      </c>
      <c r="E12" s="68">
        <v>0.502</v>
      </c>
      <c r="F12" s="69" t="s">
        <v>463</v>
      </c>
      <c r="G12" s="70" t="s">
        <v>301</v>
      </c>
      <c r="H12" s="79" t="s">
        <v>292</v>
      </c>
      <c r="I12" s="80" t="s">
        <v>292</v>
      </c>
      <c r="J12" s="79" t="s">
        <v>292</v>
      </c>
      <c r="K12" s="80" t="s">
        <v>292</v>
      </c>
      <c r="L12" s="67" t="s">
        <v>483</v>
      </c>
      <c r="M12" s="79" t="s">
        <v>292</v>
      </c>
      <c r="N12" s="80" t="s">
        <v>292</v>
      </c>
      <c r="O12" s="67" t="s">
        <v>466</v>
      </c>
      <c r="P12" s="68">
        <v>0.08</v>
      </c>
      <c r="Q12" s="69" t="s">
        <v>440</v>
      </c>
      <c r="R12" s="70" t="s">
        <v>301</v>
      </c>
      <c r="S12" s="70" t="s">
        <v>484</v>
      </c>
      <c r="T12" s="79" t="s">
        <v>292</v>
      </c>
      <c r="U12" s="80" t="s">
        <v>292</v>
      </c>
      <c r="V12" s="67" t="s">
        <v>485</v>
      </c>
      <c r="W12" s="79" t="s">
        <v>292</v>
      </c>
      <c r="X12" s="80" t="s">
        <v>292</v>
      </c>
    </row>
    <row r="13" spans="2:24" ht="44" thickTop="1" x14ac:dyDescent="0.35">
      <c r="B13" s="54" t="s">
        <v>32</v>
      </c>
      <c r="C13" s="54" t="s">
        <v>34</v>
      </c>
      <c r="D13" s="55" t="s">
        <v>486</v>
      </c>
      <c r="E13" s="56">
        <v>0.44799999999999995</v>
      </c>
      <c r="F13" s="57" t="s">
        <v>463</v>
      </c>
      <c r="G13" s="60" t="s">
        <v>301</v>
      </c>
      <c r="H13" s="58" t="s">
        <v>292</v>
      </c>
      <c r="I13" s="59" t="s">
        <v>292</v>
      </c>
      <c r="J13" s="58" t="s">
        <v>292</v>
      </c>
      <c r="K13" s="59" t="s">
        <v>292</v>
      </c>
      <c r="L13" s="55" t="s">
        <v>487</v>
      </c>
      <c r="M13" s="56">
        <v>0.66943866943866948</v>
      </c>
      <c r="N13" s="57" t="s">
        <v>1011</v>
      </c>
      <c r="O13" s="55" t="s">
        <v>466</v>
      </c>
      <c r="P13" s="56">
        <v>0.01</v>
      </c>
      <c r="Q13" s="57" t="s">
        <v>467</v>
      </c>
      <c r="R13" s="60" t="s">
        <v>301</v>
      </c>
      <c r="S13" s="60" t="s">
        <v>484</v>
      </c>
      <c r="T13" s="58" t="s">
        <v>292</v>
      </c>
      <c r="U13" s="59" t="s">
        <v>292</v>
      </c>
      <c r="V13" s="55" t="s">
        <v>489</v>
      </c>
      <c r="W13" s="58" t="s">
        <v>292</v>
      </c>
      <c r="X13" s="59" t="s">
        <v>292</v>
      </c>
    </row>
    <row r="14" spans="2:24" ht="43.5" x14ac:dyDescent="0.35">
      <c r="B14" s="32" t="s">
        <v>32</v>
      </c>
      <c r="C14" s="32" t="s">
        <v>35</v>
      </c>
      <c r="D14" s="49" t="s">
        <v>486</v>
      </c>
      <c r="E14" s="50">
        <v>0.44799999999999995</v>
      </c>
      <c r="F14" s="51" t="s">
        <v>463</v>
      </c>
      <c r="G14" s="38" t="s">
        <v>301</v>
      </c>
      <c r="H14" s="52" t="s">
        <v>292</v>
      </c>
      <c r="I14" s="53" t="s">
        <v>292</v>
      </c>
      <c r="J14" s="52" t="s">
        <v>292</v>
      </c>
      <c r="K14" s="53" t="s">
        <v>292</v>
      </c>
      <c r="L14" s="49" t="s">
        <v>490</v>
      </c>
      <c r="M14" s="50">
        <v>0.33056133056133052</v>
      </c>
      <c r="N14" s="51" t="s">
        <v>1011</v>
      </c>
      <c r="O14" s="49" t="s">
        <v>466</v>
      </c>
      <c r="P14" s="50">
        <v>0.01</v>
      </c>
      <c r="Q14" s="51" t="s">
        <v>467</v>
      </c>
      <c r="R14" s="38" t="s">
        <v>301</v>
      </c>
      <c r="S14" s="38" t="s">
        <v>484</v>
      </c>
      <c r="T14" s="52" t="s">
        <v>292</v>
      </c>
      <c r="U14" s="53" t="s">
        <v>292</v>
      </c>
      <c r="V14" s="49" t="s">
        <v>491</v>
      </c>
      <c r="W14" s="50">
        <v>0.91304347826086951</v>
      </c>
      <c r="X14" s="51" t="s">
        <v>488</v>
      </c>
    </row>
    <row r="15" spans="2:24" ht="43.5" x14ac:dyDescent="0.35">
      <c r="B15" s="32" t="s">
        <v>32</v>
      </c>
      <c r="C15" s="32" t="s">
        <v>36</v>
      </c>
      <c r="D15" s="49" t="s">
        <v>486</v>
      </c>
      <c r="E15" s="50">
        <v>0.44799999999999995</v>
      </c>
      <c r="F15" s="51" t="s">
        <v>463</v>
      </c>
      <c r="G15" s="38" t="s">
        <v>301</v>
      </c>
      <c r="H15" s="52" t="s">
        <v>292</v>
      </c>
      <c r="I15" s="53" t="s">
        <v>292</v>
      </c>
      <c r="J15" s="52" t="s">
        <v>292</v>
      </c>
      <c r="K15" s="53" t="s">
        <v>292</v>
      </c>
      <c r="L15" s="49" t="s">
        <v>490</v>
      </c>
      <c r="M15" s="50">
        <v>0.33056133056133052</v>
      </c>
      <c r="N15" s="51" t="s">
        <v>1011</v>
      </c>
      <c r="O15" s="49" t="s">
        <v>466</v>
      </c>
      <c r="P15" s="50">
        <v>0.01</v>
      </c>
      <c r="Q15" s="51" t="s">
        <v>467</v>
      </c>
      <c r="R15" s="38" t="s">
        <v>301</v>
      </c>
      <c r="S15" s="38" t="s">
        <v>484</v>
      </c>
      <c r="T15" s="52" t="s">
        <v>292</v>
      </c>
      <c r="U15" s="53" t="s">
        <v>292</v>
      </c>
      <c r="V15" s="49" t="s">
        <v>492</v>
      </c>
      <c r="W15" s="50">
        <v>8.6956521739130488E-2</v>
      </c>
      <c r="X15" s="51" t="s">
        <v>488</v>
      </c>
    </row>
    <row r="16" spans="2:24" ht="29" x14ac:dyDescent="0.35">
      <c r="B16" s="32" t="s">
        <v>32</v>
      </c>
      <c r="C16" s="32" t="s">
        <v>38</v>
      </c>
      <c r="D16" s="49" t="s">
        <v>462</v>
      </c>
      <c r="E16" s="50">
        <v>3.3000000000000002E-2</v>
      </c>
      <c r="F16" s="51" t="s">
        <v>463</v>
      </c>
      <c r="G16" s="49" t="s">
        <v>493</v>
      </c>
      <c r="H16" s="52" t="s">
        <v>292</v>
      </c>
      <c r="I16" s="53" t="s">
        <v>292</v>
      </c>
      <c r="J16" s="52" t="s">
        <v>292</v>
      </c>
      <c r="K16" s="53" t="s">
        <v>292</v>
      </c>
      <c r="L16" s="49" t="s">
        <v>494</v>
      </c>
      <c r="M16" s="52" t="s">
        <v>292</v>
      </c>
      <c r="N16" s="53" t="s">
        <v>292</v>
      </c>
      <c r="O16" s="49" t="s">
        <v>466</v>
      </c>
      <c r="P16" s="50">
        <v>0.01</v>
      </c>
      <c r="Q16" s="51" t="s">
        <v>467</v>
      </c>
      <c r="R16" s="49" t="s">
        <v>495</v>
      </c>
      <c r="S16" s="38" t="s">
        <v>484</v>
      </c>
      <c r="T16" s="52" t="s">
        <v>292</v>
      </c>
      <c r="U16" s="53" t="s">
        <v>292</v>
      </c>
      <c r="V16" s="49" t="s">
        <v>496</v>
      </c>
      <c r="W16" s="50">
        <v>0.67</v>
      </c>
      <c r="X16" s="51" t="s">
        <v>497</v>
      </c>
    </row>
    <row r="17" spans="2:24" ht="29" x14ac:dyDescent="0.35">
      <c r="B17" s="32" t="s">
        <v>32</v>
      </c>
      <c r="C17" s="32" t="s">
        <v>39</v>
      </c>
      <c r="D17" s="49" t="s">
        <v>462</v>
      </c>
      <c r="E17" s="50">
        <v>3.3000000000000002E-2</v>
      </c>
      <c r="F17" s="51" t="s">
        <v>463</v>
      </c>
      <c r="G17" s="49" t="s">
        <v>493</v>
      </c>
      <c r="H17" s="52" t="s">
        <v>292</v>
      </c>
      <c r="I17" s="53" t="s">
        <v>292</v>
      </c>
      <c r="J17" s="52" t="s">
        <v>292</v>
      </c>
      <c r="K17" s="53" t="s">
        <v>292</v>
      </c>
      <c r="L17" s="49" t="s">
        <v>494</v>
      </c>
      <c r="M17" s="52" t="s">
        <v>292</v>
      </c>
      <c r="N17" s="53" t="s">
        <v>292</v>
      </c>
      <c r="O17" s="49" t="s">
        <v>466</v>
      </c>
      <c r="P17" s="50">
        <v>0.01</v>
      </c>
      <c r="Q17" s="51" t="s">
        <v>467</v>
      </c>
      <c r="R17" s="49" t="s">
        <v>498</v>
      </c>
      <c r="S17" s="38" t="s">
        <v>484</v>
      </c>
      <c r="T17" s="50">
        <v>0.5</v>
      </c>
      <c r="U17" s="51" t="s">
        <v>499</v>
      </c>
      <c r="V17" s="49" t="s">
        <v>489</v>
      </c>
      <c r="W17" s="50">
        <v>0.32999999999999996</v>
      </c>
      <c r="X17" s="51" t="s">
        <v>497</v>
      </c>
    </row>
    <row r="18" spans="2:24" ht="29.5" thickBot="1" x14ac:dyDescent="0.4">
      <c r="B18" s="61" t="s">
        <v>32</v>
      </c>
      <c r="C18" s="61" t="s">
        <v>40</v>
      </c>
      <c r="D18" s="62" t="s">
        <v>462</v>
      </c>
      <c r="E18" s="63">
        <v>3.3000000000000002E-2</v>
      </c>
      <c r="F18" s="64" t="s">
        <v>463</v>
      </c>
      <c r="G18" s="62" t="s">
        <v>493</v>
      </c>
      <c r="H18" s="71" t="s">
        <v>292</v>
      </c>
      <c r="I18" s="72" t="s">
        <v>292</v>
      </c>
      <c r="J18" s="71" t="s">
        <v>292</v>
      </c>
      <c r="K18" s="72" t="s">
        <v>292</v>
      </c>
      <c r="L18" s="62" t="s">
        <v>494</v>
      </c>
      <c r="M18" s="71" t="s">
        <v>292</v>
      </c>
      <c r="N18" s="72" t="s">
        <v>292</v>
      </c>
      <c r="O18" s="62" t="s">
        <v>466</v>
      </c>
      <c r="P18" s="63">
        <v>0.01</v>
      </c>
      <c r="Q18" s="64" t="s">
        <v>467</v>
      </c>
      <c r="R18" s="62" t="s">
        <v>500</v>
      </c>
      <c r="S18" s="65" t="s">
        <v>484</v>
      </c>
      <c r="T18" s="63">
        <v>0.5</v>
      </c>
      <c r="U18" s="64" t="s">
        <v>499</v>
      </c>
      <c r="V18" s="62" t="s">
        <v>489</v>
      </c>
      <c r="W18" s="63">
        <v>0.32999999999999996</v>
      </c>
      <c r="X18" s="64" t="s">
        <v>497</v>
      </c>
    </row>
    <row r="19" spans="2:24" ht="29.5" thickTop="1" x14ac:dyDescent="0.35">
      <c r="B19" s="54" t="s">
        <v>41</v>
      </c>
      <c r="C19" s="54" t="s">
        <v>45</v>
      </c>
      <c r="D19" s="55" t="s">
        <v>501</v>
      </c>
      <c r="E19" s="56">
        <v>1</v>
      </c>
      <c r="F19" s="57" t="s">
        <v>502</v>
      </c>
      <c r="G19" s="60" t="s">
        <v>301</v>
      </c>
      <c r="H19" s="58" t="s">
        <v>292</v>
      </c>
      <c r="I19" s="59" t="s">
        <v>292</v>
      </c>
      <c r="J19" s="58" t="s">
        <v>292</v>
      </c>
      <c r="K19" s="59" t="s">
        <v>292</v>
      </c>
      <c r="L19" s="55" t="s">
        <v>503</v>
      </c>
      <c r="M19" s="56">
        <v>0.58710560473645679</v>
      </c>
      <c r="N19" s="57" t="s">
        <v>1012</v>
      </c>
      <c r="O19" s="55" t="s">
        <v>466</v>
      </c>
      <c r="P19" s="56">
        <v>0</v>
      </c>
      <c r="Q19" s="57" t="s">
        <v>505</v>
      </c>
      <c r="R19" s="60" t="s">
        <v>301</v>
      </c>
      <c r="S19" s="60" t="s">
        <v>292</v>
      </c>
      <c r="T19" s="58" t="s">
        <v>292</v>
      </c>
      <c r="U19" s="59" t="s">
        <v>292</v>
      </c>
      <c r="V19" s="55" t="s">
        <v>506</v>
      </c>
      <c r="W19" s="58" t="s">
        <v>292</v>
      </c>
      <c r="X19" s="59" t="s">
        <v>292</v>
      </c>
    </row>
    <row r="20" spans="2:24" ht="29.5" thickBot="1" x14ac:dyDescent="0.4">
      <c r="B20" s="61" t="s">
        <v>41</v>
      </c>
      <c r="C20" s="61" t="s">
        <v>43</v>
      </c>
      <c r="D20" s="62" t="s">
        <v>462</v>
      </c>
      <c r="E20" s="63">
        <v>0.62958806952022817</v>
      </c>
      <c r="F20" s="64" t="s">
        <v>507</v>
      </c>
      <c r="G20" s="62" t="s">
        <v>508</v>
      </c>
      <c r="H20" s="71" t="s">
        <v>292</v>
      </c>
      <c r="I20" s="72" t="s">
        <v>292</v>
      </c>
      <c r="J20" s="71" t="s">
        <v>292</v>
      </c>
      <c r="K20" s="72" t="s">
        <v>292</v>
      </c>
      <c r="L20" s="62" t="s">
        <v>509</v>
      </c>
      <c r="M20" s="63">
        <v>0.41289439526354321</v>
      </c>
      <c r="N20" s="64" t="s">
        <v>1012</v>
      </c>
      <c r="O20" s="62" t="s">
        <v>466</v>
      </c>
      <c r="P20" s="63">
        <v>0</v>
      </c>
      <c r="Q20" s="64" t="s">
        <v>510</v>
      </c>
      <c r="R20" s="65" t="s">
        <v>301</v>
      </c>
      <c r="S20" s="65" t="s">
        <v>292</v>
      </c>
      <c r="T20" s="71" t="s">
        <v>292</v>
      </c>
      <c r="U20" s="72" t="s">
        <v>292</v>
      </c>
      <c r="V20" s="62" t="s">
        <v>509</v>
      </c>
      <c r="W20" s="71" t="s">
        <v>292</v>
      </c>
      <c r="X20" s="72" t="s">
        <v>292</v>
      </c>
    </row>
    <row r="21" spans="2:24" ht="29.5" thickTop="1" x14ac:dyDescent="0.35">
      <c r="B21" s="54" t="s">
        <v>46</v>
      </c>
      <c r="C21" s="54" t="s">
        <v>48</v>
      </c>
      <c r="D21" s="55" t="s">
        <v>462</v>
      </c>
      <c r="E21" s="56">
        <v>0.90599999999999992</v>
      </c>
      <c r="F21" s="57" t="s">
        <v>463</v>
      </c>
      <c r="G21" s="60" t="s">
        <v>301</v>
      </c>
      <c r="H21" s="58" t="s">
        <v>292</v>
      </c>
      <c r="I21" s="59" t="s">
        <v>292</v>
      </c>
      <c r="J21" s="58" t="s">
        <v>292</v>
      </c>
      <c r="K21" s="59" t="s">
        <v>292</v>
      </c>
      <c r="L21" s="55" t="s">
        <v>511</v>
      </c>
      <c r="M21" s="58" t="s">
        <v>292</v>
      </c>
      <c r="N21" s="59" t="s">
        <v>292</v>
      </c>
      <c r="O21" s="55" t="s">
        <v>466</v>
      </c>
      <c r="P21" s="56">
        <v>0.14000000000000001</v>
      </c>
      <c r="Q21" s="57" t="s">
        <v>440</v>
      </c>
      <c r="R21" s="55" t="s">
        <v>512</v>
      </c>
      <c r="S21" s="55" t="s">
        <v>472</v>
      </c>
      <c r="T21" s="58" t="s">
        <v>292</v>
      </c>
      <c r="U21" s="59" t="s">
        <v>292</v>
      </c>
      <c r="V21" s="55" t="s">
        <v>513</v>
      </c>
      <c r="W21" s="58" t="s">
        <v>292</v>
      </c>
      <c r="X21" s="59" t="s">
        <v>292</v>
      </c>
    </row>
    <row r="22" spans="2:24" ht="29.5" thickBot="1" x14ac:dyDescent="0.4">
      <c r="B22" s="61" t="s">
        <v>46</v>
      </c>
      <c r="C22" s="61" t="s">
        <v>50</v>
      </c>
      <c r="D22" s="62" t="s">
        <v>514</v>
      </c>
      <c r="E22" s="63">
        <v>1.8000000000000002E-2</v>
      </c>
      <c r="F22" s="64" t="s">
        <v>463</v>
      </c>
      <c r="G22" s="65" t="s">
        <v>301</v>
      </c>
      <c r="H22" s="71" t="s">
        <v>292</v>
      </c>
      <c r="I22" s="72" t="s">
        <v>292</v>
      </c>
      <c r="J22" s="71" t="s">
        <v>292</v>
      </c>
      <c r="K22" s="72" t="s">
        <v>292</v>
      </c>
      <c r="L22" s="62" t="s">
        <v>511</v>
      </c>
      <c r="M22" s="71" t="s">
        <v>292</v>
      </c>
      <c r="N22" s="72" t="s">
        <v>292</v>
      </c>
      <c r="O22" s="62" t="s">
        <v>466</v>
      </c>
      <c r="P22" s="63">
        <v>0.14000000000000001</v>
      </c>
      <c r="Q22" s="64" t="s">
        <v>440</v>
      </c>
      <c r="R22" s="62" t="s">
        <v>515</v>
      </c>
      <c r="S22" s="62" t="s">
        <v>472</v>
      </c>
      <c r="T22" s="71" t="s">
        <v>292</v>
      </c>
      <c r="U22" s="72" t="s">
        <v>292</v>
      </c>
      <c r="V22" s="62" t="s">
        <v>513</v>
      </c>
      <c r="W22" s="71" t="s">
        <v>292</v>
      </c>
      <c r="X22" s="72" t="s">
        <v>292</v>
      </c>
    </row>
    <row r="23" spans="2:24" ht="15" thickTop="1" x14ac:dyDescent="0.35">
      <c r="B23" s="54" t="s">
        <v>51</v>
      </c>
      <c r="C23" s="54" t="s">
        <v>55</v>
      </c>
      <c r="D23" s="55" t="s">
        <v>462</v>
      </c>
      <c r="E23" s="56">
        <v>0.56185154373793333</v>
      </c>
      <c r="F23" s="57" t="s">
        <v>516</v>
      </c>
      <c r="G23" s="60" t="s">
        <v>301</v>
      </c>
      <c r="H23" s="58" t="s">
        <v>292</v>
      </c>
      <c r="I23" s="59" t="s">
        <v>292</v>
      </c>
      <c r="J23" s="58" t="s">
        <v>292</v>
      </c>
      <c r="K23" s="59" t="s">
        <v>292</v>
      </c>
      <c r="L23" s="55" t="s">
        <v>517</v>
      </c>
      <c r="M23" s="58" t="s">
        <v>292</v>
      </c>
      <c r="N23" s="59" t="s">
        <v>292</v>
      </c>
      <c r="O23" s="55" t="s">
        <v>466</v>
      </c>
      <c r="P23" s="56">
        <v>0.16</v>
      </c>
      <c r="Q23" s="57" t="s">
        <v>440</v>
      </c>
      <c r="R23" s="60" t="s">
        <v>301</v>
      </c>
      <c r="S23" s="55" t="s">
        <v>472</v>
      </c>
      <c r="T23" s="58" t="s">
        <v>292</v>
      </c>
      <c r="U23" s="59" t="s">
        <v>292</v>
      </c>
      <c r="V23" s="55" t="s">
        <v>518</v>
      </c>
      <c r="W23" s="58" t="s">
        <v>292</v>
      </c>
      <c r="X23" s="59" t="s">
        <v>292</v>
      </c>
    </row>
    <row r="24" spans="2:24" ht="29" x14ac:dyDescent="0.35">
      <c r="B24" s="32" t="s">
        <v>51</v>
      </c>
      <c r="C24" s="32" t="s">
        <v>53</v>
      </c>
      <c r="D24" s="49" t="s">
        <v>462</v>
      </c>
      <c r="E24" s="50">
        <v>0.56185154373793333</v>
      </c>
      <c r="F24" s="51" t="s">
        <v>519</v>
      </c>
      <c r="G24" s="38" t="s">
        <v>301</v>
      </c>
      <c r="H24" s="52" t="s">
        <v>292</v>
      </c>
      <c r="I24" s="53" t="s">
        <v>292</v>
      </c>
      <c r="J24" s="52" t="s">
        <v>292</v>
      </c>
      <c r="K24" s="53" t="s">
        <v>292</v>
      </c>
      <c r="L24" s="49" t="s">
        <v>520</v>
      </c>
      <c r="M24" s="52" t="s">
        <v>292</v>
      </c>
      <c r="N24" s="53" t="s">
        <v>292</v>
      </c>
      <c r="O24" s="49" t="s">
        <v>521</v>
      </c>
      <c r="P24" s="50">
        <v>0.16</v>
      </c>
      <c r="Q24" s="51" t="s">
        <v>440</v>
      </c>
      <c r="R24" s="38" t="s">
        <v>301</v>
      </c>
      <c r="S24" s="49" t="s">
        <v>522</v>
      </c>
      <c r="T24" s="52" t="s">
        <v>292</v>
      </c>
      <c r="U24" s="53" t="s">
        <v>292</v>
      </c>
      <c r="V24" s="49" t="s">
        <v>518</v>
      </c>
      <c r="W24" s="52" t="s">
        <v>292</v>
      </c>
      <c r="X24" s="53" t="s">
        <v>292</v>
      </c>
    </row>
    <row r="25" spans="2:24" x14ac:dyDescent="0.35">
      <c r="B25" s="32" t="s">
        <v>51</v>
      </c>
      <c r="C25" s="32" t="s">
        <v>62</v>
      </c>
      <c r="D25" s="49" t="s">
        <v>523</v>
      </c>
      <c r="E25" s="50">
        <v>8.8747272755811582E-2</v>
      </c>
      <c r="F25" s="51" t="s">
        <v>516</v>
      </c>
      <c r="G25" s="38" t="s">
        <v>301</v>
      </c>
      <c r="H25" s="52" t="s">
        <v>292</v>
      </c>
      <c r="I25" s="53" t="s">
        <v>292</v>
      </c>
      <c r="J25" s="52" t="s">
        <v>292</v>
      </c>
      <c r="K25" s="53" t="s">
        <v>292</v>
      </c>
      <c r="L25" s="49" t="s">
        <v>517</v>
      </c>
      <c r="M25" s="52" t="s">
        <v>292</v>
      </c>
      <c r="N25" s="53" t="s">
        <v>292</v>
      </c>
      <c r="O25" s="49" t="s">
        <v>466</v>
      </c>
      <c r="P25" s="50">
        <v>0.16</v>
      </c>
      <c r="Q25" s="51" t="s">
        <v>440</v>
      </c>
      <c r="R25" s="38" t="s">
        <v>301</v>
      </c>
      <c r="S25" s="49" t="s">
        <v>472</v>
      </c>
      <c r="T25" s="52" t="s">
        <v>292</v>
      </c>
      <c r="U25" s="53" t="s">
        <v>292</v>
      </c>
      <c r="V25" s="49" t="s">
        <v>518</v>
      </c>
      <c r="W25" s="52" t="s">
        <v>292</v>
      </c>
      <c r="X25" s="53" t="s">
        <v>292</v>
      </c>
    </row>
    <row r="26" spans="2:24" x14ac:dyDescent="0.35">
      <c r="B26" s="32" t="s">
        <v>51</v>
      </c>
      <c r="C26" s="32" t="s">
        <v>64</v>
      </c>
      <c r="D26" s="49" t="s">
        <v>524</v>
      </c>
      <c r="E26" s="50">
        <v>8.5670784347580409E-2</v>
      </c>
      <c r="F26" s="51" t="s">
        <v>516</v>
      </c>
      <c r="G26" s="38" t="s">
        <v>301</v>
      </c>
      <c r="H26" s="52" t="s">
        <v>292</v>
      </c>
      <c r="I26" s="53" t="s">
        <v>292</v>
      </c>
      <c r="J26" s="52" t="s">
        <v>292</v>
      </c>
      <c r="K26" s="53" t="s">
        <v>292</v>
      </c>
      <c r="L26" s="49" t="s">
        <v>517</v>
      </c>
      <c r="M26" s="52" t="s">
        <v>292</v>
      </c>
      <c r="N26" s="53" t="s">
        <v>292</v>
      </c>
      <c r="O26" s="49" t="s">
        <v>466</v>
      </c>
      <c r="P26" s="50">
        <v>0.16</v>
      </c>
      <c r="Q26" s="51" t="s">
        <v>440</v>
      </c>
      <c r="R26" s="38" t="s">
        <v>301</v>
      </c>
      <c r="S26" s="49" t="s">
        <v>472</v>
      </c>
      <c r="T26" s="52" t="s">
        <v>292</v>
      </c>
      <c r="U26" s="53" t="s">
        <v>292</v>
      </c>
      <c r="V26" s="49" t="s">
        <v>518</v>
      </c>
      <c r="W26" s="52" t="s">
        <v>292</v>
      </c>
      <c r="X26" s="53" t="s">
        <v>292</v>
      </c>
    </row>
    <row r="27" spans="2:24" x14ac:dyDescent="0.35">
      <c r="B27" s="32" t="s">
        <v>51</v>
      </c>
      <c r="C27" s="32" t="s">
        <v>61</v>
      </c>
      <c r="D27" s="49" t="s">
        <v>525</v>
      </c>
      <c r="E27" s="50">
        <v>6.9409345618358473E-2</v>
      </c>
      <c r="F27" s="51" t="s">
        <v>516</v>
      </c>
      <c r="G27" s="38" t="s">
        <v>301</v>
      </c>
      <c r="H27" s="52" t="s">
        <v>292</v>
      </c>
      <c r="I27" s="53" t="s">
        <v>292</v>
      </c>
      <c r="J27" s="52" t="s">
        <v>292</v>
      </c>
      <c r="K27" s="53" t="s">
        <v>292</v>
      </c>
      <c r="L27" s="49" t="s">
        <v>517</v>
      </c>
      <c r="M27" s="52" t="s">
        <v>292</v>
      </c>
      <c r="N27" s="53" t="s">
        <v>292</v>
      </c>
      <c r="O27" s="49" t="s">
        <v>466</v>
      </c>
      <c r="P27" s="50">
        <v>0.16</v>
      </c>
      <c r="Q27" s="51" t="s">
        <v>440</v>
      </c>
      <c r="R27" s="38" t="s">
        <v>301</v>
      </c>
      <c r="S27" s="49" t="s">
        <v>472</v>
      </c>
      <c r="T27" s="52" t="s">
        <v>292</v>
      </c>
      <c r="U27" s="53" t="s">
        <v>292</v>
      </c>
      <c r="V27" s="49" t="s">
        <v>518</v>
      </c>
      <c r="W27" s="52" t="s">
        <v>292</v>
      </c>
      <c r="X27" s="53" t="s">
        <v>292</v>
      </c>
    </row>
    <row r="28" spans="2:24" x14ac:dyDescent="0.35">
      <c r="B28" s="32" t="s">
        <v>51</v>
      </c>
      <c r="C28" s="32" t="s">
        <v>59</v>
      </c>
      <c r="D28" s="49" t="s">
        <v>526</v>
      </c>
      <c r="E28" s="50">
        <v>6.2016355616945809E-2</v>
      </c>
      <c r="F28" s="51" t="s">
        <v>516</v>
      </c>
      <c r="G28" s="38" t="s">
        <v>301</v>
      </c>
      <c r="H28" s="52" t="s">
        <v>292</v>
      </c>
      <c r="I28" s="53" t="s">
        <v>292</v>
      </c>
      <c r="J28" s="52" t="s">
        <v>292</v>
      </c>
      <c r="K28" s="53" t="s">
        <v>292</v>
      </c>
      <c r="L28" s="49" t="s">
        <v>517</v>
      </c>
      <c r="M28" s="52" t="s">
        <v>292</v>
      </c>
      <c r="N28" s="53" t="s">
        <v>292</v>
      </c>
      <c r="O28" s="49" t="s">
        <v>466</v>
      </c>
      <c r="P28" s="50">
        <v>0.16</v>
      </c>
      <c r="Q28" s="51" t="s">
        <v>440</v>
      </c>
      <c r="R28" s="38" t="s">
        <v>301</v>
      </c>
      <c r="S28" s="49" t="s">
        <v>472</v>
      </c>
      <c r="T28" s="52" t="s">
        <v>292</v>
      </c>
      <c r="U28" s="53" t="s">
        <v>292</v>
      </c>
      <c r="V28" s="49" t="s">
        <v>518</v>
      </c>
      <c r="W28" s="52" t="s">
        <v>292</v>
      </c>
      <c r="X28" s="53" t="s">
        <v>292</v>
      </c>
    </row>
    <row r="29" spans="2:24" ht="29" x14ac:dyDescent="0.35">
      <c r="B29" s="32" t="s">
        <v>51</v>
      </c>
      <c r="C29" s="32" t="s">
        <v>66</v>
      </c>
      <c r="D29" s="49" t="s">
        <v>526</v>
      </c>
      <c r="E29" s="50">
        <v>6.2016355616945809E-2</v>
      </c>
      <c r="F29" s="51" t="s">
        <v>519</v>
      </c>
      <c r="G29" s="38" t="s">
        <v>301</v>
      </c>
      <c r="H29" s="52" t="s">
        <v>292</v>
      </c>
      <c r="I29" s="53" t="s">
        <v>292</v>
      </c>
      <c r="J29" s="52" t="s">
        <v>292</v>
      </c>
      <c r="K29" s="53" t="s">
        <v>292</v>
      </c>
      <c r="L29" s="49" t="s">
        <v>520</v>
      </c>
      <c r="M29" s="52" t="s">
        <v>292</v>
      </c>
      <c r="N29" s="53" t="s">
        <v>292</v>
      </c>
      <c r="O29" s="49" t="s">
        <v>521</v>
      </c>
      <c r="P29" s="50">
        <v>0.16</v>
      </c>
      <c r="Q29" s="51" t="s">
        <v>440</v>
      </c>
      <c r="R29" s="38" t="s">
        <v>301</v>
      </c>
      <c r="S29" s="49" t="s">
        <v>522</v>
      </c>
      <c r="T29" s="52" t="s">
        <v>292</v>
      </c>
      <c r="U29" s="53" t="s">
        <v>292</v>
      </c>
      <c r="V29" s="49" t="s">
        <v>518</v>
      </c>
      <c r="W29" s="52" t="s">
        <v>292</v>
      </c>
      <c r="X29" s="53" t="s">
        <v>292</v>
      </c>
    </row>
    <row r="30" spans="2:24" x14ac:dyDescent="0.35">
      <c r="B30" s="32" t="s">
        <v>51</v>
      </c>
      <c r="C30" s="32" t="s">
        <v>60</v>
      </c>
      <c r="D30" s="49" t="s">
        <v>527</v>
      </c>
      <c r="E30" s="50">
        <v>5.8139352367797326E-2</v>
      </c>
      <c r="F30" s="51" t="s">
        <v>516</v>
      </c>
      <c r="G30" s="38" t="s">
        <v>301</v>
      </c>
      <c r="H30" s="52" t="s">
        <v>292</v>
      </c>
      <c r="I30" s="53" t="s">
        <v>292</v>
      </c>
      <c r="J30" s="52" t="s">
        <v>292</v>
      </c>
      <c r="K30" s="53" t="s">
        <v>292</v>
      </c>
      <c r="L30" s="49" t="s">
        <v>517</v>
      </c>
      <c r="M30" s="52" t="s">
        <v>292</v>
      </c>
      <c r="N30" s="53" t="s">
        <v>292</v>
      </c>
      <c r="O30" s="49" t="s">
        <v>466</v>
      </c>
      <c r="P30" s="50">
        <v>0.16</v>
      </c>
      <c r="Q30" s="51" t="s">
        <v>440</v>
      </c>
      <c r="R30" s="38" t="s">
        <v>301</v>
      </c>
      <c r="S30" s="49" t="s">
        <v>472</v>
      </c>
      <c r="T30" s="52" t="s">
        <v>292</v>
      </c>
      <c r="U30" s="53" t="s">
        <v>292</v>
      </c>
      <c r="V30" s="49" t="s">
        <v>518</v>
      </c>
      <c r="W30" s="52" t="s">
        <v>292</v>
      </c>
      <c r="X30" s="53" t="s">
        <v>292</v>
      </c>
    </row>
    <row r="31" spans="2:24" ht="29" x14ac:dyDescent="0.35">
      <c r="B31" s="32" t="s">
        <v>51</v>
      </c>
      <c r="C31" s="32" t="s">
        <v>68</v>
      </c>
      <c r="D31" s="49" t="s">
        <v>527</v>
      </c>
      <c r="E31" s="50">
        <v>5.8139352367797326E-2</v>
      </c>
      <c r="F31" s="51" t="s">
        <v>519</v>
      </c>
      <c r="G31" s="38" t="s">
        <v>301</v>
      </c>
      <c r="H31" s="52" t="s">
        <v>292</v>
      </c>
      <c r="I31" s="53" t="s">
        <v>292</v>
      </c>
      <c r="J31" s="52" t="s">
        <v>292</v>
      </c>
      <c r="K31" s="53" t="s">
        <v>292</v>
      </c>
      <c r="L31" s="49" t="s">
        <v>520</v>
      </c>
      <c r="M31" s="52" t="s">
        <v>292</v>
      </c>
      <c r="N31" s="53" t="s">
        <v>292</v>
      </c>
      <c r="O31" s="49" t="s">
        <v>521</v>
      </c>
      <c r="P31" s="50">
        <v>0.16</v>
      </c>
      <c r="Q31" s="51" t="s">
        <v>440</v>
      </c>
      <c r="R31" s="38" t="s">
        <v>301</v>
      </c>
      <c r="S31" s="49" t="s">
        <v>522</v>
      </c>
      <c r="T31" s="52" t="s">
        <v>292</v>
      </c>
      <c r="U31" s="53" t="s">
        <v>292</v>
      </c>
      <c r="V31" s="49" t="s">
        <v>518</v>
      </c>
      <c r="W31" s="52" t="s">
        <v>292</v>
      </c>
      <c r="X31" s="53" t="s">
        <v>292</v>
      </c>
    </row>
    <row r="32" spans="2:24" x14ac:dyDescent="0.35">
      <c r="B32" s="32" t="s">
        <v>51</v>
      </c>
      <c r="C32" s="32" t="s">
        <v>58</v>
      </c>
      <c r="D32" s="49" t="s">
        <v>528</v>
      </c>
      <c r="E32" s="50">
        <v>3.0168422043981225E-2</v>
      </c>
      <c r="F32" s="51" t="s">
        <v>516</v>
      </c>
      <c r="G32" s="38" t="s">
        <v>301</v>
      </c>
      <c r="H32" s="52" t="s">
        <v>292</v>
      </c>
      <c r="I32" s="53" t="s">
        <v>292</v>
      </c>
      <c r="J32" s="52" t="s">
        <v>292</v>
      </c>
      <c r="K32" s="53" t="s">
        <v>292</v>
      </c>
      <c r="L32" s="49" t="s">
        <v>517</v>
      </c>
      <c r="M32" s="52" t="s">
        <v>292</v>
      </c>
      <c r="N32" s="53" t="s">
        <v>292</v>
      </c>
      <c r="O32" s="49" t="s">
        <v>466</v>
      </c>
      <c r="P32" s="50">
        <v>0.16</v>
      </c>
      <c r="Q32" s="51" t="s">
        <v>440</v>
      </c>
      <c r="R32" s="38" t="s">
        <v>301</v>
      </c>
      <c r="S32" s="49" t="s">
        <v>472</v>
      </c>
      <c r="T32" s="52" t="s">
        <v>292</v>
      </c>
      <c r="U32" s="53" t="s">
        <v>292</v>
      </c>
      <c r="V32" s="49" t="s">
        <v>518</v>
      </c>
      <c r="W32" s="52" t="s">
        <v>292</v>
      </c>
      <c r="X32" s="53" t="s">
        <v>292</v>
      </c>
    </row>
    <row r="33" spans="2:24" x14ac:dyDescent="0.35">
      <c r="B33" s="32" t="s">
        <v>51</v>
      </c>
      <c r="C33" s="32" t="s">
        <v>63</v>
      </c>
      <c r="D33" s="49" t="s">
        <v>529</v>
      </c>
      <c r="E33" s="50">
        <v>2.6809398986014536E-2</v>
      </c>
      <c r="F33" s="51" t="s">
        <v>516</v>
      </c>
      <c r="G33" s="38" t="s">
        <v>301</v>
      </c>
      <c r="H33" s="52" t="s">
        <v>292</v>
      </c>
      <c r="I33" s="53" t="s">
        <v>292</v>
      </c>
      <c r="J33" s="52" t="s">
        <v>292</v>
      </c>
      <c r="K33" s="53" t="s">
        <v>292</v>
      </c>
      <c r="L33" s="49" t="s">
        <v>517</v>
      </c>
      <c r="M33" s="52" t="s">
        <v>292</v>
      </c>
      <c r="N33" s="53" t="s">
        <v>292</v>
      </c>
      <c r="O33" s="49" t="s">
        <v>466</v>
      </c>
      <c r="P33" s="50">
        <v>0.16</v>
      </c>
      <c r="Q33" s="51" t="s">
        <v>440</v>
      </c>
      <c r="R33" s="38" t="s">
        <v>301</v>
      </c>
      <c r="S33" s="49" t="s">
        <v>472</v>
      </c>
      <c r="T33" s="52" t="s">
        <v>292</v>
      </c>
      <c r="U33" s="53" t="s">
        <v>292</v>
      </c>
      <c r="V33" s="49" t="s">
        <v>518</v>
      </c>
      <c r="W33" s="52" t="s">
        <v>292</v>
      </c>
      <c r="X33" s="53" t="s">
        <v>292</v>
      </c>
    </row>
    <row r="34" spans="2:24" ht="15" thickBot="1" x14ac:dyDescent="0.4">
      <c r="B34" s="61" t="s">
        <v>51</v>
      </c>
      <c r="C34" s="61" t="s">
        <v>57</v>
      </c>
      <c r="D34" s="62" t="s">
        <v>530</v>
      </c>
      <c r="E34" s="63">
        <v>1.7187524525577237E-2</v>
      </c>
      <c r="F34" s="64" t="s">
        <v>516</v>
      </c>
      <c r="G34" s="65" t="s">
        <v>301</v>
      </c>
      <c r="H34" s="71" t="s">
        <v>292</v>
      </c>
      <c r="I34" s="72" t="s">
        <v>292</v>
      </c>
      <c r="J34" s="71" t="s">
        <v>292</v>
      </c>
      <c r="K34" s="72" t="s">
        <v>292</v>
      </c>
      <c r="L34" s="62" t="s">
        <v>517</v>
      </c>
      <c r="M34" s="71" t="s">
        <v>292</v>
      </c>
      <c r="N34" s="72" t="s">
        <v>292</v>
      </c>
      <c r="O34" s="62" t="s">
        <v>466</v>
      </c>
      <c r="P34" s="63">
        <v>0.16</v>
      </c>
      <c r="Q34" s="64" t="s">
        <v>440</v>
      </c>
      <c r="R34" s="65" t="s">
        <v>301</v>
      </c>
      <c r="S34" s="62" t="s">
        <v>472</v>
      </c>
      <c r="T34" s="71" t="s">
        <v>292</v>
      </c>
      <c r="U34" s="72" t="s">
        <v>292</v>
      </c>
      <c r="V34" s="62" t="s">
        <v>518</v>
      </c>
      <c r="W34" s="71" t="s">
        <v>292</v>
      </c>
      <c r="X34" s="72" t="s">
        <v>292</v>
      </c>
    </row>
    <row r="35" spans="2:24" ht="29.5" thickTop="1" x14ac:dyDescent="0.35">
      <c r="B35" s="54" t="s">
        <v>69</v>
      </c>
      <c r="C35" s="54" t="s">
        <v>71</v>
      </c>
      <c r="D35" s="55" t="s">
        <v>462</v>
      </c>
      <c r="E35" s="56">
        <v>0.76400000000000001</v>
      </c>
      <c r="F35" s="57" t="s">
        <v>463</v>
      </c>
      <c r="G35" s="60" t="s">
        <v>301</v>
      </c>
      <c r="H35" s="58" t="s">
        <v>292</v>
      </c>
      <c r="I35" s="59" t="s">
        <v>292</v>
      </c>
      <c r="J35" s="58" t="s">
        <v>292</v>
      </c>
      <c r="K35" s="59" t="s">
        <v>292</v>
      </c>
      <c r="L35" s="55" t="s">
        <v>531</v>
      </c>
      <c r="M35" s="58" t="s">
        <v>292</v>
      </c>
      <c r="N35" s="59" t="s">
        <v>292</v>
      </c>
      <c r="O35" s="55" t="s">
        <v>466</v>
      </c>
      <c r="P35" s="56">
        <v>0</v>
      </c>
      <c r="Q35" s="57" t="s">
        <v>467</v>
      </c>
      <c r="R35" s="55" t="s">
        <v>532</v>
      </c>
      <c r="S35" s="55" t="s">
        <v>472</v>
      </c>
      <c r="T35" s="58" t="s">
        <v>292</v>
      </c>
      <c r="U35" s="59" t="s">
        <v>292</v>
      </c>
      <c r="V35" s="55" t="s">
        <v>533</v>
      </c>
      <c r="W35" s="58" t="s">
        <v>292</v>
      </c>
      <c r="X35" s="59" t="s">
        <v>292</v>
      </c>
    </row>
    <row r="36" spans="2:24" x14ac:dyDescent="0.35">
      <c r="B36" s="32" t="s">
        <v>69</v>
      </c>
      <c r="C36" s="32" t="s">
        <v>77</v>
      </c>
      <c r="D36" s="49" t="s">
        <v>534</v>
      </c>
      <c r="E36" s="50">
        <v>6.4000000000000001E-2</v>
      </c>
      <c r="F36" s="51" t="s">
        <v>463</v>
      </c>
      <c r="G36" s="38" t="s">
        <v>301</v>
      </c>
      <c r="H36" s="52" t="s">
        <v>292</v>
      </c>
      <c r="I36" s="53" t="s">
        <v>292</v>
      </c>
      <c r="J36" s="52" t="s">
        <v>292</v>
      </c>
      <c r="K36" s="53" t="s">
        <v>292</v>
      </c>
      <c r="L36" s="49" t="s">
        <v>531</v>
      </c>
      <c r="M36" s="52" t="s">
        <v>292</v>
      </c>
      <c r="N36" s="53" t="s">
        <v>292</v>
      </c>
      <c r="O36" s="49" t="s">
        <v>466</v>
      </c>
      <c r="P36" s="50">
        <v>0</v>
      </c>
      <c r="Q36" s="51" t="s">
        <v>467</v>
      </c>
      <c r="R36" s="38" t="s">
        <v>301</v>
      </c>
      <c r="S36" s="49" t="s">
        <v>472</v>
      </c>
      <c r="T36" s="52" t="s">
        <v>292</v>
      </c>
      <c r="U36" s="53" t="s">
        <v>292</v>
      </c>
      <c r="V36" s="49" t="s">
        <v>533</v>
      </c>
      <c r="W36" s="52" t="s">
        <v>292</v>
      </c>
      <c r="X36" s="53" t="s">
        <v>292</v>
      </c>
    </row>
    <row r="37" spans="2:24" x14ac:dyDescent="0.35">
      <c r="B37" s="32" t="s">
        <v>69</v>
      </c>
      <c r="C37" s="32" t="s">
        <v>73</v>
      </c>
      <c r="D37" s="10" t="s">
        <v>482</v>
      </c>
      <c r="E37" s="50">
        <v>1.2E-2</v>
      </c>
      <c r="F37" s="51" t="s">
        <v>463</v>
      </c>
      <c r="G37" s="38" t="s">
        <v>301</v>
      </c>
      <c r="H37" s="52" t="s">
        <v>292</v>
      </c>
      <c r="I37" s="53" t="s">
        <v>292</v>
      </c>
      <c r="J37" s="52" t="s">
        <v>292</v>
      </c>
      <c r="K37" s="53" t="s">
        <v>292</v>
      </c>
      <c r="L37" s="49" t="s">
        <v>531</v>
      </c>
      <c r="M37" s="52" t="s">
        <v>292</v>
      </c>
      <c r="N37" s="53" t="s">
        <v>292</v>
      </c>
      <c r="O37" s="49" t="s">
        <v>466</v>
      </c>
      <c r="P37" s="50">
        <v>0</v>
      </c>
      <c r="Q37" s="51" t="s">
        <v>467</v>
      </c>
      <c r="R37" s="38" t="s">
        <v>301</v>
      </c>
      <c r="S37" s="38" t="s">
        <v>292</v>
      </c>
      <c r="T37" s="50">
        <v>0.83350000000000002</v>
      </c>
      <c r="U37" s="51" t="s">
        <v>535</v>
      </c>
      <c r="V37" s="49" t="s">
        <v>533</v>
      </c>
      <c r="W37" s="52" t="s">
        <v>292</v>
      </c>
      <c r="X37" s="53" t="s">
        <v>292</v>
      </c>
    </row>
    <row r="38" spans="2:24" ht="29" x14ac:dyDescent="0.35">
      <c r="B38" s="32" t="s">
        <v>69</v>
      </c>
      <c r="C38" s="32" t="s">
        <v>74</v>
      </c>
      <c r="D38" s="10" t="s">
        <v>482</v>
      </c>
      <c r="E38" s="50">
        <v>1.2E-2</v>
      </c>
      <c r="F38" s="51" t="s">
        <v>463</v>
      </c>
      <c r="G38" s="38" t="s">
        <v>301</v>
      </c>
      <c r="H38" s="52" t="s">
        <v>292</v>
      </c>
      <c r="I38" s="53" t="s">
        <v>292</v>
      </c>
      <c r="J38" s="52" t="s">
        <v>292</v>
      </c>
      <c r="K38" s="53" t="s">
        <v>292</v>
      </c>
      <c r="L38" s="49" t="s">
        <v>531</v>
      </c>
      <c r="M38" s="52" t="s">
        <v>292</v>
      </c>
      <c r="N38" s="53" t="s">
        <v>292</v>
      </c>
      <c r="O38" s="49" t="s">
        <v>466</v>
      </c>
      <c r="P38" s="50">
        <v>0</v>
      </c>
      <c r="Q38" s="51" t="s">
        <v>467</v>
      </c>
      <c r="R38" s="49" t="s">
        <v>536</v>
      </c>
      <c r="S38" s="38" t="s">
        <v>292</v>
      </c>
      <c r="T38" s="50">
        <v>6.4299999999999996E-2</v>
      </c>
      <c r="U38" s="51" t="s">
        <v>535</v>
      </c>
      <c r="V38" s="49" t="s">
        <v>533</v>
      </c>
      <c r="W38" s="52" t="s">
        <v>292</v>
      </c>
      <c r="X38" s="53" t="s">
        <v>292</v>
      </c>
    </row>
    <row r="39" spans="2:24" ht="29.5" thickBot="1" x14ac:dyDescent="0.4">
      <c r="B39" s="61" t="s">
        <v>69</v>
      </c>
      <c r="C39" s="61" t="s">
        <v>75</v>
      </c>
      <c r="D39" s="14" t="s">
        <v>482</v>
      </c>
      <c r="E39" s="63">
        <v>1.2E-2</v>
      </c>
      <c r="F39" s="64" t="s">
        <v>463</v>
      </c>
      <c r="G39" s="65" t="s">
        <v>301</v>
      </c>
      <c r="H39" s="71" t="s">
        <v>292</v>
      </c>
      <c r="I39" s="72" t="s">
        <v>292</v>
      </c>
      <c r="J39" s="71" t="s">
        <v>292</v>
      </c>
      <c r="K39" s="72" t="s">
        <v>292</v>
      </c>
      <c r="L39" s="62" t="s">
        <v>531</v>
      </c>
      <c r="M39" s="71" t="s">
        <v>292</v>
      </c>
      <c r="N39" s="72" t="s">
        <v>292</v>
      </c>
      <c r="O39" s="62" t="s">
        <v>466</v>
      </c>
      <c r="P39" s="63">
        <v>0</v>
      </c>
      <c r="Q39" s="64" t="s">
        <v>467</v>
      </c>
      <c r="R39" s="62" t="s">
        <v>537</v>
      </c>
      <c r="S39" s="65" t="s">
        <v>292</v>
      </c>
      <c r="T39" s="63">
        <v>0.1022</v>
      </c>
      <c r="U39" s="64" t="s">
        <v>535</v>
      </c>
      <c r="V39" s="62" t="s">
        <v>533</v>
      </c>
      <c r="W39" s="71" t="s">
        <v>292</v>
      </c>
      <c r="X39" s="72" t="s">
        <v>292</v>
      </c>
    </row>
    <row r="40" spans="2:24" ht="29.5" thickTop="1" x14ac:dyDescent="0.35">
      <c r="B40" s="54" t="s">
        <v>78</v>
      </c>
      <c r="C40" s="54" t="s">
        <v>80</v>
      </c>
      <c r="D40" s="55" t="s">
        <v>462</v>
      </c>
      <c r="E40" s="56">
        <v>0.33630000000000004</v>
      </c>
      <c r="F40" s="57" t="s">
        <v>538</v>
      </c>
      <c r="G40" s="60" t="s">
        <v>301</v>
      </c>
      <c r="H40" s="58" t="s">
        <v>292</v>
      </c>
      <c r="I40" s="59" t="s">
        <v>292</v>
      </c>
      <c r="J40" s="58" t="s">
        <v>292</v>
      </c>
      <c r="K40" s="59" t="s">
        <v>292</v>
      </c>
      <c r="L40" s="55" t="s">
        <v>539</v>
      </c>
      <c r="M40" s="58" t="s">
        <v>292</v>
      </c>
      <c r="N40" s="59" t="s">
        <v>292</v>
      </c>
      <c r="O40" s="55" t="s">
        <v>466</v>
      </c>
      <c r="P40" s="56">
        <v>0.06</v>
      </c>
      <c r="Q40" s="57" t="s">
        <v>440</v>
      </c>
      <c r="R40" s="55" t="s">
        <v>540</v>
      </c>
      <c r="S40" s="55" t="s">
        <v>472</v>
      </c>
      <c r="T40" s="58" t="s">
        <v>292</v>
      </c>
      <c r="U40" s="59" t="s">
        <v>292</v>
      </c>
      <c r="V40" s="55" t="s">
        <v>541</v>
      </c>
      <c r="W40" s="56">
        <v>0.05</v>
      </c>
      <c r="X40" s="57" t="s">
        <v>542</v>
      </c>
    </row>
    <row r="41" spans="2:24" ht="29" x14ac:dyDescent="0.35">
      <c r="B41" s="32" t="s">
        <v>78</v>
      </c>
      <c r="C41" s="32" t="s">
        <v>82</v>
      </c>
      <c r="D41" s="49" t="s">
        <v>462</v>
      </c>
      <c r="E41" s="50">
        <v>0.33630000000000004</v>
      </c>
      <c r="F41" s="51" t="s">
        <v>538</v>
      </c>
      <c r="G41" s="38" t="s">
        <v>301</v>
      </c>
      <c r="H41" s="52" t="s">
        <v>292</v>
      </c>
      <c r="I41" s="53" t="s">
        <v>292</v>
      </c>
      <c r="J41" s="52" t="s">
        <v>292</v>
      </c>
      <c r="K41" s="53" t="s">
        <v>292</v>
      </c>
      <c r="L41" s="49" t="s">
        <v>543</v>
      </c>
      <c r="M41" s="52" t="s">
        <v>292</v>
      </c>
      <c r="N41" s="53" t="s">
        <v>292</v>
      </c>
      <c r="O41" s="49" t="s">
        <v>466</v>
      </c>
      <c r="P41" s="50">
        <v>0.06</v>
      </c>
      <c r="Q41" s="51" t="s">
        <v>440</v>
      </c>
      <c r="R41" s="49" t="s">
        <v>544</v>
      </c>
      <c r="S41" s="49" t="s">
        <v>472</v>
      </c>
      <c r="T41" s="50">
        <v>0.873</v>
      </c>
      <c r="U41" s="51" t="s">
        <v>81</v>
      </c>
      <c r="V41" s="49" t="s">
        <v>545</v>
      </c>
      <c r="W41" s="50">
        <v>0.95</v>
      </c>
      <c r="X41" s="51" t="s">
        <v>542</v>
      </c>
    </row>
    <row r="42" spans="2:24" ht="29" x14ac:dyDescent="0.35">
      <c r="B42" s="32" t="s">
        <v>78</v>
      </c>
      <c r="C42" s="32" t="s">
        <v>83</v>
      </c>
      <c r="D42" s="49" t="s">
        <v>462</v>
      </c>
      <c r="E42" s="50">
        <v>0.33630000000000004</v>
      </c>
      <c r="F42" s="51" t="s">
        <v>538</v>
      </c>
      <c r="G42" s="38" t="s">
        <v>301</v>
      </c>
      <c r="H42" s="52" t="s">
        <v>292</v>
      </c>
      <c r="I42" s="53" t="s">
        <v>292</v>
      </c>
      <c r="J42" s="52" t="s">
        <v>292</v>
      </c>
      <c r="K42" s="53" t="s">
        <v>292</v>
      </c>
      <c r="L42" s="49" t="s">
        <v>543</v>
      </c>
      <c r="M42" s="52" t="s">
        <v>292</v>
      </c>
      <c r="N42" s="53" t="s">
        <v>292</v>
      </c>
      <c r="O42" s="49" t="s">
        <v>466</v>
      </c>
      <c r="P42" s="50">
        <v>0.06</v>
      </c>
      <c r="Q42" s="51" t="s">
        <v>440</v>
      </c>
      <c r="R42" s="49" t="s">
        <v>546</v>
      </c>
      <c r="S42" s="49" t="s">
        <v>472</v>
      </c>
      <c r="T42" s="50">
        <v>0.127</v>
      </c>
      <c r="U42" s="51" t="s">
        <v>81</v>
      </c>
      <c r="V42" s="49" t="s">
        <v>545</v>
      </c>
      <c r="W42" s="50">
        <v>0.95</v>
      </c>
      <c r="X42" s="51" t="s">
        <v>542</v>
      </c>
    </row>
    <row r="43" spans="2:24" ht="29.5" thickBot="1" x14ac:dyDescent="0.4">
      <c r="B43" s="61" t="s">
        <v>78</v>
      </c>
      <c r="C43" s="61" t="s">
        <v>85</v>
      </c>
      <c r="D43" s="14" t="s">
        <v>547</v>
      </c>
      <c r="E43" s="63">
        <v>0.25769999999999998</v>
      </c>
      <c r="F43" s="64" t="s">
        <v>538</v>
      </c>
      <c r="G43" s="65" t="s">
        <v>301</v>
      </c>
      <c r="H43" s="71" t="s">
        <v>292</v>
      </c>
      <c r="I43" s="72" t="s">
        <v>292</v>
      </c>
      <c r="J43" s="71" t="s">
        <v>292</v>
      </c>
      <c r="K43" s="72" t="s">
        <v>292</v>
      </c>
      <c r="L43" s="62" t="s">
        <v>548</v>
      </c>
      <c r="M43" s="71" t="s">
        <v>292</v>
      </c>
      <c r="N43" s="72" t="s">
        <v>292</v>
      </c>
      <c r="O43" s="62" t="s">
        <v>466</v>
      </c>
      <c r="P43" s="63">
        <v>0.06</v>
      </c>
      <c r="Q43" s="64" t="s">
        <v>440</v>
      </c>
      <c r="R43" s="65" t="s">
        <v>301</v>
      </c>
      <c r="S43" s="65" t="s">
        <v>292</v>
      </c>
      <c r="T43" s="71" t="s">
        <v>292</v>
      </c>
      <c r="U43" s="72" t="s">
        <v>292</v>
      </c>
      <c r="V43" s="62" t="s">
        <v>549</v>
      </c>
      <c r="W43" s="71" t="s">
        <v>292</v>
      </c>
      <c r="X43" s="72" t="s">
        <v>292</v>
      </c>
    </row>
    <row r="44" spans="2:24" ht="29.5" thickTop="1" x14ac:dyDescent="0.35">
      <c r="B44" s="54" t="s">
        <v>86</v>
      </c>
      <c r="C44" s="54" t="s">
        <v>88</v>
      </c>
      <c r="D44" s="55" t="s">
        <v>462</v>
      </c>
      <c r="E44" s="56">
        <v>0.63819999999999999</v>
      </c>
      <c r="F44" s="57" t="s">
        <v>550</v>
      </c>
      <c r="G44" s="60" t="s">
        <v>301</v>
      </c>
      <c r="H44" s="58" t="s">
        <v>292</v>
      </c>
      <c r="I44" s="59" t="s">
        <v>292</v>
      </c>
      <c r="J44" s="58" t="s">
        <v>292</v>
      </c>
      <c r="K44" s="59" t="s">
        <v>292</v>
      </c>
      <c r="L44" s="55" t="s">
        <v>551</v>
      </c>
      <c r="M44" s="58" t="s">
        <v>292</v>
      </c>
      <c r="N44" s="59" t="s">
        <v>292</v>
      </c>
      <c r="O44" s="55" t="s">
        <v>466</v>
      </c>
      <c r="P44" s="56">
        <v>0</v>
      </c>
      <c r="Q44" s="57" t="s">
        <v>467</v>
      </c>
      <c r="R44" s="55" t="s">
        <v>552</v>
      </c>
      <c r="S44" s="55" t="s">
        <v>472</v>
      </c>
      <c r="T44" s="56">
        <v>1.6666666666666663E-2</v>
      </c>
      <c r="U44" s="57" t="s">
        <v>553</v>
      </c>
      <c r="V44" s="55" t="s">
        <v>554</v>
      </c>
      <c r="W44" s="58" t="s">
        <v>292</v>
      </c>
      <c r="X44" s="59" t="s">
        <v>292</v>
      </c>
    </row>
    <row r="45" spans="2:24" ht="29" x14ac:dyDescent="0.35">
      <c r="B45" s="32" t="s">
        <v>86</v>
      </c>
      <c r="C45" s="32" t="s">
        <v>89</v>
      </c>
      <c r="D45" s="49" t="s">
        <v>462</v>
      </c>
      <c r="E45" s="50">
        <v>0.63819999999999999</v>
      </c>
      <c r="F45" s="51" t="s">
        <v>550</v>
      </c>
      <c r="G45" s="38" t="s">
        <v>301</v>
      </c>
      <c r="H45" s="52" t="s">
        <v>292</v>
      </c>
      <c r="I45" s="53" t="s">
        <v>292</v>
      </c>
      <c r="J45" s="52" t="s">
        <v>292</v>
      </c>
      <c r="K45" s="53" t="s">
        <v>292</v>
      </c>
      <c r="L45" s="49" t="s">
        <v>551</v>
      </c>
      <c r="M45" s="52" t="s">
        <v>292</v>
      </c>
      <c r="N45" s="53" t="s">
        <v>292</v>
      </c>
      <c r="O45" s="49" t="s">
        <v>466</v>
      </c>
      <c r="P45" s="50">
        <v>0</v>
      </c>
      <c r="Q45" s="51" t="s">
        <v>467</v>
      </c>
      <c r="R45" s="49" t="s">
        <v>555</v>
      </c>
      <c r="S45" s="49" t="s">
        <v>472</v>
      </c>
      <c r="T45" s="50">
        <v>8.3333333333333315E-2</v>
      </c>
      <c r="U45" s="51" t="s">
        <v>553</v>
      </c>
      <c r="V45" s="49" t="s">
        <v>554</v>
      </c>
      <c r="W45" s="52" t="s">
        <v>292</v>
      </c>
      <c r="X45" s="53" t="s">
        <v>292</v>
      </c>
    </row>
    <row r="46" spans="2:24" ht="29" x14ac:dyDescent="0.35">
      <c r="B46" s="32" t="s">
        <v>86</v>
      </c>
      <c r="C46" s="32" t="s">
        <v>91</v>
      </c>
      <c r="D46" s="49" t="s">
        <v>462</v>
      </c>
      <c r="E46" s="50">
        <v>0.63819999999999999</v>
      </c>
      <c r="F46" s="51" t="s">
        <v>550</v>
      </c>
      <c r="G46" s="38" t="s">
        <v>301</v>
      </c>
      <c r="H46" s="52" t="s">
        <v>292</v>
      </c>
      <c r="I46" s="53" t="s">
        <v>292</v>
      </c>
      <c r="J46" s="52" t="s">
        <v>292</v>
      </c>
      <c r="K46" s="53" t="s">
        <v>292</v>
      </c>
      <c r="L46" s="49" t="s">
        <v>551</v>
      </c>
      <c r="M46" s="52" t="s">
        <v>292</v>
      </c>
      <c r="N46" s="53" t="s">
        <v>292</v>
      </c>
      <c r="O46" s="49" t="s">
        <v>466</v>
      </c>
      <c r="P46" s="50">
        <v>0</v>
      </c>
      <c r="Q46" s="51" t="s">
        <v>467</v>
      </c>
      <c r="R46" s="49" t="s">
        <v>556</v>
      </c>
      <c r="S46" s="49" t="s">
        <v>472</v>
      </c>
      <c r="T46" s="50">
        <v>0.9</v>
      </c>
      <c r="U46" s="51" t="s">
        <v>553</v>
      </c>
      <c r="V46" s="49" t="s">
        <v>554</v>
      </c>
      <c r="W46" s="52" t="s">
        <v>292</v>
      </c>
      <c r="X46" s="53" t="s">
        <v>292</v>
      </c>
    </row>
    <row r="47" spans="2:24" ht="29.5" thickBot="1" x14ac:dyDescent="0.4">
      <c r="B47" s="61" t="s">
        <v>86</v>
      </c>
      <c r="C47" s="61" t="s">
        <v>93</v>
      </c>
      <c r="D47" s="62" t="s">
        <v>557</v>
      </c>
      <c r="E47" s="63">
        <v>8.8000000000000009E-2</v>
      </c>
      <c r="F47" s="64" t="s">
        <v>550</v>
      </c>
      <c r="G47" s="65" t="s">
        <v>301</v>
      </c>
      <c r="H47" s="71" t="s">
        <v>292</v>
      </c>
      <c r="I47" s="72" t="s">
        <v>292</v>
      </c>
      <c r="J47" s="71" t="s">
        <v>292</v>
      </c>
      <c r="K47" s="72" t="s">
        <v>292</v>
      </c>
      <c r="L47" s="62" t="s">
        <v>551</v>
      </c>
      <c r="M47" s="71" t="s">
        <v>292</v>
      </c>
      <c r="N47" s="72" t="s">
        <v>292</v>
      </c>
      <c r="O47" s="62" t="s">
        <v>466</v>
      </c>
      <c r="P47" s="63">
        <v>0</v>
      </c>
      <c r="Q47" s="64" t="s">
        <v>467</v>
      </c>
      <c r="R47" s="65" t="s">
        <v>301</v>
      </c>
      <c r="S47" s="62" t="s">
        <v>472</v>
      </c>
      <c r="T47" s="71" t="s">
        <v>292</v>
      </c>
      <c r="U47" s="72" t="s">
        <v>292</v>
      </c>
      <c r="V47" s="62" t="s">
        <v>554</v>
      </c>
      <c r="W47" s="71" t="s">
        <v>292</v>
      </c>
      <c r="X47" s="72" t="s">
        <v>292</v>
      </c>
    </row>
    <row r="48" spans="2:24" ht="29.5" thickTop="1" x14ac:dyDescent="0.35">
      <c r="B48" s="54" t="s">
        <v>94</v>
      </c>
      <c r="C48" s="54" t="s">
        <v>96</v>
      </c>
      <c r="D48" s="55" t="s">
        <v>558</v>
      </c>
      <c r="E48" s="56">
        <v>0.41400000000000003</v>
      </c>
      <c r="F48" s="57" t="s">
        <v>463</v>
      </c>
      <c r="G48" s="60" t="s">
        <v>301</v>
      </c>
      <c r="H48" s="58" t="s">
        <v>292</v>
      </c>
      <c r="I48" s="59" t="s">
        <v>292</v>
      </c>
      <c r="J48" s="58" t="s">
        <v>292</v>
      </c>
      <c r="K48" s="59" t="s">
        <v>292</v>
      </c>
      <c r="L48" s="55" t="s">
        <v>559</v>
      </c>
      <c r="M48" s="58" t="s">
        <v>292</v>
      </c>
      <c r="N48" s="59" t="s">
        <v>292</v>
      </c>
      <c r="O48" s="55" t="s">
        <v>466</v>
      </c>
      <c r="P48" s="56">
        <v>0.13</v>
      </c>
      <c r="Q48" s="57" t="s">
        <v>440</v>
      </c>
      <c r="R48" s="55" t="s">
        <v>560</v>
      </c>
      <c r="S48" s="55" t="s">
        <v>472</v>
      </c>
      <c r="T48" s="56">
        <v>0.44</v>
      </c>
      <c r="U48" s="57" t="s">
        <v>95</v>
      </c>
      <c r="V48" s="55" t="s">
        <v>561</v>
      </c>
      <c r="W48" s="56">
        <v>0.95</v>
      </c>
      <c r="X48" s="57" t="s">
        <v>562</v>
      </c>
    </row>
    <row r="49" spans="2:24" ht="43.5" x14ac:dyDescent="0.35">
      <c r="B49" s="32" t="s">
        <v>94</v>
      </c>
      <c r="C49" s="32" t="s">
        <v>97</v>
      </c>
      <c r="D49" s="49" t="s">
        <v>558</v>
      </c>
      <c r="E49" s="50">
        <v>0.41400000000000003</v>
      </c>
      <c r="F49" s="51" t="s">
        <v>463</v>
      </c>
      <c r="G49" s="38" t="s">
        <v>301</v>
      </c>
      <c r="H49" s="52" t="s">
        <v>292</v>
      </c>
      <c r="I49" s="53" t="s">
        <v>292</v>
      </c>
      <c r="J49" s="52" t="s">
        <v>292</v>
      </c>
      <c r="K49" s="53" t="s">
        <v>292</v>
      </c>
      <c r="L49" s="49" t="s">
        <v>559</v>
      </c>
      <c r="M49" s="52" t="s">
        <v>292</v>
      </c>
      <c r="N49" s="53" t="s">
        <v>292</v>
      </c>
      <c r="O49" s="49" t="s">
        <v>466</v>
      </c>
      <c r="P49" s="50">
        <v>0.13</v>
      </c>
      <c r="Q49" s="51" t="s">
        <v>440</v>
      </c>
      <c r="R49" s="49" t="s">
        <v>563</v>
      </c>
      <c r="S49" s="49" t="s">
        <v>472</v>
      </c>
      <c r="T49" s="50">
        <v>0.186</v>
      </c>
      <c r="U49" s="51" t="s">
        <v>95</v>
      </c>
      <c r="V49" s="49" t="s">
        <v>561</v>
      </c>
      <c r="W49" s="50">
        <v>0.95</v>
      </c>
      <c r="X49" s="51" t="s">
        <v>562</v>
      </c>
    </row>
    <row r="50" spans="2:24" ht="43.5" x14ac:dyDescent="0.35">
      <c r="B50" s="32" t="s">
        <v>94</v>
      </c>
      <c r="C50" s="32" t="s">
        <v>98</v>
      </c>
      <c r="D50" s="49" t="s">
        <v>558</v>
      </c>
      <c r="E50" s="50">
        <v>0.41400000000000003</v>
      </c>
      <c r="F50" s="51" t="s">
        <v>463</v>
      </c>
      <c r="G50" s="38" t="s">
        <v>301</v>
      </c>
      <c r="H50" s="52" t="s">
        <v>292</v>
      </c>
      <c r="I50" s="53" t="s">
        <v>292</v>
      </c>
      <c r="J50" s="52" t="s">
        <v>292</v>
      </c>
      <c r="K50" s="53" t="s">
        <v>292</v>
      </c>
      <c r="L50" s="49" t="s">
        <v>559</v>
      </c>
      <c r="M50" s="52" t="s">
        <v>292</v>
      </c>
      <c r="N50" s="53" t="s">
        <v>292</v>
      </c>
      <c r="O50" s="49" t="s">
        <v>466</v>
      </c>
      <c r="P50" s="50">
        <v>0.13</v>
      </c>
      <c r="Q50" s="51" t="s">
        <v>440</v>
      </c>
      <c r="R50" s="49" t="s">
        <v>564</v>
      </c>
      <c r="S50" s="49" t="s">
        <v>472</v>
      </c>
      <c r="T50" s="50">
        <v>0.36899999999999999</v>
      </c>
      <c r="U50" s="51" t="s">
        <v>95</v>
      </c>
      <c r="V50" s="49" t="s">
        <v>561</v>
      </c>
      <c r="W50" s="50">
        <v>0.95</v>
      </c>
      <c r="X50" s="51" t="s">
        <v>562</v>
      </c>
    </row>
    <row r="51" spans="2:24" ht="29.5" thickBot="1" x14ac:dyDescent="0.4">
      <c r="B51" s="61" t="s">
        <v>94</v>
      </c>
      <c r="C51" s="61" t="s">
        <v>99</v>
      </c>
      <c r="D51" s="62" t="s">
        <v>558</v>
      </c>
      <c r="E51" s="63">
        <v>0.41400000000000003</v>
      </c>
      <c r="F51" s="64" t="s">
        <v>463</v>
      </c>
      <c r="G51" s="65" t="s">
        <v>301</v>
      </c>
      <c r="H51" s="71" t="s">
        <v>292</v>
      </c>
      <c r="I51" s="72" t="s">
        <v>292</v>
      </c>
      <c r="J51" s="71" t="s">
        <v>292</v>
      </c>
      <c r="K51" s="72" t="s">
        <v>292</v>
      </c>
      <c r="L51" s="62" t="s">
        <v>559</v>
      </c>
      <c r="M51" s="71" t="s">
        <v>292</v>
      </c>
      <c r="N51" s="72" t="s">
        <v>292</v>
      </c>
      <c r="O51" s="62" t="s">
        <v>466</v>
      </c>
      <c r="P51" s="63">
        <v>0.13</v>
      </c>
      <c r="Q51" s="64" t="s">
        <v>440</v>
      </c>
      <c r="R51" s="65" t="s">
        <v>301</v>
      </c>
      <c r="S51" s="62" t="s">
        <v>472</v>
      </c>
      <c r="T51" s="71" t="s">
        <v>292</v>
      </c>
      <c r="U51" s="72" t="s">
        <v>292</v>
      </c>
      <c r="V51" s="62" t="s">
        <v>565</v>
      </c>
      <c r="W51" s="63">
        <v>0.02</v>
      </c>
      <c r="X51" s="64" t="s">
        <v>562</v>
      </c>
    </row>
    <row r="52" spans="2:24" ht="29.5" thickTop="1" x14ac:dyDescent="0.35">
      <c r="B52" s="54" t="s">
        <v>100</v>
      </c>
      <c r="C52" s="54" t="s">
        <v>102</v>
      </c>
      <c r="D52" s="55" t="s">
        <v>462</v>
      </c>
      <c r="E52" s="56">
        <v>0.58200000000000007</v>
      </c>
      <c r="F52" s="57" t="s">
        <v>463</v>
      </c>
      <c r="G52" s="60" t="s">
        <v>301</v>
      </c>
      <c r="H52" s="58" t="s">
        <v>292</v>
      </c>
      <c r="I52" s="59" t="s">
        <v>292</v>
      </c>
      <c r="J52" s="58" t="s">
        <v>292</v>
      </c>
      <c r="K52" s="59" t="s">
        <v>292</v>
      </c>
      <c r="L52" s="55" t="s">
        <v>566</v>
      </c>
      <c r="M52" s="58" t="s">
        <v>292</v>
      </c>
      <c r="N52" s="59" t="s">
        <v>292</v>
      </c>
      <c r="O52" s="55" t="s">
        <v>466</v>
      </c>
      <c r="P52" s="56">
        <v>0.19</v>
      </c>
      <c r="Q52" s="57" t="s">
        <v>440</v>
      </c>
      <c r="R52" s="60" t="s">
        <v>301</v>
      </c>
      <c r="S52" s="55" t="s">
        <v>472</v>
      </c>
      <c r="T52" s="58" t="s">
        <v>292</v>
      </c>
      <c r="U52" s="59" t="s">
        <v>292</v>
      </c>
      <c r="V52" s="55" t="s">
        <v>567</v>
      </c>
      <c r="W52" s="56">
        <v>0.05</v>
      </c>
      <c r="X52" s="57" t="s">
        <v>568</v>
      </c>
    </row>
    <row r="53" spans="2:24" ht="29" x14ac:dyDescent="0.35">
      <c r="B53" s="32" t="s">
        <v>100</v>
      </c>
      <c r="C53" s="32" t="s">
        <v>104</v>
      </c>
      <c r="D53" s="49" t="s">
        <v>569</v>
      </c>
      <c r="E53" s="50">
        <v>1.2E-2</v>
      </c>
      <c r="F53" s="51" t="s">
        <v>463</v>
      </c>
      <c r="G53" s="49" t="s">
        <v>570</v>
      </c>
      <c r="H53" s="52" t="s">
        <v>292</v>
      </c>
      <c r="I53" s="53" t="s">
        <v>292</v>
      </c>
      <c r="J53" s="52" t="s">
        <v>292</v>
      </c>
      <c r="K53" s="53" t="s">
        <v>292</v>
      </c>
      <c r="L53" s="49" t="s">
        <v>566</v>
      </c>
      <c r="M53" s="52" t="s">
        <v>292</v>
      </c>
      <c r="N53" s="53" t="s">
        <v>292</v>
      </c>
      <c r="O53" s="49" t="s">
        <v>466</v>
      </c>
      <c r="P53" s="50">
        <v>0.19</v>
      </c>
      <c r="Q53" s="51" t="s">
        <v>440</v>
      </c>
      <c r="R53" s="38" t="s">
        <v>301</v>
      </c>
      <c r="S53" s="49" t="s">
        <v>472</v>
      </c>
      <c r="T53" s="52" t="s">
        <v>292</v>
      </c>
      <c r="U53" s="53" t="s">
        <v>292</v>
      </c>
      <c r="V53" s="49" t="s">
        <v>571</v>
      </c>
      <c r="W53" s="50">
        <v>0.54</v>
      </c>
      <c r="X53" s="51" t="s">
        <v>568</v>
      </c>
    </row>
    <row r="54" spans="2:24" ht="29.5" thickBot="1" x14ac:dyDescent="0.4">
      <c r="B54" s="61" t="s">
        <v>100</v>
      </c>
      <c r="C54" s="61" t="s">
        <v>105</v>
      </c>
      <c r="D54" s="62" t="s">
        <v>569</v>
      </c>
      <c r="E54" s="63">
        <v>1.2E-2</v>
      </c>
      <c r="F54" s="64" t="s">
        <v>463</v>
      </c>
      <c r="G54" s="62" t="s">
        <v>570</v>
      </c>
      <c r="H54" s="71" t="s">
        <v>292</v>
      </c>
      <c r="I54" s="72" t="s">
        <v>292</v>
      </c>
      <c r="J54" s="71" t="s">
        <v>292</v>
      </c>
      <c r="K54" s="72" t="s">
        <v>292</v>
      </c>
      <c r="L54" s="62" t="s">
        <v>566</v>
      </c>
      <c r="M54" s="71" t="s">
        <v>292</v>
      </c>
      <c r="N54" s="72" t="s">
        <v>292</v>
      </c>
      <c r="O54" s="62" t="s">
        <v>466</v>
      </c>
      <c r="P54" s="63">
        <v>0.19</v>
      </c>
      <c r="Q54" s="64" t="s">
        <v>440</v>
      </c>
      <c r="R54" s="65" t="s">
        <v>301</v>
      </c>
      <c r="S54" s="62" t="s">
        <v>472</v>
      </c>
      <c r="T54" s="71" t="s">
        <v>292</v>
      </c>
      <c r="U54" s="72" t="s">
        <v>292</v>
      </c>
      <c r="V54" s="62" t="s">
        <v>572</v>
      </c>
      <c r="W54" s="63">
        <v>0.36000000000000004</v>
      </c>
      <c r="X54" s="64" t="s">
        <v>568</v>
      </c>
    </row>
    <row r="55" spans="2:24" ht="44" thickTop="1" x14ac:dyDescent="0.35">
      <c r="B55" s="54" t="s">
        <v>106</v>
      </c>
      <c r="C55" s="54" t="s">
        <v>119</v>
      </c>
      <c r="D55" s="55" t="s">
        <v>462</v>
      </c>
      <c r="E55" s="56">
        <v>0.53993847459425048</v>
      </c>
      <c r="F55" s="57" t="s">
        <v>453</v>
      </c>
      <c r="G55" s="60" t="s">
        <v>301</v>
      </c>
      <c r="H55" s="58" t="s">
        <v>292</v>
      </c>
      <c r="I55" s="59" t="s">
        <v>292</v>
      </c>
      <c r="J55" s="56">
        <v>0.84299999999999997</v>
      </c>
      <c r="K55" s="57" t="s">
        <v>1004</v>
      </c>
      <c r="L55" s="55" t="s">
        <v>573</v>
      </c>
      <c r="M55" s="58" t="s">
        <v>292</v>
      </c>
      <c r="N55" s="59" t="s">
        <v>292</v>
      </c>
      <c r="O55" s="55" t="s">
        <v>466</v>
      </c>
      <c r="P55" s="56">
        <v>0.24</v>
      </c>
      <c r="Q55" s="57" t="s">
        <v>440</v>
      </c>
      <c r="R55" s="60" t="s">
        <v>301</v>
      </c>
      <c r="S55" s="55" t="s">
        <v>472</v>
      </c>
      <c r="T55" s="58" t="s">
        <v>292</v>
      </c>
      <c r="U55" s="59" t="s">
        <v>292</v>
      </c>
      <c r="V55" s="55" t="s">
        <v>574</v>
      </c>
      <c r="W55" s="58" t="s">
        <v>292</v>
      </c>
      <c r="X55" s="59" t="s">
        <v>292</v>
      </c>
    </row>
    <row r="56" spans="2:24" ht="43.5" x14ac:dyDescent="0.35">
      <c r="B56" s="32" t="s">
        <v>106</v>
      </c>
      <c r="C56" s="32" t="s">
        <v>121</v>
      </c>
      <c r="D56" s="49" t="s">
        <v>462</v>
      </c>
      <c r="E56" s="50">
        <v>0.53993847459425048</v>
      </c>
      <c r="F56" s="51" t="s">
        <v>453</v>
      </c>
      <c r="G56" s="38" t="s">
        <v>301</v>
      </c>
      <c r="H56" s="52" t="s">
        <v>292</v>
      </c>
      <c r="I56" s="53" t="s">
        <v>292</v>
      </c>
      <c r="J56" s="50">
        <v>7.350000000000001E-2</v>
      </c>
      <c r="K56" s="51" t="s">
        <v>1005</v>
      </c>
      <c r="L56" s="49" t="s">
        <v>573</v>
      </c>
      <c r="M56" s="52" t="s">
        <v>292</v>
      </c>
      <c r="N56" s="53" t="s">
        <v>292</v>
      </c>
      <c r="O56" s="49" t="s">
        <v>466</v>
      </c>
      <c r="P56" s="50">
        <v>0.24</v>
      </c>
      <c r="Q56" s="51" t="s">
        <v>440</v>
      </c>
      <c r="R56" s="49" t="s">
        <v>575</v>
      </c>
      <c r="S56" s="49" t="s">
        <v>472</v>
      </c>
      <c r="T56" s="52" t="s">
        <v>292</v>
      </c>
      <c r="U56" s="53" t="s">
        <v>292</v>
      </c>
      <c r="V56" s="49" t="s">
        <v>574</v>
      </c>
      <c r="W56" s="52" t="s">
        <v>292</v>
      </c>
      <c r="X56" s="53" t="s">
        <v>292</v>
      </c>
    </row>
    <row r="57" spans="2:24" ht="43.5" x14ac:dyDescent="0.35">
      <c r="B57" s="32" t="s">
        <v>106</v>
      </c>
      <c r="C57" s="32" t="s">
        <v>123</v>
      </c>
      <c r="D57" s="49" t="s">
        <v>462</v>
      </c>
      <c r="E57" s="50">
        <v>0.53993847459425048</v>
      </c>
      <c r="F57" s="51" t="s">
        <v>453</v>
      </c>
      <c r="G57" s="49" t="s">
        <v>508</v>
      </c>
      <c r="H57" s="52" t="s">
        <v>292</v>
      </c>
      <c r="I57" s="53" t="s">
        <v>292</v>
      </c>
      <c r="J57" s="50">
        <v>0.01</v>
      </c>
      <c r="K57" s="51" t="s">
        <v>1006</v>
      </c>
      <c r="L57" s="49" t="s">
        <v>573</v>
      </c>
      <c r="M57" s="52" t="s">
        <v>292</v>
      </c>
      <c r="N57" s="53" t="s">
        <v>292</v>
      </c>
      <c r="O57" s="49" t="s">
        <v>466</v>
      </c>
      <c r="P57" s="50">
        <v>0.24</v>
      </c>
      <c r="Q57" s="51" t="s">
        <v>440</v>
      </c>
      <c r="R57" s="38" t="s">
        <v>301</v>
      </c>
      <c r="S57" s="49" t="s">
        <v>472</v>
      </c>
      <c r="T57" s="52" t="s">
        <v>292</v>
      </c>
      <c r="U57" s="53" t="s">
        <v>292</v>
      </c>
      <c r="V57" s="49" t="s">
        <v>574</v>
      </c>
      <c r="W57" s="52" t="s">
        <v>292</v>
      </c>
      <c r="X57" s="53" t="s">
        <v>292</v>
      </c>
    </row>
    <row r="58" spans="2:24" ht="43.5" x14ac:dyDescent="0.35">
      <c r="B58" s="32" t="s">
        <v>106</v>
      </c>
      <c r="C58" s="32" t="s">
        <v>116</v>
      </c>
      <c r="D58" s="49" t="s">
        <v>462</v>
      </c>
      <c r="E58" s="50">
        <v>0.53993847459425048</v>
      </c>
      <c r="F58" s="51" t="s">
        <v>453</v>
      </c>
      <c r="G58" s="38" t="s">
        <v>301</v>
      </c>
      <c r="H58" s="52" t="s">
        <v>292</v>
      </c>
      <c r="I58" s="53" t="s">
        <v>292</v>
      </c>
      <c r="J58" s="50">
        <v>7.350000000000001E-2</v>
      </c>
      <c r="K58" s="51" t="s">
        <v>1005</v>
      </c>
      <c r="L58" s="49" t="s">
        <v>573</v>
      </c>
      <c r="M58" s="52" t="s">
        <v>292</v>
      </c>
      <c r="N58" s="53" t="s">
        <v>292</v>
      </c>
      <c r="O58" s="49" t="s">
        <v>466</v>
      </c>
      <c r="P58" s="50">
        <v>0.24</v>
      </c>
      <c r="Q58" s="51" t="s">
        <v>440</v>
      </c>
      <c r="R58" s="38" t="s">
        <v>301</v>
      </c>
      <c r="S58" s="49" t="s">
        <v>472</v>
      </c>
      <c r="T58" s="52" t="s">
        <v>292</v>
      </c>
      <c r="U58" s="53" t="s">
        <v>292</v>
      </c>
      <c r="V58" s="49" t="s">
        <v>574</v>
      </c>
      <c r="W58" s="52" t="s">
        <v>292</v>
      </c>
      <c r="X58" s="53" t="s">
        <v>292</v>
      </c>
    </row>
    <row r="59" spans="2:24" ht="43.5" x14ac:dyDescent="0.35">
      <c r="B59" s="32" t="s">
        <v>106</v>
      </c>
      <c r="C59" s="32" t="s">
        <v>125</v>
      </c>
      <c r="D59" s="49" t="s">
        <v>462</v>
      </c>
      <c r="E59" s="50">
        <v>0.53993847459425048</v>
      </c>
      <c r="F59" s="51" t="s">
        <v>519</v>
      </c>
      <c r="G59" s="38" t="s">
        <v>301</v>
      </c>
      <c r="H59" s="52" t="s">
        <v>292</v>
      </c>
      <c r="I59" s="53" t="s">
        <v>292</v>
      </c>
      <c r="J59" s="52" t="s">
        <v>292</v>
      </c>
      <c r="K59" s="53" t="s">
        <v>292</v>
      </c>
      <c r="L59" s="49" t="s">
        <v>576</v>
      </c>
      <c r="M59" s="50">
        <v>0.53565149804763401</v>
      </c>
      <c r="N59" s="51" t="s">
        <v>1013</v>
      </c>
      <c r="O59" s="49" t="s">
        <v>521</v>
      </c>
      <c r="P59" s="50">
        <v>0.24</v>
      </c>
      <c r="Q59" s="51" t="s">
        <v>440</v>
      </c>
      <c r="R59" s="38" t="s">
        <v>301</v>
      </c>
      <c r="S59" s="49" t="s">
        <v>522</v>
      </c>
      <c r="T59" s="52" t="s">
        <v>292</v>
      </c>
      <c r="U59" s="53" t="s">
        <v>292</v>
      </c>
      <c r="V59" s="49" t="s">
        <v>577</v>
      </c>
      <c r="W59" s="52" t="s">
        <v>292</v>
      </c>
      <c r="X59" s="53" t="s">
        <v>292</v>
      </c>
    </row>
    <row r="60" spans="2:24" ht="43.5" x14ac:dyDescent="0.35">
      <c r="B60" s="32" t="s">
        <v>106</v>
      </c>
      <c r="C60" s="32" t="s">
        <v>126</v>
      </c>
      <c r="D60" s="49" t="s">
        <v>462</v>
      </c>
      <c r="E60" s="50">
        <v>0.53993847459425048</v>
      </c>
      <c r="F60" s="51" t="s">
        <v>519</v>
      </c>
      <c r="G60" s="38" t="s">
        <v>301</v>
      </c>
      <c r="H60" s="52" t="s">
        <v>292</v>
      </c>
      <c r="I60" s="53" t="s">
        <v>292</v>
      </c>
      <c r="J60" s="52" t="s">
        <v>292</v>
      </c>
      <c r="K60" s="53" t="s">
        <v>292</v>
      </c>
      <c r="L60" s="49" t="s">
        <v>578</v>
      </c>
      <c r="M60" s="50">
        <v>9.9293076965782712E-2</v>
      </c>
      <c r="N60" s="51" t="s">
        <v>1013</v>
      </c>
      <c r="O60" s="49" t="s">
        <v>521</v>
      </c>
      <c r="P60" s="50">
        <v>0.24</v>
      </c>
      <c r="Q60" s="51" t="s">
        <v>440</v>
      </c>
      <c r="R60" s="38" t="s">
        <v>301</v>
      </c>
      <c r="S60" s="49" t="s">
        <v>522</v>
      </c>
      <c r="T60" s="52" t="s">
        <v>292</v>
      </c>
      <c r="U60" s="53" t="s">
        <v>292</v>
      </c>
      <c r="V60" s="49" t="s">
        <v>577</v>
      </c>
      <c r="W60" s="52" t="s">
        <v>292</v>
      </c>
      <c r="X60" s="53" t="s">
        <v>292</v>
      </c>
    </row>
    <row r="61" spans="2:24" x14ac:dyDescent="0.35">
      <c r="B61" s="32" t="s">
        <v>106</v>
      </c>
      <c r="C61" s="32" t="s">
        <v>112</v>
      </c>
      <c r="D61" s="49" t="s">
        <v>579</v>
      </c>
      <c r="E61" s="50">
        <v>6.6458046037976018E-2</v>
      </c>
      <c r="F61" s="51" t="s">
        <v>453</v>
      </c>
      <c r="G61" s="38" t="s">
        <v>301</v>
      </c>
      <c r="H61" s="52" t="s">
        <v>292</v>
      </c>
      <c r="I61" s="53" t="s">
        <v>292</v>
      </c>
      <c r="J61" s="52" t="s">
        <v>292</v>
      </c>
      <c r="K61" s="53" t="s">
        <v>292</v>
      </c>
      <c r="L61" s="49" t="s">
        <v>573</v>
      </c>
      <c r="M61" s="52" t="s">
        <v>292</v>
      </c>
      <c r="N61" s="53" t="s">
        <v>292</v>
      </c>
      <c r="O61" s="49" t="s">
        <v>466</v>
      </c>
      <c r="P61" s="50">
        <v>0.24</v>
      </c>
      <c r="Q61" s="51" t="s">
        <v>440</v>
      </c>
      <c r="R61" s="38" t="s">
        <v>301</v>
      </c>
      <c r="S61" s="49" t="s">
        <v>472</v>
      </c>
      <c r="T61" s="52" t="s">
        <v>292</v>
      </c>
      <c r="U61" s="53" t="s">
        <v>292</v>
      </c>
      <c r="V61" s="49" t="s">
        <v>574</v>
      </c>
      <c r="W61" s="52" t="s">
        <v>292</v>
      </c>
      <c r="X61" s="53" t="s">
        <v>292</v>
      </c>
    </row>
    <row r="62" spans="2:24" x14ac:dyDescent="0.35">
      <c r="B62" s="32" t="s">
        <v>106</v>
      </c>
      <c r="C62" s="32" t="s">
        <v>110</v>
      </c>
      <c r="D62" s="49" t="s">
        <v>580</v>
      </c>
      <c r="E62" s="50">
        <v>3.7922987164527418E-2</v>
      </c>
      <c r="F62" s="51" t="s">
        <v>453</v>
      </c>
      <c r="G62" s="38" t="s">
        <v>301</v>
      </c>
      <c r="H62" s="52" t="s">
        <v>292</v>
      </c>
      <c r="I62" s="53" t="s">
        <v>292</v>
      </c>
      <c r="J62" s="52" t="s">
        <v>292</v>
      </c>
      <c r="K62" s="53" t="s">
        <v>292</v>
      </c>
      <c r="L62" s="49" t="s">
        <v>573</v>
      </c>
      <c r="M62" s="52" t="s">
        <v>292</v>
      </c>
      <c r="N62" s="53" t="s">
        <v>292</v>
      </c>
      <c r="O62" s="49" t="s">
        <v>466</v>
      </c>
      <c r="P62" s="50">
        <v>0.24</v>
      </c>
      <c r="Q62" s="51" t="s">
        <v>440</v>
      </c>
      <c r="R62" s="38" t="s">
        <v>301</v>
      </c>
      <c r="S62" s="49" t="s">
        <v>472</v>
      </c>
      <c r="T62" s="52" t="s">
        <v>292</v>
      </c>
      <c r="U62" s="53" t="s">
        <v>292</v>
      </c>
      <c r="V62" s="49" t="s">
        <v>574</v>
      </c>
      <c r="W62" s="52" t="s">
        <v>292</v>
      </c>
      <c r="X62" s="53" t="s">
        <v>292</v>
      </c>
    </row>
    <row r="63" spans="2:24" x14ac:dyDescent="0.35">
      <c r="B63" s="32" t="s">
        <v>106</v>
      </c>
      <c r="C63" s="32" t="s">
        <v>111</v>
      </c>
      <c r="D63" s="49" t="s">
        <v>581</v>
      </c>
      <c r="E63" s="50">
        <v>3.4899756019942711E-2</v>
      </c>
      <c r="F63" s="51" t="s">
        <v>453</v>
      </c>
      <c r="G63" s="38" t="s">
        <v>301</v>
      </c>
      <c r="H63" s="52" t="s">
        <v>292</v>
      </c>
      <c r="I63" s="53" t="s">
        <v>292</v>
      </c>
      <c r="J63" s="52" t="s">
        <v>292</v>
      </c>
      <c r="K63" s="53" t="s">
        <v>292</v>
      </c>
      <c r="L63" s="49" t="s">
        <v>573</v>
      </c>
      <c r="M63" s="52" t="s">
        <v>292</v>
      </c>
      <c r="N63" s="53" t="s">
        <v>292</v>
      </c>
      <c r="O63" s="49" t="s">
        <v>466</v>
      </c>
      <c r="P63" s="50">
        <v>0.24</v>
      </c>
      <c r="Q63" s="51" t="s">
        <v>440</v>
      </c>
      <c r="R63" s="38" t="s">
        <v>301</v>
      </c>
      <c r="S63" s="49" t="s">
        <v>472</v>
      </c>
      <c r="T63" s="52" t="s">
        <v>292</v>
      </c>
      <c r="U63" s="53" t="s">
        <v>292</v>
      </c>
      <c r="V63" s="49" t="s">
        <v>574</v>
      </c>
      <c r="W63" s="52" t="s">
        <v>292</v>
      </c>
      <c r="X63" s="53" t="s">
        <v>292</v>
      </c>
    </row>
    <row r="64" spans="2:24" x14ac:dyDescent="0.35">
      <c r="B64" s="32" t="s">
        <v>106</v>
      </c>
      <c r="C64" s="32" t="s">
        <v>113</v>
      </c>
      <c r="D64" s="49" t="s">
        <v>582</v>
      </c>
      <c r="E64" s="50">
        <v>1.9518404582581944E-2</v>
      </c>
      <c r="F64" s="51" t="s">
        <v>453</v>
      </c>
      <c r="G64" s="38" t="s">
        <v>301</v>
      </c>
      <c r="H64" s="52" t="s">
        <v>292</v>
      </c>
      <c r="I64" s="53" t="s">
        <v>292</v>
      </c>
      <c r="J64" s="52" t="s">
        <v>292</v>
      </c>
      <c r="K64" s="53" t="s">
        <v>292</v>
      </c>
      <c r="L64" s="49" t="s">
        <v>573</v>
      </c>
      <c r="M64" s="52" t="s">
        <v>292</v>
      </c>
      <c r="N64" s="53" t="s">
        <v>292</v>
      </c>
      <c r="O64" s="49" t="s">
        <v>466</v>
      </c>
      <c r="P64" s="50">
        <v>0.24</v>
      </c>
      <c r="Q64" s="51" t="s">
        <v>440</v>
      </c>
      <c r="R64" s="38" t="s">
        <v>301</v>
      </c>
      <c r="S64" s="49" t="s">
        <v>472</v>
      </c>
      <c r="T64" s="52" t="s">
        <v>292</v>
      </c>
      <c r="U64" s="53" t="s">
        <v>292</v>
      </c>
      <c r="V64" s="49" t="s">
        <v>574</v>
      </c>
      <c r="W64" s="52" t="s">
        <v>292</v>
      </c>
      <c r="X64" s="53" t="s">
        <v>292</v>
      </c>
    </row>
    <row r="65" spans="2:24" x14ac:dyDescent="0.35">
      <c r="B65" s="32" t="s">
        <v>106</v>
      </c>
      <c r="C65" s="32" t="s">
        <v>114</v>
      </c>
      <c r="D65" s="49" t="s">
        <v>486</v>
      </c>
      <c r="E65" s="50">
        <v>1.8616739153495279E-2</v>
      </c>
      <c r="F65" s="51" t="s">
        <v>453</v>
      </c>
      <c r="G65" s="38" t="s">
        <v>301</v>
      </c>
      <c r="H65" s="52" t="s">
        <v>292</v>
      </c>
      <c r="I65" s="53" t="s">
        <v>292</v>
      </c>
      <c r="J65" s="52" t="s">
        <v>292</v>
      </c>
      <c r="K65" s="53" t="s">
        <v>292</v>
      </c>
      <c r="L65" s="49" t="s">
        <v>573</v>
      </c>
      <c r="M65" s="52" t="s">
        <v>292</v>
      </c>
      <c r="N65" s="53" t="s">
        <v>292</v>
      </c>
      <c r="O65" s="49" t="s">
        <v>466</v>
      </c>
      <c r="P65" s="50">
        <v>0.24</v>
      </c>
      <c r="Q65" s="51" t="s">
        <v>440</v>
      </c>
      <c r="R65" s="38" t="s">
        <v>301</v>
      </c>
      <c r="S65" s="49" t="s">
        <v>472</v>
      </c>
      <c r="T65" s="52" t="s">
        <v>292</v>
      </c>
      <c r="U65" s="53" t="s">
        <v>292</v>
      </c>
      <c r="V65" s="49" t="s">
        <v>574</v>
      </c>
      <c r="W65" s="52" t="s">
        <v>292</v>
      </c>
      <c r="X65" s="53" t="s">
        <v>292</v>
      </c>
    </row>
    <row r="66" spans="2:24" x14ac:dyDescent="0.35">
      <c r="B66" s="32" t="s">
        <v>106</v>
      </c>
      <c r="C66" s="32" t="s">
        <v>108</v>
      </c>
      <c r="D66" s="49" t="s">
        <v>514</v>
      </c>
      <c r="E66" s="50">
        <v>1.8086347724620769E-2</v>
      </c>
      <c r="F66" s="51" t="s">
        <v>453</v>
      </c>
      <c r="G66" s="38" t="s">
        <v>301</v>
      </c>
      <c r="H66" s="52" t="s">
        <v>292</v>
      </c>
      <c r="I66" s="53" t="s">
        <v>292</v>
      </c>
      <c r="J66" s="52" t="s">
        <v>292</v>
      </c>
      <c r="K66" s="53" t="s">
        <v>292</v>
      </c>
      <c r="L66" s="49" t="s">
        <v>573</v>
      </c>
      <c r="M66" s="52" t="s">
        <v>292</v>
      </c>
      <c r="N66" s="53" t="s">
        <v>292</v>
      </c>
      <c r="O66" s="49" t="s">
        <v>466</v>
      </c>
      <c r="P66" s="50">
        <v>0.24</v>
      </c>
      <c r="Q66" s="51" t="s">
        <v>440</v>
      </c>
      <c r="R66" s="38" t="s">
        <v>301</v>
      </c>
      <c r="S66" s="49" t="s">
        <v>472</v>
      </c>
      <c r="T66" s="52" t="s">
        <v>292</v>
      </c>
      <c r="U66" s="53" t="s">
        <v>292</v>
      </c>
      <c r="V66" s="49" t="s">
        <v>574</v>
      </c>
      <c r="W66" s="52" t="s">
        <v>292</v>
      </c>
      <c r="X66" s="53" t="s">
        <v>292</v>
      </c>
    </row>
    <row r="67" spans="2:24" ht="15" thickBot="1" x14ac:dyDescent="0.4">
      <c r="B67" s="61" t="s">
        <v>106</v>
      </c>
      <c r="C67" s="61" t="s">
        <v>117</v>
      </c>
      <c r="D67" s="62" t="s">
        <v>583</v>
      </c>
      <c r="E67" s="63">
        <v>1.1456454863689403E-2</v>
      </c>
      <c r="F67" s="64" t="s">
        <v>453</v>
      </c>
      <c r="G67" s="65" t="s">
        <v>301</v>
      </c>
      <c r="H67" s="71" t="s">
        <v>292</v>
      </c>
      <c r="I67" s="72" t="s">
        <v>292</v>
      </c>
      <c r="J67" s="71" t="s">
        <v>292</v>
      </c>
      <c r="K67" s="72" t="s">
        <v>292</v>
      </c>
      <c r="L67" s="62" t="s">
        <v>573</v>
      </c>
      <c r="M67" s="71" t="s">
        <v>292</v>
      </c>
      <c r="N67" s="72" t="s">
        <v>292</v>
      </c>
      <c r="O67" s="62" t="s">
        <v>466</v>
      </c>
      <c r="P67" s="63">
        <v>0.24</v>
      </c>
      <c r="Q67" s="64" t="s">
        <v>440</v>
      </c>
      <c r="R67" s="65" t="s">
        <v>301</v>
      </c>
      <c r="S67" s="62" t="s">
        <v>472</v>
      </c>
      <c r="T67" s="71" t="s">
        <v>292</v>
      </c>
      <c r="U67" s="72" t="s">
        <v>292</v>
      </c>
      <c r="V67" s="62" t="s">
        <v>574</v>
      </c>
      <c r="W67" s="71" t="s">
        <v>292</v>
      </c>
      <c r="X67" s="72" t="s">
        <v>292</v>
      </c>
    </row>
    <row r="68" spans="2:24" ht="44" thickTop="1" x14ac:dyDescent="0.35">
      <c r="B68" s="54" t="s">
        <v>127</v>
      </c>
      <c r="C68" s="54" t="s">
        <v>131</v>
      </c>
      <c r="D68" s="55" t="s">
        <v>501</v>
      </c>
      <c r="E68" s="56">
        <v>1</v>
      </c>
      <c r="F68" s="57" t="s">
        <v>463</v>
      </c>
      <c r="G68" s="60" t="s">
        <v>301</v>
      </c>
      <c r="H68" s="58" t="s">
        <v>292</v>
      </c>
      <c r="I68" s="59" t="s">
        <v>292</v>
      </c>
      <c r="J68" s="58" t="s">
        <v>292</v>
      </c>
      <c r="K68" s="59" t="s">
        <v>292</v>
      </c>
      <c r="L68" s="55" t="s">
        <v>584</v>
      </c>
      <c r="M68" s="56">
        <v>0.53</v>
      </c>
      <c r="N68" s="57" t="s">
        <v>1014</v>
      </c>
      <c r="O68" s="55" t="s">
        <v>466</v>
      </c>
      <c r="P68" s="58" t="s">
        <v>292</v>
      </c>
      <c r="Q68" s="59" t="s">
        <v>292</v>
      </c>
      <c r="R68" s="60" t="s">
        <v>301</v>
      </c>
      <c r="S68" s="55" t="s">
        <v>472</v>
      </c>
      <c r="T68" s="58" t="s">
        <v>292</v>
      </c>
      <c r="U68" s="59" t="s">
        <v>292</v>
      </c>
      <c r="V68" s="55" t="s">
        <v>586</v>
      </c>
      <c r="W68" s="56">
        <v>0.36</v>
      </c>
      <c r="X68" s="57" t="s">
        <v>587</v>
      </c>
    </row>
    <row r="69" spans="2:24" ht="29" x14ac:dyDescent="0.35">
      <c r="B69" s="32" t="s">
        <v>127</v>
      </c>
      <c r="C69" s="32" t="s">
        <v>129</v>
      </c>
      <c r="D69" s="49" t="s">
        <v>462</v>
      </c>
      <c r="E69" s="50">
        <v>0.59599999999999997</v>
      </c>
      <c r="F69" s="51" t="s">
        <v>463</v>
      </c>
      <c r="G69" s="49" t="s">
        <v>588</v>
      </c>
      <c r="H69" s="50">
        <v>0.24394408801502696</v>
      </c>
      <c r="I69" s="51" t="s">
        <v>1000</v>
      </c>
      <c r="J69" s="52" t="s">
        <v>292</v>
      </c>
      <c r="K69" s="53" t="s">
        <v>292</v>
      </c>
      <c r="L69" s="49" t="s">
        <v>584</v>
      </c>
      <c r="M69" s="52" t="s">
        <v>292</v>
      </c>
      <c r="N69" s="53" t="s">
        <v>292</v>
      </c>
      <c r="O69" s="49" t="s">
        <v>466</v>
      </c>
      <c r="P69" s="50">
        <v>0.09</v>
      </c>
      <c r="Q69" s="51" t="s">
        <v>585</v>
      </c>
      <c r="R69" s="38" t="s">
        <v>301</v>
      </c>
      <c r="S69" s="49" t="s">
        <v>472</v>
      </c>
      <c r="T69" s="52" t="s">
        <v>292</v>
      </c>
      <c r="U69" s="53" t="s">
        <v>292</v>
      </c>
      <c r="V69" s="49" t="s">
        <v>589</v>
      </c>
      <c r="W69" s="50">
        <v>0.42880000000000001</v>
      </c>
      <c r="X69" s="51" t="s">
        <v>590</v>
      </c>
    </row>
    <row r="70" spans="2:24" ht="29" x14ac:dyDescent="0.35">
      <c r="B70" s="32" t="s">
        <v>127</v>
      </c>
      <c r="C70" s="32" t="s">
        <v>130</v>
      </c>
      <c r="D70" s="49" t="s">
        <v>462</v>
      </c>
      <c r="E70" s="50">
        <v>0.59599999999999997</v>
      </c>
      <c r="F70" s="51" t="s">
        <v>463</v>
      </c>
      <c r="G70" s="49" t="s">
        <v>591</v>
      </c>
      <c r="H70" s="50">
        <v>0.51211182396994614</v>
      </c>
      <c r="I70" s="51" t="s">
        <v>1000</v>
      </c>
      <c r="J70" s="52" t="s">
        <v>292</v>
      </c>
      <c r="K70" s="53" t="s">
        <v>292</v>
      </c>
      <c r="L70" s="49" t="s">
        <v>584</v>
      </c>
      <c r="M70" s="52" t="s">
        <v>292</v>
      </c>
      <c r="N70" s="53" t="s">
        <v>292</v>
      </c>
      <c r="O70" s="49" t="s">
        <v>466</v>
      </c>
      <c r="P70" s="50">
        <v>0.09</v>
      </c>
      <c r="Q70" s="51" t="s">
        <v>585</v>
      </c>
      <c r="R70" s="38" t="s">
        <v>301</v>
      </c>
      <c r="S70" s="49" t="s">
        <v>472</v>
      </c>
      <c r="T70" s="52" t="s">
        <v>292</v>
      </c>
      <c r="U70" s="53" t="s">
        <v>292</v>
      </c>
      <c r="V70" s="49" t="s">
        <v>592</v>
      </c>
      <c r="W70" s="50">
        <v>0.21120000000000003</v>
      </c>
      <c r="X70" s="51" t="s">
        <v>590</v>
      </c>
    </row>
    <row r="71" spans="2:24" ht="29" x14ac:dyDescent="0.35">
      <c r="B71" s="32" t="s">
        <v>127</v>
      </c>
      <c r="C71" s="32" t="s">
        <v>133</v>
      </c>
      <c r="D71" s="49" t="s">
        <v>462</v>
      </c>
      <c r="E71" s="50">
        <v>0.59599999999999997</v>
      </c>
      <c r="F71" s="51" t="s">
        <v>463</v>
      </c>
      <c r="G71" s="49" t="s">
        <v>593</v>
      </c>
      <c r="H71" s="50">
        <v>0.24394408801502696</v>
      </c>
      <c r="I71" s="51" t="s">
        <v>594</v>
      </c>
      <c r="J71" s="52" t="s">
        <v>292</v>
      </c>
      <c r="K71" s="53" t="s">
        <v>292</v>
      </c>
      <c r="L71" s="49" t="s">
        <v>595</v>
      </c>
      <c r="M71" s="52" t="s">
        <v>292</v>
      </c>
      <c r="N71" s="53" t="s">
        <v>292</v>
      </c>
      <c r="O71" s="49" t="s">
        <v>466</v>
      </c>
      <c r="P71" s="50">
        <v>0.09</v>
      </c>
      <c r="Q71" s="51" t="s">
        <v>585</v>
      </c>
      <c r="R71" s="38" t="s">
        <v>301</v>
      </c>
      <c r="S71" s="38" t="s">
        <v>484</v>
      </c>
      <c r="T71" s="52" t="s">
        <v>292</v>
      </c>
      <c r="U71" s="53" t="s">
        <v>292</v>
      </c>
      <c r="V71" s="49" t="s">
        <v>589</v>
      </c>
      <c r="W71" s="50">
        <v>0.42880000000000001</v>
      </c>
      <c r="X71" s="51" t="s">
        <v>590</v>
      </c>
    </row>
    <row r="72" spans="2:24" ht="43.5" x14ac:dyDescent="0.35">
      <c r="B72" s="32" t="s">
        <v>127</v>
      </c>
      <c r="C72" s="32" t="s">
        <v>139</v>
      </c>
      <c r="D72" s="49" t="s">
        <v>527</v>
      </c>
      <c r="E72" s="50">
        <v>0.21700000000000003</v>
      </c>
      <c r="F72" s="51" t="s">
        <v>519</v>
      </c>
      <c r="G72" s="38" t="s">
        <v>301</v>
      </c>
      <c r="H72" s="52" t="s">
        <v>292</v>
      </c>
      <c r="I72" s="53" t="s">
        <v>292</v>
      </c>
      <c r="J72" s="52" t="s">
        <v>292</v>
      </c>
      <c r="K72" s="53" t="s">
        <v>292</v>
      </c>
      <c r="L72" s="49" t="s">
        <v>596</v>
      </c>
      <c r="M72" s="50">
        <v>0.12</v>
      </c>
      <c r="N72" s="51" t="s">
        <v>1015</v>
      </c>
      <c r="O72" s="49" t="s">
        <v>521</v>
      </c>
      <c r="P72" s="50">
        <v>0.09</v>
      </c>
      <c r="Q72" s="51" t="s">
        <v>585</v>
      </c>
      <c r="R72" s="38" t="s">
        <v>301</v>
      </c>
      <c r="S72" s="49" t="s">
        <v>522</v>
      </c>
      <c r="T72" s="52" t="s">
        <v>292</v>
      </c>
      <c r="U72" s="53" t="s">
        <v>292</v>
      </c>
      <c r="V72" s="49" t="s">
        <v>597</v>
      </c>
      <c r="W72" s="52" t="s">
        <v>292</v>
      </c>
      <c r="X72" s="53" t="s">
        <v>292</v>
      </c>
    </row>
    <row r="73" spans="2:24" ht="29" x14ac:dyDescent="0.35">
      <c r="B73" s="32" t="s">
        <v>127</v>
      </c>
      <c r="C73" s="32" t="s">
        <v>135</v>
      </c>
      <c r="D73" s="49" t="s">
        <v>569</v>
      </c>
      <c r="E73" s="50">
        <v>2.7000000000000003E-2</v>
      </c>
      <c r="F73" s="51" t="s">
        <v>463</v>
      </c>
      <c r="G73" s="38" t="s">
        <v>301</v>
      </c>
      <c r="H73" s="52" t="s">
        <v>292</v>
      </c>
      <c r="I73" s="53" t="s">
        <v>292</v>
      </c>
      <c r="J73" s="52" t="s">
        <v>292</v>
      </c>
      <c r="K73" s="53" t="s">
        <v>292</v>
      </c>
      <c r="L73" s="49" t="s">
        <v>598</v>
      </c>
      <c r="M73" s="52" t="s">
        <v>292</v>
      </c>
      <c r="N73" s="53" t="s">
        <v>292</v>
      </c>
      <c r="O73" s="49" t="s">
        <v>466</v>
      </c>
      <c r="P73" s="50">
        <v>0.09</v>
      </c>
      <c r="Q73" s="51" t="s">
        <v>585</v>
      </c>
      <c r="R73" s="49" t="s">
        <v>599</v>
      </c>
      <c r="S73" s="49" t="s">
        <v>468</v>
      </c>
      <c r="T73" s="50">
        <v>0.15</v>
      </c>
      <c r="U73" s="51" t="s">
        <v>505</v>
      </c>
      <c r="V73" s="49" t="s">
        <v>586</v>
      </c>
      <c r="W73" s="50">
        <v>0.36</v>
      </c>
      <c r="X73" s="51" t="s">
        <v>587</v>
      </c>
    </row>
    <row r="74" spans="2:24" ht="29.5" thickBot="1" x14ac:dyDescent="0.4">
      <c r="B74" s="61" t="s">
        <v>127</v>
      </c>
      <c r="C74" s="61" t="s">
        <v>137</v>
      </c>
      <c r="D74" s="62" t="s">
        <v>569</v>
      </c>
      <c r="E74" s="63">
        <v>2.7000000000000003E-2</v>
      </c>
      <c r="F74" s="64" t="s">
        <v>463</v>
      </c>
      <c r="G74" s="65" t="s">
        <v>301</v>
      </c>
      <c r="H74" s="71" t="s">
        <v>292</v>
      </c>
      <c r="I74" s="72" t="s">
        <v>292</v>
      </c>
      <c r="J74" s="71" t="s">
        <v>292</v>
      </c>
      <c r="K74" s="72" t="s">
        <v>292</v>
      </c>
      <c r="L74" s="62" t="s">
        <v>600</v>
      </c>
      <c r="M74" s="71" t="s">
        <v>292</v>
      </c>
      <c r="N74" s="72" t="s">
        <v>292</v>
      </c>
      <c r="O74" s="62" t="s">
        <v>466</v>
      </c>
      <c r="P74" s="63">
        <v>0.09</v>
      </c>
      <c r="Q74" s="64" t="s">
        <v>585</v>
      </c>
      <c r="R74" s="62" t="s">
        <v>601</v>
      </c>
      <c r="S74" s="62" t="s">
        <v>472</v>
      </c>
      <c r="T74" s="63">
        <v>0.85</v>
      </c>
      <c r="U74" s="64" t="s">
        <v>505</v>
      </c>
      <c r="V74" s="62" t="s">
        <v>586</v>
      </c>
      <c r="W74" s="63">
        <v>0.36</v>
      </c>
      <c r="X74" s="64" t="s">
        <v>587</v>
      </c>
    </row>
    <row r="75" spans="2:24" ht="29.5" thickTop="1" x14ac:dyDescent="0.35">
      <c r="B75" s="54" t="s">
        <v>140</v>
      </c>
      <c r="C75" s="54" t="s">
        <v>146</v>
      </c>
      <c r="D75" s="55" t="s">
        <v>602</v>
      </c>
      <c r="E75" s="56">
        <v>0.33739057</v>
      </c>
      <c r="F75" s="57" t="s">
        <v>463</v>
      </c>
      <c r="G75" s="60" t="s">
        <v>301</v>
      </c>
      <c r="H75" s="58" t="s">
        <v>292</v>
      </c>
      <c r="I75" s="59" t="s">
        <v>292</v>
      </c>
      <c r="J75" s="58" t="s">
        <v>292</v>
      </c>
      <c r="K75" s="59" t="s">
        <v>292</v>
      </c>
      <c r="L75" s="55" t="s">
        <v>598</v>
      </c>
      <c r="M75" s="58" t="s">
        <v>292</v>
      </c>
      <c r="N75" s="59" t="s">
        <v>292</v>
      </c>
      <c r="O75" s="55" t="s">
        <v>466</v>
      </c>
      <c r="P75" s="56">
        <v>0.26</v>
      </c>
      <c r="Q75" s="57" t="s">
        <v>440</v>
      </c>
      <c r="R75" s="55" t="s">
        <v>603</v>
      </c>
      <c r="S75" s="55" t="s">
        <v>472</v>
      </c>
      <c r="T75" s="58" t="s">
        <v>292</v>
      </c>
      <c r="U75" s="59" t="s">
        <v>292</v>
      </c>
      <c r="V75" s="55" t="s">
        <v>604</v>
      </c>
      <c r="W75" s="56">
        <v>0.03</v>
      </c>
      <c r="X75" s="57" t="s">
        <v>504</v>
      </c>
    </row>
    <row r="76" spans="2:24" ht="29" x14ac:dyDescent="0.35">
      <c r="B76" s="32" t="s">
        <v>140</v>
      </c>
      <c r="C76" s="32" t="s">
        <v>148</v>
      </c>
      <c r="D76" s="49" t="s">
        <v>602</v>
      </c>
      <c r="E76" s="50">
        <v>0.33739057</v>
      </c>
      <c r="F76" s="51" t="s">
        <v>463</v>
      </c>
      <c r="G76" s="38" t="s">
        <v>301</v>
      </c>
      <c r="H76" s="52" t="s">
        <v>292</v>
      </c>
      <c r="I76" s="53" t="s">
        <v>292</v>
      </c>
      <c r="J76" s="52" t="s">
        <v>292</v>
      </c>
      <c r="K76" s="53" t="s">
        <v>292</v>
      </c>
      <c r="L76" s="49" t="s">
        <v>598</v>
      </c>
      <c r="M76" s="52" t="s">
        <v>292</v>
      </c>
      <c r="N76" s="53" t="s">
        <v>292</v>
      </c>
      <c r="O76" s="49" t="s">
        <v>466</v>
      </c>
      <c r="P76" s="50">
        <v>0.26</v>
      </c>
      <c r="Q76" s="51" t="s">
        <v>440</v>
      </c>
      <c r="R76" s="49" t="s">
        <v>605</v>
      </c>
      <c r="S76" s="49" t="s">
        <v>472</v>
      </c>
      <c r="T76" s="52" t="s">
        <v>292</v>
      </c>
      <c r="U76" s="53" t="s">
        <v>292</v>
      </c>
      <c r="V76" s="49" t="s">
        <v>606</v>
      </c>
      <c r="W76" s="50">
        <v>0.4</v>
      </c>
      <c r="X76" s="51" t="s">
        <v>504</v>
      </c>
    </row>
    <row r="77" spans="2:24" ht="29" x14ac:dyDescent="0.35">
      <c r="B77" s="32" t="s">
        <v>140</v>
      </c>
      <c r="C77" s="32" t="s">
        <v>142</v>
      </c>
      <c r="D77" s="49" t="s">
        <v>462</v>
      </c>
      <c r="E77" s="50">
        <v>0.26301643400000002</v>
      </c>
      <c r="F77" s="51" t="s">
        <v>463</v>
      </c>
      <c r="G77" s="49" t="s">
        <v>607</v>
      </c>
      <c r="H77" s="52" t="s">
        <v>292</v>
      </c>
      <c r="I77" s="53" t="s">
        <v>292</v>
      </c>
      <c r="J77" s="52" t="s">
        <v>292</v>
      </c>
      <c r="K77" s="53" t="s">
        <v>292</v>
      </c>
      <c r="L77" s="49" t="s">
        <v>595</v>
      </c>
      <c r="M77" s="52" t="s">
        <v>292</v>
      </c>
      <c r="N77" s="53" t="s">
        <v>292</v>
      </c>
      <c r="O77" s="49" t="s">
        <v>466</v>
      </c>
      <c r="P77" s="50">
        <v>0.26</v>
      </c>
      <c r="Q77" s="51" t="s">
        <v>440</v>
      </c>
      <c r="R77" s="49" t="s">
        <v>608</v>
      </c>
      <c r="S77" s="49" t="s">
        <v>472</v>
      </c>
      <c r="T77" s="50">
        <v>0.5</v>
      </c>
      <c r="U77" s="51" t="s">
        <v>609</v>
      </c>
      <c r="V77" s="49" t="s">
        <v>610</v>
      </c>
      <c r="W77" s="50">
        <v>0.3</v>
      </c>
      <c r="X77" s="51" t="s">
        <v>504</v>
      </c>
    </row>
    <row r="78" spans="2:24" ht="29" x14ac:dyDescent="0.35">
      <c r="B78" s="32" t="s">
        <v>140</v>
      </c>
      <c r="C78" s="32" t="s">
        <v>143</v>
      </c>
      <c r="D78" s="49" t="s">
        <v>462</v>
      </c>
      <c r="E78" s="50">
        <v>0.26301643400000002</v>
      </c>
      <c r="F78" s="51" t="s">
        <v>463</v>
      </c>
      <c r="G78" s="49" t="s">
        <v>607</v>
      </c>
      <c r="H78" s="52" t="s">
        <v>292</v>
      </c>
      <c r="I78" s="53" t="s">
        <v>292</v>
      </c>
      <c r="J78" s="52" t="s">
        <v>292</v>
      </c>
      <c r="K78" s="53" t="s">
        <v>292</v>
      </c>
      <c r="L78" s="49" t="s">
        <v>595</v>
      </c>
      <c r="M78" s="52" t="s">
        <v>292</v>
      </c>
      <c r="N78" s="53" t="s">
        <v>292</v>
      </c>
      <c r="O78" s="49" t="s">
        <v>466</v>
      </c>
      <c r="P78" s="50">
        <v>0.26</v>
      </c>
      <c r="Q78" s="51" t="s">
        <v>440</v>
      </c>
      <c r="R78" s="49" t="s">
        <v>611</v>
      </c>
      <c r="S78" s="49" t="s">
        <v>472</v>
      </c>
      <c r="T78" s="50">
        <v>0.5</v>
      </c>
      <c r="U78" s="51" t="s">
        <v>609</v>
      </c>
      <c r="V78" s="49" t="s">
        <v>610</v>
      </c>
      <c r="W78" s="50">
        <v>0.3</v>
      </c>
      <c r="X78" s="51" t="s">
        <v>504</v>
      </c>
    </row>
    <row r="79" spans="2:24" ht="29" x14ac:dyDescent="0.35">
      <c r="B79" s="32" t="s">
        <v>140</v>
      </c>
      <c r="C79" s="32" t="s">
        <v>144</v>
      </c>
      <c r="D79" s="49" t="s">
        <v>462</v>
      </c>
      <c r="E79" s="50">
        <v>0.26301643400000002</v>
      </c>
      <c r="F79" s="51" t="s">
        <v>519</v>
      </c>
      <c r="G79" s="38" t="s">
        <v>301</v>
      </c>
      <c r="H79" s="52" t="s">
        <v>292</v>
      </c>
      <c r="I79" s="53" t="s">
        <v>292</v>
      </c>
      <c r="J79" s="52" t="s">
        <v>292</v>
      </c>
      <c r="K79" s="53" t="s">
        <v>292</v>
      </c>
      <c r="L79" s="49" t="s">
        <v>612</v>
      </c>
      <c r="M79" s="52" t="s">
        <v>292</v>
      </c>
      <c r="N79" s="53" t="s">
        <v>292</v>
      </c>
      <c r="O79" s="49" t="s">
        <v>521</v>
      </c>
      <c r="P79" s="50">
        <v>0.26</v>
      </c>
      <c r="Q79" s="51" t="s">
        <v>440</v>
      </c>
      <c r="R79" s="38" t="s">
        <v>301</v>
      </c>
      <c r="S79" s="49" t="s">
        <v>522</v>
      </c>
      <c r="T79" s="52" t="s">
        <v>292</v>
      </c>
      <c r="U79" s="53" t="s">
        <v>292</v>
      </c>
      <c r="V79" s="49" t="s">
        <v>610</v>
      </c>
      <c r="W79" s="52" t="s">
        <v>292</v>
      </c>
      <c r="X79" s="53" t="s">
        <v>292</v>
      </c>
    </row>
    <row r="80" spans="2:24" ht="29" x14ac:dyDescent="0.35">
      <c r="B80" s="32" t="s">
        <v>140</v>
      </c>
      <c r="C80" s="32" t="s">
        <v>150</v>
      </c>
      <c r="D80" s="49" t="s">
        <v>462</v>
      </c>
      <c r="E80" s="50">
        <v>0.26301643400000002</v>
      </c>
      <c r="F80" s="51" t="s">
        <v>463</v>
      </c>
      <c r="G80" s="38" t="s">
        <v>301</v>
      </c>
      <c r="H80" s="52" t="s">
        <v>292</v>
      </c>
      <c r="I80" s="53" t="s">
        <v>292</v>
      </c>
      <c r="J80" s="52" t="s">
        <v>292</v>
      </c>
      <c r="K80" s="53" t="s">
        <v>292</v>
      </c>
      <c r="L80" s="49" t="s">
        <v>598</v>
      </c>
      <c r="M80" s="52" t="s">
        <v>292</v>
      </c>
      <c r="N80" s="53" t="s">
        <v>292</v>
      </c>
      <c r="O80" s="49" t="s">
        <v>466</v>
      </c>
      <c r="P80" s="50">
        <v>0.26</v>
      </c>
      <c r="Q80" s="51" t="s">
        <v>440</v>
      </c>
      <c r="R80" s="49" t="s">
        <v>613</v>
      </c>
      <c r="S80" s="49" t="s">
        <v>472</v>
      </c>
      <c r="T80" s="52" t="s">
        <v>292</v>
      </c>
      <c r="U80" s="53" t="s">
        <v>292</v>
      </c>
      <c r="V80" s="49" t="s">
        <v>614</v>
      </c>
      <c r="W80" s="50">
        <v>0.15</v>
      </c>
      <c r="X80" s="51" t="s">
        <v>504</v>
      </c>
    </row>
    <row r="81" spans="2:24" ht="43.5" x14ac:dyDescent="0.35">
      <c r="B81" s="32" t="s">
        <v>140</v>
      </c>
      <c r="C81" s="32" t="s">
        <v>154</v>
      </c>
      <c r="D81" s="49" t="s">
        <v>501</v>
      </c>
      <c r="E81" s="50">
        <v>0.15</v>
      </c>
      <c r="F81" s="51" t="s">
        <v>615</v>
      </c>
      <c r="G81" s="38" t="s">
        <v>301</v>
      </c>
      <c r="H81" s="52" t="s">
        <v>292</v>
      </c>
      <c r="I81" s="53" t="s">
        <v>292</v>
      </c>
      <c r="J81" s="52" t="s">
        <v>292</v>
      </c>
      <c r="K81" s="53" t="s">
        <v>292</v>
      </c>
      <c r="L81" s="49" t="s">
        <v>595</v>
      </c>
      <c r="M81" s="52" t="s">
        <v>292</v>
      </c>
      <c r="N81" s="53" t="s">
        <v>292</v>
      </c>
      <c r="O81" s="49" t="s">
        <v>466</v>
      </c>
      <c r="P81" s="50">
        <v>0</v>
      </c>
      <c r="Q81" s="51" t="s">
        <v>616</v>
      </c>
      <c r="R81" s="38" t="s">
        <v>301</v>
      </c>
      <c r="S81" s="38" t="s">
        <v>484</v>
      </c>
      <c r="T81" s="52" t="s">
        <v>292</v>
      </c>
      <c r="U81" s="53" t="s">
        <v>292</v>
      </c>
      <c r="V81" s="49" t="s">
        <v>617</v>
      </c>
      <c r="W81" s="50">
        <v>0.1</v>
      </c>
      <c r="X81" s="51" t="s">
        <v>504</v>
      </c>
    </row>
    <row r="82" spans="2:24" ht="29" x14ac:dyDescent="0.35">
      <c r="B82" s="32" t="s">
        <v>140</v>
      </c>
      <c r="C82" s="32" t="s">
        <v>145</v>
      </c>
      <c r="D82" s="49" t="s">
        <v>569</v>
      </c>
      <c r="E82" s="50">
        <v>3.8012594099999998E-2</v>
      </c>
      <c r="F82" s="51" t="s">
        <v>463</v>
      </c>
      <c r="G82" s="38" t="s">
        <v>301</v>
      </c>
      <c r="H82" s="52" t="s">
        <v>292</v>
      </c>
      <c r="I82" s="53" t="s">
        <v>292</v>
      </c>
      <c r="J82" s="52" t="s">
        <v>292</v>
      </c>
      <c r="K82" s="53" t="s">
        <v>292</v>
      </c>
      <c r="L82" s="49" t="s">
        <v>600</v>
      </c>
      <c r="M82" s="50">
        <v>0.95</v>
      </c>
      <c r="N82" s="51" t="s">
        <v>1016</v>
      </c>
      <c r="O82" s="49" t="s">
        <v>466</v>
      </c>
      <c r="P82" s="50">
        <v>0.26</v>
      </c>
      <c r="Q82" s="51" t="s">
        <v>440</v>
      </c>
      <c r="R82" s="49" t="s">
        <v>601</v>
      </c>
      <c r="S82" s="49" t="s">
        <v>472</v>
      </c>
      <c r="T82" s="52" t="s">
        <v>292</v>
      </c>
      <c r="U82" s="53" t="s">
        <v>292</v>
      </c>
      <c r="V82" s="49" t="s">
        <v>610</v>
      </c>
      <c r="W82" s="50">
        <v>0.3</v>
      </c>
      <c r="X82" s="51" t="s">
        <v>504</v>
      </c>
    </row>
    <row r="83" spans="2:24" ht="29" x14ac:dyDescent="0.35">
      <c r="B83" s="32" t="s">
        <v>140</v>
      </c>
      <c r="C83" s="32" t="s">
        <v>151</v>
      </c>
      <c r="D83" s="49" t="s">
        <v>569</v>
      </c>
      <c r="E83" s="50">
        <v>3.8012594099999998E-2</v>
      </c>
      <c r="F83" s="51" t="s">
        <v>463</v>
      </c>
      <c r="G83" s="38" t="s">
        <v>301</v>
      </c>
      <c r="H83" s="52" t="s">
        <v>292</v>
      </c>
      <c r="I83" s="53" t="s">
        <v>292</v>
      </c>
      <c r="J83" s="52" t="s">
        <v>292</v>
      </c>
      <c r="K83" s="53" t="s">
        <v>292</v>
      </c>
      <c r="L83" s="49" t="s">
        <v>598</v>
      </c>
      <c r="M83" s="50">
        <v>0.05</v>
      </c>
      <c r="N83" s="51" t="s">
        <v>1016</v>
      </c>
      <c r="O83" s="49" t="s">
        <v>466</v>
      </c>
      <c r="P83" s="50">
        <v>0.26</v>
      </c>
      <c r="Q83" s="51" t="s">
        <v>440</v>
      </c>
      <c r="R83" s="49" t="s">
        <v>599</v>
      </c>
      <c r="S83" s="49" t="s">
        <v>468</v>
      </c>
      <c r="T83" s="52" t="s">
        <v>292</v>
      </c>
      <c r="U83" s="53" t="s">
        <v>292</v>
      </c>
      <c r="V83" s="49" t="s">
        <v>610</v>
      </c>
      <c r="W83" s="50">
        <v>0.3</v>
      </c>
      <c r="X83" s="51" t="s">
        <v>504</v>
      </c>
    </row>
    <row r="84" spans="2:24" ht="29" x14ac:dyDescent="0.35">
      <c r="B84" s="32" t="s">
        <v>140</v>
      </c>
      <c r="C84" s="32" t="s">
        <v>152</v>
      </c>
      <c r="D84" s="49" t="s">
        <v>569</v>
      </c>
      <c r="E84" s="50">
        <v>3.8012594099999998E-2</v>
      </c>
      <c r="F84" s="51" t="s">
        <v>463</v>
      </c>
      <c r="G84" s="38" t="s">
        <v>301</v>
      </c>
      <c r="H84" s="52" t="s">
        <v>292</v>
      </c>
      <c r="I84" s="53" t="s">
        <v>292</v>
      </c>
      <c r="J84" s="52" t="s">
        <v>292</v>
      </c>
      <c r="K84" s="53" t="s">
        <v>292</v>
      </c>
      <c r="L84" s="49" t="s">
        <v>598</v>
      </c>
      <c r="M84" s="52" t="s">
        <v>292</v>
      </c>
      <c r="N84" s="53" t="s">
        <v>292</v>
      </c>
      <c r="O84" s="49" t="s">
        <v>466</v>
      </c>
      <c r="P84" s="50">
        <v>0.26</v>
      </c>
      <c r="Q84" s="51" t="s">
        <v>440</v>
      </c>
      <c r="R84" s="38" t="s">
        <v>301</v>
      </c>
      <c r="S84" s="38" t="s">
        <v>484</v>
      </c>
      <c r="T84" s="52" t="s">
        <v>292</v>
      </c>
      <c r="U84" s="53" t="s">
        <v>292</v>
      </c>
      <c r="V84" s="49" t="s">
        <v>614</v>
      </c>
      <c r="W84" s="50">
        <v>0.15</v>
      </c>
      <c r="X84" s="51" t="s">
        <v>504</v>
      </c>
    </row>
    <row r="85" spans="2:24" ht="29.5" thickBot="1" x14ac:dyDescent="0.4">
      <c r="B85" s="61" t="s">
        <v>140</v>
      </c>
      <c r="C85" s="61" t="s">
        <v>147</v>
      </c>
      <c r="D85" s="62" t="s">
        <v>618</v>
      </c>
      <c r="E85" s="63">
        <v>1.4705882400000002E-2</v>
      </c>
      <c r="F85" s="64" t="s">
        <v>463</v>
      </c>
      <c r="G85" s="65" t="s">
        <v>301</v>
      </c>
      <c r="H85" s="71" t="s">
        <v>292</v>
      </c>
      <c r="I85" s="72" t="s">
        <v>292</v>
      </c>
      <c r="J85" s="71" t="s">
        <v>292</v>
      </c>
      <c r="K85" s="72" t="s">
        <v>292</v>
      </c>
      <c r="L85" s="62" t="s">
        <v>598</v>
      </c>
      <c r="M85" s="63">
        <v>0.7</v>
      </c>
      <c r="N85" s="64" t="s">
        <v>1017</v>
      </c>
      <c r="O85" s="62" t="s">
        <v>466</v>
      </c>
      <c r="P85" s="63">
        <v>0.26</v>
      </c>
      <c r="Q85" s="64" t="s">
        <v>440</v>
      </c>
      <c r="R85" s="62" t="s">
        <v>603</v>
      </c>
      <c r="S85" s="62" t="s">
        <v>472</v>
      </c>
      <c r="T85" s="71" t="s">
        <v>292</v>
      </c>
      <c r="U85" s="72" t="s">
        <v>292</v>
      </c>
      <c r="V85" s="62" t="s">
        <v>614</v>
      </c>
      <c r="W85" s="71" t="s">
        <v>292</v>
      </c>
      <c r="X85" s="72" t="s">
        <v>292</v>
      </c>
    </row>
    <row r="86" spans="2:24" ht="29.5" thickTop="1" x14ac:dyDescent="0.35">
      <c r="B86" s="54" t="s">
        <v>155</v>
      </c>
      <c r="C86" s="54" t="s">
        <v>162</v>
      </c>
      <c r="D86" s="55" t="s">
        <v>462</v>
      </c>
      <c r="E86" s="56">
        <v>0.38300000000000001</v>
      </c>
      <c r="F86" s="57" t="s">
        <v>463</v>
      </c>
      <c r="G86" s="55" t="s">
        <v>619</v>
      </c>
      <c r="H86" s="58" t="s">
        <v>292</v>
      </c>
      <c r="I86" s="59" t="s">
        <v>292</v>
      </c>
      <c r="J86" s="58" t="s">
        <v>292</v>
      </c>
      <c r="K86" s="59" t="s">
        <v>292</v>
      </c>
      <c r="L86" s="55" t="s">
        <v>620</v>
      </c>
      <c r="M86" s="58" t="s">
        <v>292</v>
      </c>
      <c r="N86" s="59" t="s">
        <v>292</v>
      </c>
      <c r="O86" s="55" t="s">
        <v>521</v>
      </c>
      <c r="P86" s="56">
        <v>0.19</v>
      </c>
      <c r="Q86" s="57" t="s">
        <v>621</v>
      </c>
      <c r="R86" s="60" t="s">
        <v>301</v>
      </c>
      <c r="S86" s="55" t="s">
        <v>522</v>
      </c>
      <c r="T86" s="56">
        <v>1</v>
      </c>
      <c r="U86" s="57" t="s">
        <v>622</v>
      </c>
      <c r="V86" s="55" t="s">
        <v>623</v>
      </c>
      <c r="W86" s="58" t="s">
        <v>292</v>
      </c>
      <c r="X86" s="59" t="s">
        <v>292</v>
      </c>
    </row>
    <row r="87" spans="2:24" ht="43.5" x14ac:dyDescent="0.35">
      <c r="B87" s="32" t="s">
        <v>155</v>
      </c>
      <c r="C87" s="32" t="s">
        <v>163</v>
      </c>
      <c r="D87" s="49" t="s">
        <v>462</v>
      </c>
      <c r="E87" s="50">
        <v>0.38300000000000001</v>
      </c>
      <c r="F87" s="51" t="s">
        <v>463</v>
      </c>
      <c r="G87" s="49" t="s">
        <v>619</v>
      </c>
      <c r="H87" s="52" t="s">
        <v>292</v>
      </c>
      <c r="I87" s="53" t="s">
        <v>292</v>
      </c>
      <c r="J87" s="52" t="s">
        <v>292</v>
      </c>
      <c r="K87" s="53" t="s">
        <v>292</v>
      </c>
      <c r="L87" s="49" t="s">
        <v>584</v>
      </c>
      <c r="M87" s="50">
        <v>0.30297256097560976</v>
      </c>
      <c r="N87" s="51" t="s">
        <v>1018</v>
      </c>
      <c r="O87" s="49" t="s">
        <v>466</v>
      </c>
      <c r="P87" s="50">
        <v>0.19</v>
      </c>
      <c r="Q87" s="51" t="s">
        <v>621</v>
      </c>
      <c r="R87" s="38" t="s">
        <v>301</v>
      </c>
      <c r="S87" s="49" t="s">
        <v>472</v>
      </c>
      <c r="T87" s="52" t="s">
        <v>292</v>
      </c>
      <c r="U87" s="53" t="s">
        <v>292</v>
      </c>
      <c r="V87" s="49" t="s">
        <v>623</v>
      </c>
      <c r="W87" s="52" t="s">
        <v>292</v>
      </c>
      <c r="X87" s="53" t="s">
        <v>292</v>
      </c>
    </row>
    <row r="88" spans="2:24" ht="43.5" x14ac:dyDescent="0.35">
      <c r="B88" s="32" t="s">
        <v>155</v>
      </c>
      <c r="C88" s="32" t="s">
        <v>169</v>
      </c>
      <c r="D88" s="49" t="s">
        <v>462</v>
      </c>
      <c r="E88" s="50">
        <v>0.38300000000000001</v>
      </c>
      <c r="F88" s="51" t="s">
        <v>519</v>
      </c>
      <c r="G88" s="38" t="s">
        <v>301</v>
      </c>
      <c r="H88" s="52" t="s">
        <v>292</v>
      </c>
      <c r="I88" s="53" t="s">
        <v>292</v>
      </c>
      <c r="J88" s="52" t="s">
        <v>292</v>
      </c>
      <c r="K88" s="53" t="s">
        <v>292</v>
      </c>
      <c r="L88" s="49" t="s">
        <v>576</v>
      </c>
      <c r="M88" s="50">
        <v>0.31135670731707316</v>
      </c>
      <c r="N88" s="51" t="s">
        <v>1018</v>
      </c>
      <c r="O88" s="49" t="s">
        <v>521</v>
      </c>
      <c r="P88" s="50">
        <v>0.19</v>
      </c>
      <c r="Q88" s="51" t="s">
        <v>621</v>
      </c>
      <c r="R88" s="38" t="s">
        <v>301</v>
      </c>
      <c r="S88" s="49" t="s">
        <v>522</v>
      </c>
      <c r="T88" s="52" t="s">
        <v>292</v>
      </c>
      <c r="U88" s="53" t="s">
        <v>292</v>
      </c>
      <c r="V88" s="49" t="s">
        <v>623</v>
      </c>
      <c r="W88" s="52" t="s">
        <v>292</v>
      </c>
      <c r="X88" s="53" t="s">
        <v>292</v>
      </c>
    </row>
    <row r="89" spans="2:24" ht="43.5" x14ac:dyDescent="0.35">
      <c r="B89" s="32" t="s">
        <v>155</v>
      </c>
      <c r="C89" s="32" t="s">
        <v>170</v>
      </c>
      <c r="D89" s="49" t="s">
        <v>462</v>
      </c>
      <c r="E89" s="50">
        <v>0.38300000000000001</v>
      </c>
      <c r="F89" s="51" t="s">
        <v>519</v>
      </c>
      <c r="G89" s="38" t="s">
        <v>301</v>
      </c>
      <c r="H89" s="52" t="s">
        <v>292</v>
      </c>
      <c r="I89" s="53" t="s">
        <v>292</v>
      </c>
      <c r="J89" s="52" t="s">
        <v>292</v>
      </c>
      <c r="K89" s="53" t="s">
        <v>292</v>
      </c>
      <c r="L89" s="49" t="s">
        <v>578</v>
      </c>
      <c r="M89" s="50">
        <v>8.4603658536585372E-2</v>
      </c>
      <c r="N89" s="51" t="s">
        <v>1018</v>
      </c>
      <c r="O89" s="49" t="s">
        <v>521</v>
      </c>
      <c r="P89" s="50">
        <v>0.19</v>
      </c>
      <c r="Q89" s="51" t="s">
        <v>621</v>
      </c>
      <c r="R89" s="38" t="s">
        <v>301</v>
      </c>
      <c r="S89" s="49" t="s">
        <v>522</v>
      </c>
      <c r="T89" s="52" t="s">
        <v>292</v>
      </c>
      <c r="U89" s="53" t="s">
        <v>292</v>
      </c>
      <c r="V89" s="49" t="s">
        <v>623</v>
      </c>
      <c r="W89" s="52" t="s">
        <v>292</v>
      </c>
      <c r="X89" s="53" t="s">
        <v>292</v>
      </c>
    </row>
    <row r="90" spans="2:24" ht="43.5" x14ac:dyDescent="0.35">
      <c r="B90" s="32" t="s">
        <v>155</v>
      </c>
      <c r="C90" s="32" t="s">
        <v>171</v>
      </c>
      <c r="D90" s="49" t="s">
        <v>462</v>
      </c>
      <c r="E90" s="50">
        <v>0.38300000000000001</v>
      </c>
      <c r="F90" s="51" t="s">
        <v>519</v>
      </c>
      <c r="G90" s="38" t="s">
        <v>301</v>
      </c>
      <c r="H90" s="52" t="s">
        <v>292</v>
      </c>
      <c r="I90" s="53" t="s">
        <v>292</v>
      </c>
      <c r="J90" s="52" t="s">
        <v>292</v>
      </c>
      <c r="K90" s="53" t="s">
        <v>292</v>
      </c>
      <c r="L90" s="49" t="s">
        <v>624</v>
      </c>
      <c r="M90" s="50">
        <v>0.30106707317073172</v>
      </c>
      <c r="N90" s="51" t="s">
        <v>1018</v>
      </c>
      <c r="O90" s="49" t="s">
        <v>521</v>
      </c>
      <c r="P90" s="50">
        <v>0.19</v>
      </c>
      <c r="Q90" s="51" t="s">
        <v>621</v>
      </c>
      <c r="R90" s="38" t="s">
        <v>301</v>
      </c>
      <c r="S90" s="49" t="s">
        <v>522</v>
      </c>
      <c r="T90" s="52" t="s">
        <v>292</v>
      </c>
      <c r="U90" s="53" t="s">
        <v>292</v>
      </c>
      <c r="V90" s="49" t="s">
        <v>623</v>
      </c>
      <c r="W90" s="52" t="s">
        <v>292</v>
      </c>
      <c r="X90" s="53" t="s">
        <v>292</v>
      </c>
    </row>
    <row r="91" spans="2:24" ht="29" x14ac:dyDescent="0.35">
      <c r="B91" s="32" t="s">
        <v>155</v>
      </c>
      <c r="C91" s="32" t="s">
        <v>173</v>
      </c>
      <c r="D91" s="49" t="s">
        <v>476</v>
      </c>
      <c r="E91" s="50">
        <v>0.1</v>
      </c>
      <c r="F91" s="51" t="s">
        <v>463</v>
      </c>
      <c r="G91" s="38" t="s">
        <v>301</v>
      </c>
      <c r="H91" s="52" t="s">
        <v>292</v>
      </c>
      <c r="I91" s="53" t="s">
        <v>292</v>
      </c>
      <c r="J91" s="52" t="s">
        <v>292</v>
      </c>
      <c r="K91" s="53" t="s">
        <v>292</v>
      </c>
      <c r="L91" s="49" t="s">
        <v>584</v>
      </c>
      <c r="M91" s="52" t="s">
        <v>292</v>
      </c>
      <c r="N91" s="53" t="s">
        <v>292</v>
      </c>
      <c r="O91" s="49" t="s">
        <v>466</v>
      </c>
      <c r="P91" s="50">
        <v>0</v>
      </c>
      <c r="Q91" s="51" t="s">
        <v>622</v>
      </c>
      <c r="R91" s="38" t="s">
        <v>301</v>
      </c>
      <c r="S91" s="49" t="s">
        <v>472</v>
      </c>
      <c r="T91" s="50">
        <v>0.36</v>
      </c>
      <c r="U91" s="51" t="s">
        <v>622</v>
      </c>
      <c r="V91" s="49" t="s">
        <v>623</v>
      </c>
      <c r="W91" s="52" t="s">
        <v>292</v>
      </c>
      <c r="X91" s="53" t="s">
        <v>292</v>
      </c>
    </row>
    <row r="92" spans="2:24" ht="29" x14ac:dyDescent="0.35">
      <c r="B92" s="32" t="s">
        <v>155</v>
      </c>
      <c r="C92" s="32" t="s">
        <v>179</v>
      </c>
      <c r="D92" s="49" t="s">
        <v>476</v>
      </c>
      <c r="E92" s="50">
        <v>0.1</v>
      </c>
      <c r="F92" s="51" t="s">
        <v>463</v>
      </c>
      <c r="G92" s="38" t="s">
        <v>301</v>
      </c>
      <c r="H92" s="52" t="s">
        <v>292</v>
      </c>
      <c r="I92" s="53" t="s">
        <v>292</v>
      </c>
      <c r="J92" s="52" t="s">
        <v>292</v>
      </c>
      <c r="K92" s="53" t="s">
        <v>292</v>
      </c>
      <c r="L92" s="49" t="s">
        <v>584</v>
      </c>
      <c r="M92" s="52" t="s">
        <v>292</v>
      </c>
      <c r="N92" s="53" t="s">
        <v>292</v>
      </c>
      <c r="O92" s="49" t="s">
        <v>466</v>
      </c>
      <c r="P92" s="50">
        <v>0</v>
      </c>
      <c r="Q92" s="51" t="s">
        <v>622</v>
      </c>
      <c r="R92" s="38" t="s">
        <v>301</v>
      </c>
      <c r="S92" s="49" t="s">
        <v>468</v>
      </c>
      <c r="T92" s="50">
        <v>0.64</v>
      </c>
      <c r="U92" s="51" t="s">
        <v>622</v>
      </c>
      <c r="V92" s="49" t="s">
        <v>623</v>
      </c>
      <c r="W92" s="52" t="s">
        <v>292</v>
      </c>
      <c r="X92" s="53" t="s">
        <v>292</v>
      </c>
    </row>
    <row r="93" spans="2:24" ht="43.5" x14ac:dyDescent="0.35">
      <c r="B93" s="32" t="s">
        <v>155</v>
      </c>
      <c r="C93" s="32" t="s">
        <v>175</v>
      </c>
      <c r="D93" s="49" t="s">
        <v>527</v>
      </c>
      <c r="E93" s="50">
        <v>0.1</v>
      </c>
      <c r="F93" s="51" t="s">
        <v>519</v>
      </c>
      <c r="G93" s="38" t="s">
        <v>301</v>
      </c>
      <c r="H93" s="52" t="s">
        <v>292</v>
      </c>
      <c r="I93" s="53" t="s">
        <v>292</v>
      </c>
      <c r="J93" s="52" t="s">
        <v>292</v>
      </c>
      <c r="K93" s="53" t="s">
        <v>292</v>
      </c>
      <c r="L93" s="49" t="s">
        <v>624</v>
      </c>
      <c r="M93" s="50">
        <v>0.30106707317073172</v>
      </c>
      <c r="N93" s="51" t="s">
        <v>1018</v>
      </c>
      <c r="O93" s="49" t="s">
        <v>521</v>
      </c>
      <c r="P93" s="50">
        <v>0.19</v>
      </c>
      <c r="Q93" s="51" t="s">
        <v>621</v>
      </c>
      <c r="R93" s="38" t="s">
        <v>301</v>
      </c>
      <c r="S93" s="49" t="s">
        <v>522</v>
      </c>
      <c r="T93" s="52" t="s">
        <v>292</v>
      </c>
      <c r="U93" s="53" t="s">
        <v>292</v>
      </c>
      <c r="V93" s="49" t="s">
        <v>623</v>
      </c>
      <c r="W93" s="52" t="s">
        <v>292</v>
      </c>
      <c r="X93" s="53" t="s">
        <v>292</v>
      </c>
    </row>
    <row r="94" spans="2:24" ht="29" x14ac:dyDescent="0.35">
      <c r="B94" s="32" t="s">
        <v>155</v>
      </c>
      <c r="C94" s="32" t="s">
        <v>181</v>
      </c>
      <c r="D94" s="49" t="s">
        <v>482</v>
      </c>
      <c r="E94" s="50">
        <v>4.4999999999999998E-2</v>
      </c>
      <c r="F94" s="51" t="s">
        <v>463</v>
      </c>
      <c r="G94" s="38" t="s">
        <v>301</v>
      </c>
      <c r="H94" s="52" t="s">
        <v>292</v>
      </c>
      <c r="I94" s="53" t="s">
        <v>292</v>
      </c>
      <c r="J94" s="52" t="s">
        <v>292</v>
      </c>
      <c r="K94" s="53" t="s">
        <v>292</v>
      </c>
      <c r="L94" s="49" t="s">
        <v>584</v>
      </c>
      <c r="M94" s="52" t="s">
        <v>292</v>
      </c>
      <c r="N94" s="53" t="s">
        <v>292</v>
      </c>
      <c r="O94" s="49" t="s">
        <v>466</v>
      </c>
      <c r="P94" s="50">
        <v>0.04</v>
      </c>
      <c r="Q94" s="51" t="s">
        <v>622</v>
      </c>
      <c r="R94" s="38" t="s">
        <v>301</v>
      </c>
      <c r="S94" s="49" t="s">
        <v>472</v>
      </c>
      <c r="T94" s="50">
        <v>0.37</v>
      </c>
      <c r="U94" s="51" t="s">
        <v>622</v>
      </c>
      <c r="V94" s="49" t="s">
        <v>623</v>
      </c>
      <c r="W94" s="52" t="s">
        <v>292</v>
      </c>
      <c r="X94" s="53" t="s">
        <v>292</v>
      </c>
    </row>
    <row r="95" spans="2:24" ht="29" x14ac:dyDescent="0.35">
      <c r="B95" s="32" t="s">
        <v>155</v>
      </c>
      <c r="C95" s="32" t="s">
        <v>182</v>
      </c>
      <c r="D95" s="49" t="s">
        <v>625</v>
      </c>
      <c r="E95" s="50">
        <v>4.1000000000000002E-2</v>
      </c>
      <c r="F95" s="51" t="s">
        <v>463</v>
      </c>
      <c r="G95" s="38" t="s">
        <v>301</v>
      </c>
      <c r="H95" s="52" t="s">
        <v>292</v>
      </c>
      <c r="I95" s="53" t="s">
        <v>292</v>
      </c>
      <c r="J95" s="52" t="s">
        <v>292</v>
      </c>
      <c r="K95" s="53" t="s">
        <v>292</v>
      </c>
      <c r="L95" s="49" t="s">
        <v>584</v>
      </c>
      <c r="M95" s="52" t="s">
        <v>292</v>
      </c>
      <c r="N95" s="53" t="s">
        <v>292</v>
      </c>
      <c r="O95" s="49" t="s">
        <v>466</v>
      </c>
      <c r="P95" s="50">
        <v>0</v>
      </c>
      <c r="Q95" s="51" t="s">
        <v>622</v>
      </c>
      <c r="R95" s="38" t="s">
        <v>301</v>
      </c>
      <c r="S95" s="49" t="s">
        <v>468</v>
      </c>
      <c r="T95" s="50">
        <v>1</v>
      </c>
      <c r="U95" s="51" t="s">
        <v>622</v>
      </c>
      <c r="V95" s="49" t="s">
        <v>623</v>
      </c>
      <c r="W95" s="52" t="s">
        <v>292</v>
      </c>
      <c r="X95" s="53" t="s">
        <v>292</v>
      </c>
    </row>
    <row r="96" spans="2:24" ht="29" x14ac:dyDescent="0.35">
      <c r="B96" s="32" t="s">
        <v>155</v>
      </c>
      <c r="C96" s="32" t="s">
        <v>167</v>
      </c>
      <c r="D96" s="49" t="s">
        <v>626</v>
      </c>
      <c r="E96" s="50">
        <v>2.1999999999999999E-2</v>
      </c>
      <c r="F96" s="51" t="s">
        <v>463</v>
      </c>
      <c r="G96" s="49" t="s">
        <v>301</v>
      </c>
      <c r="H96" s="52" t="s">
        <v>292</v>
      </c>
      <c r="I96" s="53" t="s">
        <v>292</v>
      </c>
      <c r="J96" s="52" t="s">
        <v>292</v>
      </c>
      <c r="K96" s="53" t="s">
        <v>292</v>
      </c>
      <c r="L96" s="49" t="s">
        <v>584</v>
      </c>
      <c r="M96" s="52" t="s">
        <v>292</v>
      </c>
      <c r="N96" s="53" t="s">
        <v>292</v>
      </c>
      <c r="O96" s="49" t="s">
        <v>466</v>
      </c>
      <c r="P96" s="50">
        <v>0.19</v>
      </c>
      <c r="Q96" s="51" t="s">
        <v>621</v>
      </c>
      <c r="R96" s="49" t="s">
        <v>627</v>
      </c>
      <c r="S96" s="49" t="s">
        <v>472</v>
      </c>
      <c r="T96" s="50">
        <v>0.5</v>
      </c>
      <c r="U96" s="51" t="s">
        <v>628</v>
      </c>
      <c r="V96" s="49" t="s">
        <v>623</v>
      </c>
      <c r="W96" s="52" t="s">
        <v>292</v>
      </c>
      <c r="X96" s="53" t="s">
        <v>292</v>
      </c>
    </row>
    <row r="97" spans="2:24" ht="29" x14ac:dyDescent="0.35">
      <c r="B97" s="32" t="s">
        <v>155</v>
      </c>
      <c r="C97" s="32" t="s">
        <v>168</v>
      </c>
      <c r="D97" s="49" t="s">
        <v>626</v>
      </c>
      <c r="E97" s="50">
        <v>2.1999999999999999E-2</v>
      </c>
      <c r="F97" s="51" t="s">
        <v>463</v>
      </c>
      <c r="G97" s="38" t="s">
        <v>301</v>
      </c>
      <c r="H97" s="52" t="s">
        <v>292</v>
      </c>
      <c r="I97" s="53" t="s">
        <v>292</v>
      </c>
      <c r="J97" s="52" t="s">
        <v>292</v>
      </c>
      <c r="K97" s="53" t="s">
        <v>292</v>
      </c>
      <c r="L97" s="49" t="s">
        <v>584</v>
      </c>
      <c r="M97" s="52" t="s">
        <v>292</v>
      </c>
      <c r="N97" s="53" t="s">
        <v>292</v>
      </c>
      <c r="O97" s="49" t="s">
        <v>466</v>
      </c>
      <c r="P97" s="50">
        <v>0.19</v>
      </c>
      <c r="Q97" s="51" t="s">
        <v>621</v>
      </c>
      <c r="R97" s="49" t="s">
        <v>629</v>
      </c>
      <c r="S97" s="49" t="s">
        <v>472</v>
      </c>
      <c r="T97" s="50">
        <v>0.5</v>
      </c>
      <c r="U97" s="51" t="s">
        <v>628</v>
      </c>
      <c r="V97" s="49" t="s">
        <v>623</v>
      </c>
      <c r="W97" s="52" t="s">
        <v>292</v>
      </c>
      <c r="X97" s="53" t="s">
        <v>292</v>
      </c>
    </row>
    <row r="98" spans="2:24" ht="29" x14ac:dyDescent="0.35">
      <c r="B98" s="32" t="s">
        <v>155</v>
      </c>
      <c r="C98" s="32" t="s">
        <v>157</v>
      </c>
      <c r="D98" s="49" t="s">
        <v>630</v>
      </c>
      <c r="E98" s="50">
        <v>1.7000000000000001E-2</v>
      </c>
      <c r="F98" s="51" t="s">
        <v>463</v>
      </c>
      <c r="G98" s="49" t="s">
        <v>631</v>
      </c>
      <c r="H98" s="52" t="s">
        <v>292</v>
      </c>
      <c r="I98" s="53" t="s">
        <v>292</v>
      </c>
      <c r="J98" s="52" t="s">
        <v>292</v>
      </c>
      <c r="K98" s="53" t="s">
        <v>292</v>
      </c>
      <c r="L98" s="49" t="s">
        <v>584</v>
      </c>
      <c r="M98" s="52" t="s">
        <v>292</v>
      </c>
      <c r="N98" s="53" t="s">
        <v>292</v>
      </c>
      <c r="O98" s="49" t="s">
        <v>466</v>
      </c>
      <c r="P98" s="50">
        <v>0</v>
      </c>
      <c r="Q98" s="51" t="s">
        <v>622</v>
      </c>
      <c r="R98" s="49" t="s">
        <v>632</v>
      </c>
      <c r="S98" s="49" t="s">
        <v>468</v>
      </c>
      <c r="T98" s="50">
        <v>0.24938602668978099</v>
      </c>
      <c r="U98" s="51" t="s">
        <v>633</v>
      </c>
      <c r="V98" s="49" t="s">
        <v>623</v>
      </c>
      <c r="W98" s="52" t="s">
        <v>292</v>
      </c>
      <c r="X98" s="53" t="s">
        <v>292</v>
      </c>
    </row>
    <row r="99" spans="2:24" ht="29" x14ac:dyDescent="0.35">
      <c r="B99" s="32" t="s">
        <v>155</v>
      </c>
      <c r="C99" s="32" t="s">
        <v>158</v>
      </c>
      <c r="D99" s="49" t="s">
        <v>630</v>
      </c>
      <c r="E99" s="50">
        <v>1.7000000000000001E-2</v>
      </c>
      <c r="F99" s="51" t="s">
        <v>463</v>
      </c>
      <c r="G99" s="49" t="s">
        <v>631</v>
      </c>
      <c r="H99" s="52" t="s">
        <v>292</v>
      </c>
      <c r="I99" s="53" t="s">
        <v>292</v>
      </c>
      <c r="J99" s="52" t="s">
        <v>292</v>
      </c>
      <c r="K99" s="53" t="s">
        <v>292</v>
      </c>
      <c r="L99" s="49" t="s">
        <v>584</v>
      </c>
      <c r="M99" s="52" t="s">
        <v>292</v>
      </c>
      <c r="N99" s="53" t="s">
        <v>292</v>
      </c>
      <c r="O99" s="49" t="s">
        <v>466</v>
      </c>
      <c r="P99" s="50">
        <v>0</v>
      </c>
      <c r="Q99" s="51" t="s">
        <v>622</v>
      </c>
      <c r="R99" s="49" t="s">
        <v>634</v>
      </c>
      <c r="S99" s="49" t="s">
        <v>468</v>
      </c>
      <c r="T99" s="50">
        <v>0.24938602668978099</v>
      </c>
      <c r="U99" s="51" t="s">
        <v>633</v>
      </c>
      <c r="V99" s="49" t="s">
        <v>623</v>
      </c>
      <c r="W99" s="52" t="s">
        <v>292</v>
      </c>
      <c r="X99" s="53" t="s">
        <v>292</v>
      </c>
    </row>
    <row r="100" spans="2:24" ht="29" x14ac:dyDescent="0.35">
      <c r="B100" s="32" t="s">
        <v>155</v>
      </c>
      <c r="C100" s="32" t="s">
        <v>177</v>
      </c>
      <c r="D100" s="10" t="s">
        <v>569</v>
      </c>
      <c r="E100" s="50">
        <v>1.7000000000000001E-2</v>
      </c>
      <c r="F100" s="51" t="s">
        <v>463</v>
      </c>
      <c r="G100" s="38" t="s">
        <v>301</v>
      </c>
      <c r="H100" s="52" t="s">
        <v>292</v>
      </c>
      <c r="I100" s="53" t="s">
        <v>292</v>
      </c>
      <c r="J100" s="52" t="s">
        <v>292</v>
      </c>
      <c r="K100" s="53" t="s">
        <v>292</v>
      </c>
      <c r="L100" s="49" t="s">
        <v>584</v>
      </c>
      <c r="M100" s="52" t="s">
        <v>292</v>
      </c>
      <c r="N100" s="53" t="s">
        <v>292</v>
      </c>
      <c r="O100" s="49" t="s">
        <v>466</v>
      </c>
      <c r="P100" s="50">
        <v>0</v>
      </c>
      <c r="Q100" s="51" t="s">
        <v>622</v>
      </c>
      <c r="R100" s="38" t="s">
        <v>301</v>
      </c>
      <c r="S100" s="38" t="s">
        <v>292</v>
      </c>
      <c r="T100" s="50">
        <v>0.97</v>
      </c>
      <c r="U100" s="51" t="s">
        <v>622</v>
      </c>
      <c r="V100" s="49" t="s">
        <v>623</v>
      </c>
      <c r="W100" s="52" t="s">
        <v>292</v>
      </c>
      <c r="X100" s="53" t="s">
        <v>292</v>
      </c>
    </row>
    <row r="101" spans="2:24" ht="29" x14ac:dyDescent="0.35">
      <c r="B101" s="32" t="s">
        <v>155</v>
      </c>
      <c r="C101" s="32" t="s">
        <v>160</v>
      </c>
      <c r="D101" s="49" t="s">
        <v>635</v>
      </c>
      <c r="E101" s="50">
        <v>8.9999999999999993E-3</v>
      </c>
      <c r="F101" s="51" t="s">
        <v>463</v>
      </c>
      <c r="G101" s="49" t="s">
        <v>636</v>
      </c>
      <c r="H101" s="52" t="s">
        <v>292</v>
      </c>
      <c r="I101" s="53" t="s">
        <v>292</v>
      </c>
      <c r="J101" s="52" t="s">
        <v>292</v>
      </c>
      <c r="K101" s="53" t="s">
        <v>292</v>
      </c>
      <c r="L101" s="49" t="s">
        <v>584</v>
      </c>
      <c r="M101" s="52" t="s">
        <v>292</v>
      </c>
      <c r="N101" s="53" t="s">
        <v>292</v>
      </c>
      <c r="O101" s="49" t="s">
        <v>466</v>
      </c>
      <c r="P101" s="50">
        <v>0.19</v>
      </c>
      <c r="Q101" s="51" t="s">
        <v>621</v>
      </c>
      <c r="R101" s="38" t="s">
        <v>301</v>
      </c>
      <c r="S101" s="49" t="s">
        <v>472</v>
      </c>
      <c r="T101" s="50">
        <v>1</v>
      </c>
      <c r="U101" s="51" t="s">
        <v>622</v>
      </c>
      <c r="V101" s="49" t="s">
        <v>623</v>
      </c>
      <c r="W101" s="52" t="s">
        <v>292</v>
      </c>
      <c r="X101" s="53" t="s">
        <v>292</v>
      </c>
    </row>
    <row r="102" spans="2:24" ht="29.5" thickBot="1" x14ac:dyDescent="0.4">
      <c r="B102" s="61" t="s">
        <v>155</v>
      </c>
      <c r="C102" s="61" t="s">
        <v>165</v>
      </c>
      <c r="D102" s="62" t="s">
        <v>637</v>
      </c>
      <c r="E102" s="63">
        <v>8.9999999999999993E-3</v>
      </c>
      <c r="F102" s="64" t="s">
        <v>463</v>
      </c>
      <c r="G102" s="62" t="s">
        <v>638</v>
      </c>
      <c r="H102" s="71" t="s">
        <v>292</v>
      </c>
      <c r="I102" s="72" t="s">
        <v>292</v>
      </c>
      <c r="J102" s="71" t="s">
        <v>292</v>
      </c>
      <c r="K102" s="72" t="s">
        <v>292</v>
      </c>
      <c r="L102" s="62" t="s">
        <v>584</v>
      </c>
      <c r="M102" s="71" t="s">
        <v>292</v>
      </c>
      <c r="N102" s="72" t="s">
        <v>292</v>
      </c>
      <c r="O102" s="62" t="s">
        <v>466</v>
      </c>
      <c r="P102" s="63">
        <v>0.19</v>
      </c>
      <c r="Q102" s="64" t="s">
        <v>621</v>
      </c>
      <c r="R102" s="65" t="s">
        <v>301</v>
      </c>
      <c r="S102" s="62" t="s">
        <v>468</v>
      </c>
      <c r="T102" s="63">
        <v>0.09</v>
      </c>
      <c r="U102" s="64" t="s">
        <v>622</v>
      </c>
      <c r="V102" s="62" t="s">
        <v>623</v>
      </c>
      <c r="W102" s="71" t="s">
        <v>292</v>
      </c>
      <c r="X102" s="72" t="s">
        <v>292</v>
      </c>
    </row>
    <row r="103" spans="2:24" ht="44" thickTop="1" x14ac:dyDescent="0.35">
      <c r="B103" s="54" t="s">
        <v>183</v>
      </c>
      <c r="C103" s="54" t="s">
        <v>185</v>
      </c>
      <c r="D103" s="55" t="s">
        <v>462</v>
      </c>
      <c r="E103" s="56">
        <v>0.45</v>
      </c>
      <c r="F103" s="57" t="s">
        <v>463</v>
      </c>
      <c r="G103" s="55" t="s">
        <v>639</v>
      </c>
      <c r="H103" s="58" t="s">
        <v>292</v>
      </c>
      <c r="I103" s="59" t="s">
        <v>292</v>
      </c>
      <c r="J103" s="56">
        <v>0.02</v>
      </c>
      <c r="K103" s="57" t="s">
        <v>1007</v>
      </c>
      <c r="L103" s="55" t="s">
        <v>640</v>
      </c>
      <c r="M103" s="58" t="s">
        <v>292</v>
      </c>
      <c r="N103" s="59" t="s">
        <v>292</v>
      </c>
      <c r="O103" s="55" t="s">
        <v>466</v>
      </c>
      <c r="P103" s="56">
        <v>0.09</v>
      </c>
      <c r="Q103" s="57" t="s">
        <v>467</v>
      </c>
      <c r="R103" s="60" t="s">
        <v>301</v>
      </c>
      <c r="S103" s="55" t="s">
        <v>468</v>
      </c>
      <c r="T103" s="58" t="s">
        <v>292</v>
      </c>
      <c r="U103" s="59" t="s">
        <v>292</v>
      </c>
      <c r="V103" s="55" t="s">
        <v>641</v>
      </c>
      <c r="W103" s="58" t="s">
        <v>292</v>
      </c>
      <c r="X103" s="59" t="s">
        <v>292</v>
      </c>
    </row>
    <row r="104" spans="2:24" ht="43.5" x14ac:dyDescent="0.35">
      <c r="B104" s="32" t="s">
        <v>183</v>
      </c>
      <c r="C104" s="32" t="s">
        <v>187</v>
      </c>
      <c r="D104" s="49" t="s">
        <v>462</v>
      </c>
      <c r="E104" s="50">
        <v>0.45</v>
      </c>
      <c r="F104" s="51" t="s">
        <v>463</v>
      </c>
      <c r="G104" s="49" t="s">
        <v>642</v>
      </c>
      <c r="H104" s="52" t="s">
        <v>292</v>
      </c>
      <c r="I104" s="53" t="s">
        <v>292</v>
      </c>
      <c r="J104" s="50">
        <v>5.2999999999999999E-2</v>
      </c>
      <c r="K104" s="51" t="s">
        <v>1008</v>
      </c>
      <c r="L104" s="49" t="s">
        <v>640</v>
      </c>
      <c r="M104" s="52" t="s">
        <v>292</v>
      </c>
      <c r="N104" s="53" t="s">
        <v>292</v>
      </c>
      <c r="O104" s="49" t="s">
        <v>466</v>
      </c>
      <c r="P104" s="50">
        <v>0.09</v>
      </c>
      <c r="Q104" s="51" t="s">
        <v>467</v>
      </c>
      <c r="R104" s="38" t="s">
        <v>301</v>
      </c>
      <c r="S104" s="49" t="s">
        <v>468</v>
      </c>
      <c r="T104" s="52" t="s">
        <v>292</v>
      </c>
      <c r="U104" s="53" t="s">
        <v>292</v>
      </c>
      <c r="V104" s="49" t="s">
        <v>641</v>
      </c>
      <c r="W104" s="52" t="s">
        <v>292</v>
      </c>
      <c r="X104" s="53" t="s">
        <v>292</v>
      </c>
    </row>
    <row r="105" spans="2:24" ht="43.5" x14ac:dyDescent="0.35">
      <c r="B105" s="32" t="s">
        <v>183</v>
      </c>
      <c r="C105" s="32" t="s">
        <v>189</v>
      </c>
      <c r="D105" s="49" t="s">
        <v>462</v>
      </c>
      <c r="E105" s="50">
        <v>0.45</v>
      </c>
      <c r="F105" s="51" t="s">
        <v>463</v>
      </c>
      <c r="G105" s="38" t="s">
        <v>301</v>
      </c>
      <c r="H105" s="52" t="s">
        <v>292</v>
      </c>
      <c r="I105" s="53" t="s">
        <v>292</v>
      </c>
      <c r="J105" s="50">
        <v>0.83</v>
      </c>
      <c r="K105" s="51" t="s">
        <v>1009</v>
      </c>
      <c r="L105" s="49" t="s">
        <v>640</v>
      </c>
      <c r="M105" s="52" t="s">
        <v>292</v>
      </c>
      <c r="N105" s="53" t="s">
        <v>292</v>
      </c>
      <c r="O105" s="49" t="s">
        <v>466</v>
      </c>
      <c r="P105" s="50">
        <v>0.09</v>
      </c>
      <c r="Q105" s="51" t="s">
        <v>467</v>
      </c>
      <c r="R105" s="49" t="s">
        <v>613</v>
      </c>
      <c r="S105" s="49" t="s">
        <v>472</v>
      </c>
      <c r="T105" s="52" t="s">
        <v>292</v>
      </c>
      <c r="U105" s="53" t="s">
        <v>292</v>
      </c>
      <c r="V105" s="49" t="s">
        <v>641</v>
      </c>
      <c r="W105" s="52" t="s">
        <v>292</v>
      </c>
      <c r="X105" s="53" t="s">
        <v>292</v>
      </c>
    </row>
    <row r="106" spans="2:24" ht="29" x14ac:dyDescent="0.35">
      <c r="B106" s="32" t="s">
        <v>183</v>
      </c>
      <c r="C106" s="32" t="s">
        <v>191</v>
      </c>
      <c r="D106" s="49" t="s">
        <v>643</v>
      </c>
      <c r="E106" s="50">
        <v>0.08</v>
      </c>
      <c r="F106" s="51" t="s">
        <v>463</v>
      </c>
      <c r="G106" s="38" t="s">
        <v>301</v>
      </c>
      <c r="H106" s="52" t="s">
        <v>292</v>
      </c>
      <c r="I106" s="53" t="s">
        <v>292</v>
      </c>
      <c r="J106" s="52" t="s">
        <v>292</v>
      </c>
      <c r="K106" s="53" t="s">
        <v>292</v>
      </c>
      <c r="L106" s="49" t="s">
        <v>640</v>
      </c>
      <c r="M106" s="52" t="s">
        <v>292</v>
      </c>
      <c r="N106" s="53" t="s">
        <v>292</v>
      </c>
      <c r="O106" s="49" t="s">
        <v>466</v>
      </c>
      <c r="P106" s="50">
        <v>0.09</v>
      </c>
      <c r="Q106" s="51" t="s">
        <v>467</v>
      </c>
      <c r="R106" s="38" t="s">
        <v>301</v>
      </c>
      <c r="S106" s="38" t="s">
        <v>484</v>
      </c>
      <c r="T106" s="52" t="s">
        <v>292</v>
      </c>
      <c r="U106" s="53" t="s">
        <v>292</v>
      </c>
      <c r="V106" s="49" t="s">
        <v>641</v>
      </c>
      <c r="W106" s="52" t="s">
        <v>292</v>
      </c>
      <c r="X106" s="53" t="s">
        <v>292</v>
      </c>
    </row>
    <row r="107" spans="2:24" ht="29.5" thickBot="1" x14ac:dyDescent="0.4">
      <c r="B107" s="61" t="s">
        <v>183</v>
      </c>
      <c r="C107" s="61" t="s">
        <v>1030</v>
      </c>
      <c r="D107" s="62" t="s">
        <v>635</v>
      </c>
      <c r="E107" s="63">
        <v>1.7999999999999999E-2</v>
      </c>
      <c r="F107" s="64" t="s">
        <v>644</v>
      </c>
      <c r="G107" s="14" t="s">
        <v>636</v>
      </c>
      <c r="H107" s="71" t="s">
        <v>292</v>
      </c>
      <c r="I107" s="72" t="s">
        <v>292</v>
      </c>
      <c r="J107" s="71" t="s">
        <v>292</v>
      </c>
      <c r="K107" s="72" t="s">
        <v>292</v>
      </c>
      <c r="L107" s="62" t="s">
        <v>584</v>
      </c>
      <c r="M107" s="71" t="s">
        <v>292</v>
      </c>
      <c r="N107" s="72" t="s">
        <v>292</v>
      </c>
      <c r="O107" s="62" t="s">
        <v>466</v>
      </c>
      <c r="P107" s="63">
        <v>0</v>
      </c>
      <c r="Q107" s="64" t="s">
        <v>645</v>
      </c>
      <c r="R107" s="65" t="s">
        <v>301</v>
      </c>
      <c r="S107" s="62" t="s">
        <v>472</v>
      </c>
      <c r="T107" s="71" t="s">
        <v>292</v>
      </c>
      <c r="U107" s="72" t="s">
        <v>292</v>
      </c>
      <c r="V107" s="62" t="s">
        <v>646</v>
      </c>
      <c r="W107" s="63">
        <v>0.08</v>
      </c>
      <c r="X107" s="64" t="s">
        <v>647</v>
      </c>
    </row>
    <row r="108" spans="2:24" ht="30" thickTop="1" thickBot="1" x14ac:dyDescent="0.4">
      <c r="B108" s="66" t="s">
        <v>192</v>
      </c>
      <c r="C108" s="66" t="s">
        <v>193</v>
      </c>
      <c r="D108" s="67" t="s">
        <v>643</v>
      </c>
      <c r="E108" s="68">
        <v>1.4084507042253521E-2</v>
      </c>
      <c r="F108" s="69" t="s">
        <v>550</v>
      </c>
      <c r="G108" s="70" t="s">
        <v>301</v>
      </c>
      <c r="H108" s="79" t="s">
        <v>292</v>
      </c>
      <c r="I108" s="80" t="s">
        <v>292</v>
      </c>
      <c r="J108" s="79" t="s">
        <v>292</v>
      </c>
      <c r="K108" s="80" t="s">
        <v>292</v>
      </c>
      <c r="L108" s="67" t="s">
        <v>640</v>
      </c>
      <c r="M108" s="79" t="s">
        <v>292</v>
      </c>
      <c r="N108" s="80" t="s">
        <v>292</v>
      </c>
      <c r="O108" s="67" t="s">
        <v>466</v>
      </c>
      <c r="P108" s="68">
        <v>0.02</v>
      </c>
      <c r="Q108" s="69" t="s">
        <v>467</v>
      </c>
      <c r="R108" s="70" t="s">
        <v>301</v>
      </c>
      <c r="S108" s="67" t="s">
        <v>472</v>
      </c>
      <c r="T108" s="79" t="s">
        <v>292</v>
      </c>
      <c r="U108" s="80" t="s">
        <v>292</v>
      </c>
      <c r="V108" s="67" t="s">
        <v>648</v>
      </c>
      <c r="W108" s="79" t="s">
        <v>292</v>
      </c>
      <c r="X108" s="80" t="s">
        <v>292</v>
      </c>
    </row>
    <row r="109" spans="2:24" ht="44.5" thickTop="1" thickBot="1" x14ac:dyDescent="0.4">
      <c r="B109" s="66" t="s">
        <v>194</v>
      </c>
      <c r="C109" s="66" t="s">
        <v>195</v>
      </c>
      <c r="D109" s="67" t="s">
        <v>501</v>
      </c>
      <c r="E109" s="68">
        <v>1</v>
      </c>
      <c r="F109" s="69" t="s">
        <v>292</v>
      </c>
      <c r="G109" s="70" t="s">
        <v>301</v>
      </c>
      <c r="H109" s="79" t="s">
        <v>292</v>
      </c>
      <c r="I109" s="80" t="s">
        <v>292</v>
      </c>
      <c r="J109" s="79" t="s">
        <v>292</v>
      </c>
      <c r="K109" s="80" t="s">
        <v>292</v>
      </c>
      <c r="L109" s="67" t="s">
        <v>584</v>
      </c>
      <c r="M109" s="68">
        <v>0.4</v>
      </c>
      <c r="N109" s="69" t="s">
        <v>1019</v>
      </c>
      <c r="O109" s="67" t="s">
        <v>466</v>
      </c>
      <c r="P109" s="68">
        <v>0</v>
      </c>
      <c r="Q109" s="69" t="s">
        <v>467</v>
      </c>
      <c r="R109" s="70" t="s">
        <v>301</v>
      </c>
      <c r="S109" s="67" t="s">
        <v>472</v>
      </c>
      <c r="T109" s="79" t="s">
        <v>292</v>
      </c>
      <c r="U109" s="80" t="s">
        <v>292</v>
      </c>
      <c r="V109" s="67" t="s">
        <v>649</v>
      </c>
      <c r="W109" s="79" t="s">
        <v>292</v>
      </c>
      <c r="X109" s="80" t="s">
        <v>292</v>
      </c>
    </row>
    <row r="110" spans="2:24" ht="29.5" thickTop="1" x14ac:dyDescent="0.35">
      <c r="B110" s="54" t="s">
        <v>196</v>
      </c>
      <c r="C110" s="54" t="s">
        <v>200</v>
      </c>
      <c r="D110" s="55" t="s">
        <v>462</v>
      </c>
      <c r="E110" s="56">
        <v>0.37740000000000001</v>
      </c>
      <c r="F110" s="57" t="s">
        <v>550</v>
      </c>
      <c r="G110" s="60" t="s">
        <v>301</v>
      </c>
      <c r="H110" s="58" t="s">
        <v>292</v>
      </c>
      <c r="I110" s="59" t="s">
        <v>292</v>
      </c>
      <c r="J110" s="58" t="s">
        <v>292</v>
      </c>
      <c r="K110" s="59" t="s">
        <v>292</v>
      </c>
      <c r="L110" s="55" t="s">
        <v>584</v>
      </c>
      <c r="M110" s="56">
        <v>0.9</v>
      </c>
      <c r="N110" s="57" t="s">
        <v>1020</v>
      </c>
      <c r="O110" s="55" t="s">
        <v>466</v>
      </c>
      <c r="P110" s="56">
        <v>0.05</v>
      </c>
      <c r="Q110" s="57" t="s">
        <v>467</v>
      </c>
      <c r="R110" s="60" t="s">
        <v>301</v>
      </c>
      <c r="S110" s="55" t="s">
        <v>472</v>
      </c>
      <c r="T110" s="58" t="s">
        <v>292</v>
      </c>
      <c r="U110" s="59" t="s">
        <v>292</v>
      </c>
      <c r="V110" s="55" t="s">
        <v>651</v>
      </c>
      <c r="W110" s="58" t="s">
        <v>292</v>
      </c>
      <c r="X110" s="59" t="s">
        <v>292</v>
      </c>
    </row>
    <row r="111" spans="2:24" ht="29" x14ac:dyDescent="0.35">
      <c r="B111" s="32" t="s">
        <v>196</v>
      </c>
      <c r="C111" s="32" t="s">
        <v>198</v>
      </c>
      <c r="D111" s="49" t="s">
        <v>482</v>
      </c>
      <c r="E111" s="50">
        <v>1.8867924528301886E-2</v>
      </c>
      <c r="F111" s="51" t="s">
        <v>550</v>
      </c>
      <c r="G111" s="38" t="s">
        <v>301</v>
      </c>
      <c r="H111" s="52" t="s">
        <v>292</v>
      </c>
      <c r="I111" s="53" t="s">
        <v>292</v>
      </c>
      <c r="J111" s="52" t="s">
        <v>292</v>
      </c>
      <c r="K111" s="53" t="s">
        <v>292</v>
      </c>
      <c r="L111" s="49" t="s">
        <v>584</v>
      </c>
      <c r="M111" s="50">
        <v>0.9</v>
      </c>
      <c r="N111" s="51" t="s">
        <v>1020</v>
      </c>
      <c r="O111" s="49" t="s">
        <v>466</v>
      </c>
      <c r="P111" s="50">
        <v>0.05</v>
      </c>
      <c r="Q111" s="51" t="s">
        <v>467</v>
      </c>
      <c r="R111" s="38" t="s">
        <v>301</v>
      </c>
      <c r="S111" s="49" t="s">
        <v>472</v>
      </c>
      <c r="T111" s="52" t="s">
        <v>292</v>
      </c>
      <c r="U111" s="53" t="s">
        <v>292</v>
      </c>
      <c r="V111" s="49" t="s">
        <v>651</v>
      </c>
      <c r="W111" s="52" t="s">
        <v>292</v>
      </c>
      <c r="X111" s="53" t="s">
        <v>292</v>
      </c>
    </row>
    <row r="112" spans="2:24" ht="29.5" thickBot="1" x14ac:dyDescent="0.4">
      <c r="B112" s="61" t="s">
        <v>196</v>
      </c>
      <c r="C112" s="61" t="s">
        <v>201</v>
      </c>
      <c r="D112" s="62" t="s">
        <v>635</v>
      </c>
      <c r="E112" s="63">
        <v>1.8867924528301886E-2</v>
      </c>
      <c r="F112" s="64" t="s">
        <v>550</v>
      </c>
      <c r="G112" s="62" t="s">
        <v>636</v>
      </c>
      <c r="H112" s="71" t="s">
        <v>292</v>
      </c>
      <c r="I112" s="72" t="s">
        <v>292</v>
      </c>
      <c r="J112" s="71" t="s">
        <v>292</v>
      </c>
      <c r="K112" s="72" t="s">
        <v>292</v>
      </c>
      <c r="L112" s="62" t="s">
        <v>584</v>
      </c>
      <c r="M112" s="63">
        <v>0.9</v>
      </c>
      <c r="N112" s="64" t="s">
        <v>1020</v>
      </c>
      <c r="O112" s="62" t="s">
        <v>466</v>
      </c>
      <c r="P112" s="63">
        <v>0.05</v>
      </c>
      <c r="Q112" s="64" t="s">
        <v>467</v>
      </c>
      <c r="R112" s="65" t="s">
        <v>301</v>
      </c>
      <c r="S112" s="62" t="s">
        <v>472</v>
      </c>
      <c r="T112" s="71" t="s">
        <v>292</v>
      </c>
      <c r="U112" s="72" t="s">
        <v>292</v>
      </c>
      <c r="V112" s="62" t="s">
        <v>651</v>
      </c>
      <c r="W112" s="71" t="s">
        <v>292</v>
      </c>
      <c r="X112" s="72" t="s">
        <v>292</v>
      </c>
    </row>
    <row r="113" spans="2:24" ht="30" thickTop="1" thickBot="1" x14ac:dyDescent="0.4">
      <c r="B113" s="66" t="s">
        <v>202</v>
      </c>
      <c r="C113" s="66" t="s">
        <v>203</v>
      </c>
      <c r="D113" s="67" t="s">
        <v>501</v>
      </c>
      <c r="E113" s="68">
        <v>1</v>
      </c>
      <c r="F113" s="69" t="s">
        <v>292</v>
      </c>
      <c r="G113" s="70" t="s">
        <v>301</v>
      </c>
      <c r="H113" s="79" t="s">
        <v>292</v>
      </c>
      <c r="I113" s="80" t="s">
        <v>292</v>
      </c>
      <c r="J113" s="79" t="s">
        <v>292</v>
      </c>
      <c r="K113" s="80" t="s">
        <v>292</v>
      </c>
      <c r="L113" s="67" t="s">
        <v>652</v>
      </c>
      <c r="M113" s="79" t="s">
        <v>292</v>
      </c>
      <c r="N113" s="80" t="s">
        <v>292</v>
      </c>
      <c r="O113" s="67" t="s">
        <v>466</v>
      </c>
      <c r="P113" s="68">
        <v>0</v>
      </c>
      <c r="Q113" s="69" t="s">
        <v>467</v>
      </c>
      <c r="R113" s="70" t="s">
        <v>301</v>
      </c>
      <c r="S113" s="70" t="s">
        <v>484</v>
      </c>
      <c r="T113" s="79" t="s">
        <v>292</v>
      </c>
      <c r="U113" s="80" t="s">
        <v>292</v>
      </c>
      <c r="V113" s="67" t="s">
        <v>653</v>
      </c>
      <c r="W113" s="68">
        <v>0.4</v>
      </c>
      <c r="X113" s="69" t="s">
        <v>654</v>
      </c>
    </row>
    <row r="114" spans="2:24" ht="30" thickTop="1" thickBot="1" x14ac:dyDescent="0.4">
      <c r="B114" s="66" t="s">
        <v>204</v>
      </c>
      <c r="C114" s="66" t="s">
        <v>205</v>
      </c>
      <c r="D114" s="67" t="s">
        <v>655</v>
      </c>
      <c r="E114" s="68">
        <v>0.70044372958112511</v>
      </c>
      <c r="F114" s="69" t="s">
        <v>550</v>
      </c>
      <c r="G114" s="70" t="s">
        <v>301</v>
      </c>
      <c r="H114" s="79" t="s">
        <v>292</v>
      </c>
      <c r="I114" s="80" t="s">
        <v>292</v>
      </c>
      <c r="J114" s="79" t="s">
        <v>292</v>
      </c>
      <c r="K114" s="80" t="s">
        <v>292</v>
      </c>
      <c r="L114" s="67" t="s">
        <v>656</v>
      </c>
      <c r="M114" s="79" t="s">
        <v>292</v>
      </c>
      <c r="N114" s="80" t="s">
        <v>292</v>
      </c>
      <c r="O114" s="67" t="s">
        <v>466</v>
      </c>
      <c r="P114" s="68">
        <v>0</v>
      </c>
      <c r="Q114" s="69" t="s">
        <v>467</v>
      </c>
      <c r="R114" s="70" t="s">
        <v>301</v>
      </c>
      <c r="S114" s="70" t="s">
        <v>292</v>
      </c>
      <c r="T114" s="79" t="s">
        <v>292</v>
      </c>
      <c r="U114" s="80" t="s">
        <v>292</v>
      </c>
      <c r="V114" s="67" t="s">
        <v>657</v>
      </c>
      <c r="W114" s="79" t="s">
        <v>292</v>
      </c>
      <c r="X114" s="80" t="s">
        <v>292</v>
      </c>
    </row>
    <row r="115" spans="2:24" ht="15" thickTop="1" x14ac:dyDescent="0.35">
      <c r="B115" s="54" t="s">
        <v>206</v>
      </c>
      <c r="C115" s="54" t="s">
        <v>208</v>
      </c>
      <c r="D115" s="55" t="s">
        <v>514</v>
      </c>
      <c r="E115" s="56">
        <v>0.88800000000000001</v>
      </c>
      <c r="F115" s="57" t="s">
        <v>463</v>
      </c>
      <c r="G115" s="55" t="s">
        <v>658</v>
      </c>
      <c r="H115" s="58" t="s">
        <v>292</v>
      </c>
      <c r="I115" s="59" t="s">
        <v>292</v>
      </c>
      <c r="J115" s="58" t="s">
        <v>292</v>
      </c>
      <c r="K115" s="59" t="s">
        <v>292</v>
      </c>
      <c r="L115" s="55" t="s">
        <v>659</v>
      </c>
      <c r="M115" s="58" t="s">
        <v>292</v>
      </c>
      <c r="N115" s="59" t="s">
        <v>292</v>
      </c>
      <c r="O115" s="55" t="s">
        <v>466</v>
      </c>
      <c r="P115" s="56">
        <v>0.11</v>
      </c>
      <c r="Q115" s="57" t="s">
        <v>440</v>
      </c>
      <c r="R115" s="60" t="s">
        <v>301</v>
      </c>
      <c r="S115" s="55" t="s">
        <v>472</v>
      </c>
      <c r="T115" s="58" t="s">
        <v>292</v>
      </c>
      <c r="U115" s="59" t="s">
        <v>292</v>
      </c>
      <c r="V115" s="55" t="s">
        <v>660</v>
      </c>
      <c r="W115" s="56">
        <v>0.9</v>
      </c>
      <c r="X115" s="57" t="s">
        <v>207</v>
      </c>
    </row>
    <row r="116" spans="2:24" ht="15" thickBot="1" x14ac:dyDescent="0.4">
      <c r="B116" s="61" t="s">
        <v>206</v>
      </c>
      <c r="C116" s="61" t="s">
        <v>209</v>
      </c>
      <c r="D116" s="62" t="s">
        <v>514</v>
      </c>
      <c r="E116" s="63">
        <v>0.88800000000000001</v>
      </c>
      <c r="F116" s="64" t="s">
        <v>463</v>
      </c>
      <c r="G116" s="62" t="s">
        <v>658</v>
      </c>
      <c r="H116" s="71" t="s">
        <v>292</v>
      </c>
      <c r="I116" s="72" t="s">
        <v>292</v>
      </c>
      <c r="J116" s="71" t="s">
        <v>292</v>
      </c>
      <c r="K116" s="72" t="s">
        <v>292</v>
      </c>
      <c r="L116" s="62" t="s">
        <v>659</v>
      </c>
      <c r="M116" s="71" t="s">
        <v>292</v>
      </c>
      <c r="N116" s="72" t="s">
        <v>292</v>
      </c>
      <c r="O116" s="62" t="s">
        <v>466</v>
      </c>
      <c r="P116" s="63">
        <v>0.11</v>
      </c>
      <c r="Q116" s="64" t="s">
        <v>440</v>
      </c>
      <c r="R116" s="65" t="s">
        <v>301</v>
      </c>
      <c r="S116" s="62" t="s">
        <v>472</v>
      </c>
      <c r="T116" s="71" t="s">
        <v>292</v>
      </c>
      <c r="U116" s="72" t="s">
        <v>292</v>
      </c>
      <c r="V116" s="62" t="s">
        <v>661</v>
      </c>
      <c r="W116" s="63">
        <v>0.1</v>
      </c>
      <c r="X116" s="64" t="s">
        <v>207</v>
      </c>
    </row>
    <row r="117" spans="2:24" ht="29.5" thickTop="1" x14ac:dyDescent="0.35">
      <c r="B117" s="54" t="s">
        <v>210</v>
      </c>
      <c r="C117" s="54" t="s">
        <v>212</v>
      </c>
      <c r="D117" s="55" t="s">
        <v>462</v>
      </c>
      <c r="E117" s="56">
        <v>0.38323049110277746</v>
      </c>
      <c r="F117" s="57" t="s">
        <v>550</v>
      </c>
      <c r="G117" s="60" t="s">
        <v>301</v>
      </c>
      <c r="H117" s="58" t="s">
        <v>292</v>
      </c>
      <c r="I117" s="59" t="s">
        <v>292</v>
      </c>
      <c r="J117" s="58" t="s">
        <v>292</v>
      </c>
      <c r="K117" s="59" t="s">
        <v>292</v>
      </c>
      <c r="L117" s="55" t="s">
        <v>662</v>
      </c>
      <c r="M117" s="56">
        <v>0.5</v>
      </c>
      <c r="N117" s="57" t="s">
        <v>1021</v>
      </c>
      <c r="O117" s="55" t="s">
        <v>466</v>
      </c>
      <c r="P117" s="56">
        <v>0.17</v>
      </c>
      <c r="Q117" s="57" t="s">
        <v>440</v>
      </c>
      <c r="R117" s="60" t="s">
        <v>301</v>
      </c>
      <c r="S117" s="55" t="s">
        <v>472</v>
      </c>
      <c r="T117" s="58" t="s">
        <v>292</v>
      </c>
      <c r="U117" s="59" t="s">
        <v>292</v>
      </c>
      <c r="V117" s="55" t="s">
        <v>663</v>
      </c>
      <c r="W117" s="56">
        <v>0.4</v>
      </c>
      <c r="X117" s="57" t="s">
        <v>664</v>
      </c>
    </row>
    <row r="118" spans="2:24" ht="29" x14ac:dyDescent="0.35">
      <c r="B118" s="32" t="s">
        <v>210</v>
      </c>
      <c r="C118" s="32" t="s">
        <v>211</v>
      </c>
      <c r="D118" s="49" t="s">
        <v>482</v>
      </c>
      <c r="E118" s="50">
        <v>0.15351630783941672</v>
      </c>
      <c r="F118" s="51" t="s">
        <v>550</v>
      </c>
      <c r="G118" s="38" t="s">
        <v>301</v>
      </c>
      <c r="H118" s="52" t="s">
        <v>292</v>
      </c>
      <c r="I118" s="53" t="s">
        <v>292</v>
      </c>
      <c r="J118" s="52" t="s">
        <v>292</v>
      </c>
      <c r="K118" s="53" t="s">
        <v>292</v>
      </c>
      <c r="L118" s="49" t="s">
        <v>662</v>
      </c>
      <c r="M118" s="50">
        <v>0.5</v>
      </c>
      <c r="N118" s="51" t="s">
        <v>1021</v>
      </c>
      <c r="O118" s="49" t="s">
        <v>466</v>
      </c>
      <c r="P118" s="50">
        <v>0.17</v>
      </c>
      <c r="Q118" s="51" t="s">
        <v>440</v>
      </c>
      <c r="R118" s="38" t="s">
        <v>301</v>
      </c>
      <c r="S118" s="49" t="s">
        <v>472</v>
      </c>
      <c r="T118" s="52" t="s">
        <v>292</v>
      </c>
      <c r="U118" s="53" t="s">
        <v>292</v>
      </c>
      <c r="V118" s="49" t="s">
        <v>663</v>
      </c>
      <c r="W118" s="50">
        <v>0.4</v>
      </c>
      <c r="X118" s="51" t="s">
        <v>664</v>
      </c>
    </row>
    <row r="119" spans="2:24" ht="29.5" thickBot="1" x14ac:dyDescent="0.4">
      <c r="B119" s="61" t="s">
        <v>210</v>
      </c>
      <c r="C119" s="61" t="s">
        <v>213</v>
      </c>
      <c r="D119" s="62" t="s">
        <v>482</v>
      </c>
      <c r="E119" s="63">
        <v>0.15351630783941672</v>
      </c>
      <c r="F119" s="64" t="s">
        <v>550</v>
      </c>
      <c r="G119" s="65" t="s">
        <v>301</v>
      </c>
      <c r="H119" s="71" t="s">
        <v>292</v>
      </c>
      <c r="I119" s="72" t="s">
        <v>292</v>
      </c>
      <c r="J119" s="71" t="s">
        <v>292</v>
      </c>
      <c r="K119" s="72" t="s">
        <v>292</v>
      </c>
      <c r="L119" s="62" t="s">
        <v>584</v>
      </c>
      <c r="M119" s="63">
        <v>0.5</v>
      </c>
      <c r="N119" s="64" t="s">
        <v>1024</v>
      </c>
      <c r="O119" s="62" t="s">
        <v>466</v>
      </c>
      <c r="P119" s="63">
        <v>0.17</v>
      </c>
      <c r="Q119" s="64" t="s">
        <v>440</v>
      </c>
      <c r="R119" s="65" t="s">
        <v>301</v>
      </c>
      <c r="S119" s="62" t="s">
        <v>472</v>
      </c>
      <c r="T119" s="71" t="s">
        <v>292</v>
      </c>
      <c r="U119" s="72" t="s">
        <v>292</v>
      </c>
      <c r="V119" s="62" t="s">
        <v>663</v>
      </c>
      <c r="W119" s="63">
        <v>0.4</v>
      </c>
      <c r="X119" s="64" t="s">
        <v>664</v>
      </c>
    </row>
    <row r="120" spans="2:24" ht="29.5" thickTop="1" x14ac:dyDescent="0.35">
      <c r="B120" s="54" t="s">
        <v>214</v>
      </c>
      <c r="C120" s="54" t="s">
        <v>215</v>
      </c>
      <c r="D120" s="55" t="s">
        <v>643</v>
      </c>
      <c r="E120" s="56">
        <v>0.23270000000000002</v>
      </c>
      <c r="F120" s="57" t="s">
        <v>550</v>
      </c>
      <c r="G120" s="60" t="s">
        <v>301</v>
      </c>
      <c r="H120" s="58" t="s">
        <v>292</v>
      </c>
      <c r="I120" s="59" t="s">
        <v>292</v>
      </c>
      <c r="J120" s="58" t="s">
        <v>292</v>
      </c>
      <c r="K120" s="59" t="s">
        <v>292</v>
      </c>
      <c r="L120" s="55" t="s">
        <v>640</v>
      </c>
      <c r="M120" s="58" t="s">
        <v>292</v>
      </c>
      <c r="N120" s="59" t="s">
        <v>292</v>
      </c>
      <c r="O120" s="55" t="s">
        <v>466</v>
      </c>
      <c r="P120" s="56">
        <v>0.21</v>
      </c>
      <c r="Q120" s="57" t="s">
        <v>440</v>
      </c>
      <c r="R120" s="60" t="s">
        <v>301</v>
      </c>
      <c r="S120" s="55" t="s">
        <v>472</v>
      </c>
      <c r="T120" s="58" t="s">
        <v>292</v>
      </c>
      <c r="U120" s="59" t="s">
        <v>292</v>
      </c>
      <c r="V120" s="55" t="s">
        <v>665</v>
      </c>
      <c r="W120" s="58" t="s">
        <v>292</v>
      </c>
      <c r="X120" s="59" t="s">
        <v>292</v>
      </c>
    </row>
    <row r="121" spans="2:24" x14ac:dyDescent="0.35">
      <c r="B121" s="32" t="s">
        <v>214</v>
      </c>
      <c r="C121" s="32" t="s">
        <v>217</v>
      </c>
      <c r="D121" s="49" t="s">
        <v>462</v>
      </c>
      <c r="E121" s="50">
        <v>0.13539999999999999</v>
      </c>
      <c r="F121" s="51" t="s">
        <v>550</v>
      </c>
      <c r="G121" s="38" t="s">
        <v>301</v>
      </c>
      <c r="H121" s="52" t="s">
        <v>292</v>
      </c>
      <c r="I121" s="53" t="s">
        <v>292</v>
      </c>
      <c r="J121" s="52" t="s">
        <v>292</v>
      </c>
      <c r="K121" s="53" t="s">
        <v>292</v>
      </c>
      <c r="L121" s="49" t="s">
        <v>584</v>
      </c>
      <c r="M121" s="52" t="s">
        <v>292</v>
      </c>
      <c r="N121" s="53" t="s">
        <v>292</v>
      </c>
      <c r="O121" s="49" t="s">
        <v>466</v>
      </c>
      <c r="P121" s="50">
        <v>0.21</v>
      </c>
      <c r="Q121" s="51" t="s">
        <v>440</v>
      </c>
      <c r="R121" s="38" t="s">
        <v>301</v>
      </c>
      <c r="S121" s="49" t="s">
        <v>472</v>
      </c>
      <c r="T121" s="52" t="s">
        <v>292</v>
      </c>
      <c r="U121" s="53" t="s">
        <v>292</v>
      </c>
      <c r="V121" s="49" t="s">
        <v>665</v>
      </c>
      <c r="W121" s="52" t="s">
        <v>292</v>
      </c>
      <c r="X121" s="53" t="s">
        <v>292</v>
      </c>
    </row>
    <row r="122" spans="2:24" x14ac:dyDescent="0.35">
      <c r="B122" s="32" t="s">
        <v>214</v>
      </c>
      <c r="C122" s="32" t="s">
        <v>216</v>
      </c>
      <c r="D122" s="49" t="s">
        <v>569</v>
      </c>
      <c r="E122" s="50">
        <v>5.1299999999999998E-2</v>
      </c>
      <c r="F122" s="51" t="s">
        <v>550</v>
      </c>
      <c r="G122" s="38" t="s">
        <v>301</v>
      </c>
      <c r="H122" s="52" t="s">
        <v>292</v>
      </c>
      <c r="I122" s="53" t="s">
        <v>292</v>
      </c>
      <c r="J122" s="52" t="s">
        <v>292</v>
      </c>
      <c r="K122" s="53" t="s">
        <v>292</v>
      </c>
      <c r="L122" s="49" t="s">
        <v>666</v>
      </c>
      <c r="M122" s="52" t="s">
        <v>292</v>
      </c>
      <c r="N122" s="53" t="s">
        <v>292</v>
      </c>
      <c r="O122" s="49" t="s">
        <v>466</v>
      </c>
      <c r="P122" s="50">
        <v>0.21</v>
      </c>
      <c r="Q122" s="51" t="s">
        <v>440</v>
      </c>
      <c r="R122" s="38" t="s">
        <v>301</v>
      </c>
      <c r="S122" s="49" t="s">
        <v>472</v>
      </c>
      <c r="T122" s="52" t="s">
        <v>292</v>
      </c>
      <c r="U122" s="53" t="s">
        <v>292</v>
      </c>
      <c r="V122" s="49" t="s">
        <v>665</v>
      </c>
      <c r="W122" s="52" t="s">
        <v>292</v>
      </c>
      <c r="X122" s="53" t="s">
        <v>292</v>
      </c>
    </row>
    <row r="123" spans="2:24" ht="15" thickBot="1" x14ac:dyDescent="0.4">
      <c r="B123" s="61" t="s">
        <v>214</v>
      </c>
      <c r="C123" s="61" t="s">
        <v>218</v>
      </c>
      <c r="D123" s="62" t="s">
        <v>635</v>
      </c>
      <c r="E123" s="63">
        <v>1.6500000000000001E-2</v>
      </c>
      <c r="F123" s="64" t="s">
        <v>550</v>
      </c>
      <c r="G123" s="62" t="s">
        <v>636</v>
      </c>
      <c r="H123" s="71" t="s">
        <v>292</v>
      </c>
      <c r="I123" s="72" t="s">
        <v>292</v>
      </c>
      <c r="J123" s="71" t="s">
        <v>292</v>
      </c>
      <c r="K123" s="72" t="s">
        <v>292</v>
      </c>
      <c r="L123" s="62" t="s">
        <v>584</v>
      </c>
      <c r="M123" s="71" t="s">
        <v>292</v>
      </c>
      <c r="N123" s="72" t="s">
        <v>292</v>
      </c>
      <c r="O123" s="62" t="s">
        <v>466</v>
      </c>
      <c r="P123" s="63">
        <v>0.21</v>
      </c>
      <c r="Q123" s="64" t="s">
        <v>440</v>
      </c>
      <c r="R123" s="65" t="s">
        <v>301</v>
      </c>
      <c r="S123" s="62" t="s">
        <v>472</v>
      </c>
      <c r="T123" s="71" t="s">
        <v>292</v>
      </c>
      <c r="U123" s="72" t="s">
        <v>292</v>
      </c>
      <c r="V123" s="62" t="s">
        <v>665</v>
      </c>
      <c r="W123" s="71" t="s">
        <v>292</v>
      </c>
      <c r="X123" s="72" t="s">
        <v>292</v>
      </c>
    </row>
    <row r="124" spans="2:24" ht="29.5" thickTop="1" x14ac:dyDescent="0.35">
      <c r="B124" s="54" t="s">
        <v>219</v>
      </c>
      <c r="C124" s="54" t="s">
        <v>222</v>
      </c>
      <c r="D124" s="55" t="s">
        <v>462</v>
      </c>
      <c r="E124" s="56">
        <v>0.40371417036737989</v>
      </c>
      <c r="F124" s="57" t="s">
        <v>550</v>
      </c>
      <c r="G124" s="55" t="s">
        <v>642</v>
      </c>
      <c r="H124" s="58" t="s">
        <v>292</v>
      </c>
      <c r="I124" s="59" t="s">
        <v>292</v>
      </c>
      <c r="J124" s="58" t="s">
        <v>292</v>
      </c>
      <c r="K124" s="59" t="s">
        <v>292</v>
      </c>
      <c r="L124" s="55" t="s">
        <v>640</v>
      </c>
      <c r="M124" s="58" t="s">
        <v>292</v>
      </c>
      <c r="N124" s="59" t="s">
        <v>292</v>
      </c>
      <c r="O124" s="55" t="s">
        <v>466</v>
      </c>
      <c r="P124" s="56">
        <v>0</v>
      </c>
      <c r="Q124" s="57" t="s">
        <v>467</v>
      </c>
      <c r="R124" s="60" t="s">
        <v>301</v>
      </c>
      <c r="S124" s="55" t="s">
        <v>468</v>
      </c>
      <c r="T124" s="58" t="s">
        <v>292</v>
      </c>
      <c r="U124" s="59" t="s">
        <v>292</v>
      </c>
      <c r="V124" s="55" t="s">
        <v>667</v>
      </c>
      <c r="W124" s="58" t="s">
        <v>292</v>
      </c>
      <c r="X124" s="59" t="s">
        <v>292</v>
      </c>
    </row>
    <row r="125" spans="2:24" ht="15" thickBot="1" x14ac:dyDescent="0.4">
      <c r="B125" s="61" t="s">
        <v>219</v>
      </c>
      <c r="C125" s="61" t="s">
        <v>220</v>
      </c>
      <c r="D125" s="62" t="s">
        <v>668</v>
      </c>
      <c r="E125" s="63">
        <v>7.2668550666128387E-2</v>
      </c>
      <c r="F125" s="64" t="s">
        <v>550</v>
      </c>
      <c r="G125" s="62" t="s">
        <v>669</v>
      </c>
      <c r="H125" s="71" t="s">
        <v>292</v>
      </c>
      <c r="I125" s="72" t="s">
        <v>292</v>
      </c>
      <c r="J125" s="71" t="s">
        <v>292</v>
      </c>
      <c r="K125" s="72" t="s">
        <v>292</v>
      </c>
      <c r="L125" s="62" t="s">
        <v>640</v>
      </c>
      <c r="M125" s="71" t="s">
        <v>292</v>
      </c>
      <c r="N125" s="72" t="s">
        <v>292</v>
      </c>
      <c r="O125" s="62" t="s">
        <v>466</v>
      </c>
      <c r="P125" s="63">
        <v>0</v>
      </c>
      <c r="Q125" s="64" t="s">
        <v>467</v>
      </c>
      <c r="R125" s="65" t="s">
        <v>301</v>
      </c>
      <c r="S125" s="62" t="s">
        <v>472</v>
      </c>
      <c r="T125" s="71" t="s">
        <v>292</v>
      </c>
      <c r="U125" s="72" t="s">
        <v>292</v>
      </c>
      <c r="V125" s="62" t="s">
        <v>667</v>
      </c>
      <c r="W125" s="71" t="s">
        <v>292</v>
      </c>
      <c r="X125" s="72" t="s">
        <v>292</v>
      </c>
    </row>
    <row r="126" spans="2:24" ht="29.5" thickTop="1" x14ac:dyDescent="0.35">
      <c r="B126" s="54" t="s">
        <v>223</v>
      </c>
      <c r="C126" s="54" t="s">
        <v>225</v>
      </c>
      <c r="D126" s="55" t="s">
        <v>462</v>
      </c>
      <c r="E126" s="56">
        <v>0.58887677208287892</v>
      </c>
      <c r="F126" s="57" t="s">
        <v>550</v>
      </c>
      <c r="G126" s="55" t="s">
        <v>642</v>
      </c>
      <c r="H126" s="58" t="s">
        <v>292</v>
      </c>
      <c r="I126" s="59" t="s">
        <v>292</v>
      </c>
      <c r="J126" s="58" t="s">
        <v>292</v>
      </c>
      <c r="K126" s="59" t="s">
        <v>292</v>
      </c>
      <c r="L126" s="55" t="s">
        <v>640</v>
      </c>
      <c r="M126" s="56">
        <v>0.95</v>
      </c>
      <c r="N126" s="57" t="s">
        <v>1022</v>
      </c>
      <c r="O126" s="55" t="s">
        <v>466</v>
      </c>
      <c r="P126" s="56">
        <v>0</v>
      </c>
      <c r="Q126" s="57" t="s">
        <v>467</v>
      </c>
      <c r="R126" s="60" t="s">
        <v>301</v>
      </c>
      <c r="S126" s="55" t="s">
        <v>468</v>
      </c>
      <c r="T126" s="58" t="s">
        <v>292</v>
      </c>
      <c r="U126" s="59" t="s">
        <v>292</v>
      </c>
      <c r="V126" s="55" t="s">
        <v>670</v>
      </c>
      <c r="W126" s="58" t="s">
        <v>292</v>
      </c>
      <c r="X126" s="59" t="s">
        <v>292</v>
      </c>
    </row>
    <row r="127" spans="2:24" ht="43.5" x14ac:dyDescent="0.35">
      <c r="B127" s="32" t="s">
        <v>223</v>
      </c>
      <c r="C127" s="32" t="s">
        <v>226</v>
      </c>
      <c r="D127" s="49" t="s">
        <v>671</v>
      </c>
      <c r="E127" s="50">
        <v>5.5616139585605233E-2</v>
      </c>
      <c r="F127" s="51" t="s">
        <v>550</v>
      </c>
      <c r="G127" s="38" t="s">
        <v>301</v>
      </c>
      <c r="H127" s="50">
        <v>0.86</v>
      </c>
      <c r="I127" s="51" t="s">
        <v>1001</v>
      </c>
      <c r="J127" s="52" t="s">
        <v>292</v>
      </c>
      <c r="K127" s="53" t="s">
        <v>292</v>
      </c>
      <c r="L127" s="49" t="s">
        <v>640</v>
      </c>
      <c r="M127" s="52" t="s">
        <v>292</v>
      </c>
      <c r="N127" s="53" t="s">
        <v>292</v>
      </c>
      <c r="O127" s="49" t="s">
        <v>466</v>
      </c>
      <c r="P127" s="50">
        <v>0</v>
      </c>
      <c r="Q127" s="51" t="s">
        <v>467</v>
      </c>
      <c r="R127" s="38" t="s">
        <v>301</v>
      </c>
      <c r="S127" s="49" t="s">
        <v>472</v>
      </c>
      <c r="T127" s="52" t="s">
        <v>292</v>
      </c>
      <c r="U127" s="53" t="s">
        <v>292</v>
      </c>
      <c r="V127" s="49" t="s">
        <v>670</v>
      </c>
      <c r="W127" s="52" t="s">
        <v>292</v>
      </c>
      <c r="X127" s="53" t="s">
        <v>292</v>
      </c>
    </row>
    <row r="128" spans="2:24" ht="44" thickBot="1" x14ac:dyDescent="0.4">
      <c r="B128" s="61" t="s">
        <v>223</v>
      </c>
      <c r="C128" s="61" t="s">
        <v>224</v>
      </c>
      <c r="D128" s="62" t="s">
        <v>668</v>
      </c>
      <c r="E128" s="63">
        <v>4.7982551799345692E-2</v>
      </c>
      <c r="F128" s="64" t="s">
        <v>550</v>
      </c>
      <c r="G128" s="62" t="s">
        <v>669</v>
      </c>
      <c r="H128" s="63">
        <v>0.14000000000000001</v>
      </c>
      <c r="I128" s="64" t="s">
        <v>1001</v>
      </c>
      <c r="J128" s="71" t="s">
        <v>292</v>
      </c>
      <c r="K128" s="72" t="s">
        <v>292</v>
      </c>
      <c r="L128" s="62" t="s">
        <v>640</v>
      </c>
      <c r="M128" s="71" t="s">
        <v>292</v>
      </c>
      <c r="N128" s="72" t="s">
        <v>292</v>
      </c>
      <c r="O128" s="62" t="s">
        <v>466</v>
      </c>
      <c r="P128" s="63">
        <v>0</v>
      </c>
      <c r="Q128" s="64" t="s">
        <v>467</v>
      </c>
      <c r="R128" s="65" t="s">
        <v>301</v>
      </c>
      <c r="S128" s="62" t="s">
        <v>472</v>
      </c>
      <c r="T128" s="71" t="s">
        <v>292</v>
      </c>
      <c r="U128" s="72" t="s">
        <v>292</v>
      </c>
      <c r="V128" s="62" t="s">
        <v>670</v>
      </c>
      <c r="W128" s="71" t="s">
        <v>292</v>
      </c>
      <c r="X128" s="72" t="s">
        <v>292</v>
      </c>
    </row>
    <row r="129" spans="2:24" ht="44.5" thickTop="1" thickBot="1" x14ac:dyDescent="0.4">
      <c r="B129" s="66" t="s">
        <v>227</v>
      </c>
      <c r="C129" s="66" t="s">
        <v>229</v>
      </c>
      <c r="D129" s="67" t="s">
        <v>462</v>
      </c>
      <c r="E129" s="68">
        <v>0.51800000000000002</v>
      </c>
      <c r="F129" s="69" t="s">
        <v>463</v>
      </c>
      <c r="G129" s="70" t="s">
        <v>301</v>
      </c>
      <c r="H129" s="79" t="s">
        <v>292</v>
      </c>
      <c r="I129" s="80" t="s">
        <v>292</v>
      </c>
      <c r="J129" s="79" t="s">
        <v>292</v>
      </c>
      <c r="K129" s="80" t="s">
        <v>292</v>
      </c>
      <c r="L129" s="67" t="s">
        <v>672</v>
      </c>
      <c r="M129" s="68">
        <v>0.8</v>
      </c>
      <c r="N129" s="69" t="s">
        <v>1023</v>
      </c>
      <c r="O129" s="67" t="s">
        <v>466</v>
      </c>
      <c r="P129" s="68">
        <v>7.0000000000000007E-2</v>
      </c>
      <c r="Q129" s="69" t="s">
        <v>440</v>
      </c>
      <c r="R129" s="70" t="s">
        <v>301</v>
      </c>
      <c r="S129" s="67" t="s">
        <v>472</v>
      </c>
      <c r="T129" s="79" t="s">
        <v>292</v>
      </c>
      <c r="U129" s="80" t="s">
        <v>292</v>
      </c>
      <c r="V129" s="67" t="s">
        <v>673</v>
      </c>
      <c r="W129" s="79" t="s">
        <v>292</v>
      </c>
      <c r="X129" s="80" t="s">
        <v>292</v>
      </c>
    </row>
    <row r="130" spans="2:24" ht="29.5" thickTop="1" x14ac:dyDescent="0.35">
      <c r="B130" s="54" t="s">
        <v>230</v>
      </c>
      <c r="C130" s="54" t="s">
        <v>231</v>
      </c>
      <c r="D130" s="55" t="s">
        <v>462</v>
      </c>
      <c r="E130" s="56">
        <v>0.72207084468664851</v>
      </c>
      <c r="F130" s="57" t="s">
        <v>550</v>
      </c>
      <c r="G130" s="60" t="s">
        <v>301</v>
      </c>
      <c r="H130" s="58" t="s">
        <v>292</v>
      </c>
      <c r="I130" s="59" t="s">
        <v>292</v>
      </c>
      <c r="J130" s="58" t="s">
        <v>292</v>
      </c>
      <c r="K130" s="59" t="s">
        <v>292</v>
      </c>
      <c r="L130" s="55" t="s">
        <v>584</v>
      </c>
      <c r="M130" s="56">
        <v>0.9</v>
      </c>
      <c r="N130" s="57" t="s">
        <v>1025</v>
      </c>
      <c r="O130" s="55" t="s">
        <v>466</v>
      </c>
      <c r="P130" s="56">
        <v>0</v>
      </c>
      <c r="Q130" s="57" t="s">
        <v>467</v>
      </c>
      <c r="R130" s="60" t="s">
        <v>301</v>
      </c>
      <c r="S130" s="55" t="s">
        <v>472</v>
      </c>
      <c r="T130" s="58" t="s">
        <v>292</v>
      </c>
      <c r="U130" s="59" t="s">
        <v>292</v>
      </c>
      <c r="V130" s="55" t="s">
        <v>674</v>
      </c>
      <c r="W130" s="58" t="s">
        <v>292</v>
      </c>
      <c r="X130" s="59" t="s">
        <v>292</v>
      </c>
    </row>
    <row r="131" spans="2:24" ht="29.5" thickBot="1" x14ac:dyDescent="0.4">
      <c r="B131" s="61" t="s">
        <v>230</v>
      </c>
      <c r="C131" s="61" t="s">
        <v>232</v>
      </c>
      <c r="D131" s="62" t="s">
        <v>635</v>
      </c>
      <c r="E131" s="63">
        <v>5.5858310626702996E-2</v>
      </c>
      <c r="F131" s="64" t="s">
        <v>550</v>
      </c>
      <c r="G131" s="62" t="s">
        <v>636</v>
      </c>
      <c r="H131" s="71" t="s">
        <v>292</v>
      </c>
      <c r="I131" s="72" t="s">
        <v>292</v>
      </c>
      <c r="J131" s="71" t="s">
        <v>292</v>
      </c>
      <c r="K131" s="72" t="s">
        <v>292</v>
      </c>
      <c r="L131" s="62" t="s">
        <v>584</v>
      </c>
      <c r="M131" s="63">
        <v>0.9</v>
      </c>
      <c r="N131" s="64" t="s">
        <v>1025</v>
      </c>
      <c r="O131" s="62" t="s">
        <v>466</v>
      </c>
      <c r="P131" s="63">
        <v>0</v>
      </c>
      <c r="Q131" s="64" t="s">
        <v>467</v>
      </c>
      <c r="R131" s="65" t="s">
        <v>301</v>
      </c>
      <c r="S131" s="62" t="s">
        <v>472</v>
      </c>
      <c r="T131" s="71" t="s">
        <v>292</v>
      </c>
      <c r="U131" s="72" t="s">
        <v>292</v>
      </c>
      <c r="V131" s="62" t="s">
        <v>674</v>
      </c>
      <c r="W131" s="71" t="s">
        <v>292</v>
      </c>
      <c r="X131" s="72" t="s">
        <v>292</v>
      </c>
    </row>
    <row r="132" spans="2:24" ht="29.5" thickTop="1" x14ac:dyDescent="0.35">
      <c r="B132" s="54" t="s">
        <v>233</v>
      </c>
      <c r="C132" s="54" t="s">
        <v>235</v>
      </c>
      <c r="D132" s="55" t="s">
        <v>462</v>
      </c>
      <c r="E132" s="56">
        <v>0.85599999999999998</v>
      </c>
      <c r="F132" s="57" t="s">
        <v>463</v>
      </c>
      <c r="G132" s="60" t="s">
        <v>301</v>
      </c>
      <c r="H132" s="58" t="s">
        <v>292</v>
      </c>
      <c r="I132" s="59" t="s">
        <v>292</v>
      </c>
      <c r="J132" s="58" t="s">
        <v>292</v>
      </c>
      <c r="K132" s="59" t="s">
        <v>292</v>
      </c>
      <c r="L132" s="55" t="s">
        <v>675</v>
      </c>
      <c r="M132" s="58" t="s">
        <v>292</v>
      </c>
      <c r="N132" s="59" t="s">
        <v>292</v>
      </c>
      <c r="O132" s="55" t="s">
        <v>466</v>
      </c>
      <c r="P132" s="56">
        <v>0.27</v>
      </c>
      <c r="Q132" s="57" t="s">
        <v>676</v>
      </c>
      <c r="R132" s="60" t="s">
        <v>301</v>
      </c>
      <c r="S132" s="60" t="s">
        <v>484</v>
      </c>
      <c r="T132" s="58" t="s">
        <v>292</v>
      </c>
      <c r="U132" s="59" t="s">
        <v>292</v>
      </c>
      <c r="V132" s="55" t="s">
        <v>677</v>
      </c>
      <c r="W132" s="56">
        <v>0.65</v>
      </c>
      <c r="X132" s="57" t="s">
        <v>678</v>
      </c>
    </row>
    <row r="133" spans="2:24" ht="29" x14ac:dyDescent="0.35">
      <c r="B133" s="32" t="s">
        <v>233</v>
      </c>
      <c r="C133" s="32" t="s">
        <v>239</v>
      </c>
      <c r="D133" s="49" t="s">
        <v>527</v>
      </c>
      <c r="E133" s="50">
        <v>5.1000000000000004E-2</v>
      </c>
      <c r="F133" s="51" t="s">
        <v>463</v>
      </c>
      <c r="G133" s="38" t="s">
        <v>301</v>
      </c>
      <c r="H133" s="52" t="s">
        <v>292</v>
      </c>
      <c r="I133" s="53" t="s">
        <v>292</v>
      </c>
      <c r="J133" s="52" t="s">
        <v>292</v>
      </c>
      <c r="K133" s="53" t="s">
        <v>292</v>
      </c>
      <c r="L133" s="49" t="s">
        <v>675</v>
      </c>
      <c r="M133" s="52" t="s">
        <v>292</v>
      </c>
      <c r="N133" s="53" t="s">
        <v>292</v>
      </c>
      <c r="O133" s="49" t="s">
        <v>466</v>
      </c>
      <c r="P133" s="50">
        <v>0.27</v>
      </c>
      <c r="Q133" s="51" t="s">
        <v>676</v>
      </c>
      <c r="R133" s="38" t="s">
        <v>301</v>
      </c>
      <c r="S133" s="38" t="s">
        <v>484</v>
      </c>
      <c r="T133" s="52" t="s">
        <v>292</v>
      </c>
      <c r="U133" s="53" t="s">
        <v>292</v>
      </c>
      <c r="V133" s="49" t="s">
        <v>677</v>
      </c>
      <c r="W133" s="50">
        <v>0.65</v>
      </c>
      <c r="X133" s="51" t="s">
        <v>678</v>
      </c>
    </row>
    <row r="134" spans="2:24" ht="43.5" x14ac:dyDescent="0.35">
      <c r="B134" s="32" t="s">
        <v>233</v>
      </c>
      <c r="C134" s="32" t="s">
        <v>240</v>
      </c>
      <c r="D134" s="49" t="s">
        <v>527</v>
      </c>
      <c r="E134" s="50">
        <v>5.1000000000000004E-2</v>
      </c>
      <c r="F134" s="51" t="s">
        <v>519</v>
      </c>
      <c r="G134" s="38" t="s">
        <v>301</v>
      </c>
      <c r="H134" s="52" t="s">
        <v>292</v>
      </c>
      <c r="I134" s="53" t="s">
        <v>292</v>
      </c>
      <c r="J134" s="52" t="s">
        <v>292</v>
      </c>
      <c r="K134" s="53" t="s">
        <v>292</v>
      </c>
      <c r="L134" s="49" t="s">
        <v>679</v>
      </c>
      <c r="M134" s="52" t="s">
        <v>292</v>
      </c>
      <c r="N134" s="53" t="s">
        <v>292</v>
      </c>
      <c r="O134" s="49" t="s">
        <v>521</v>
      </c>
      <c r="P134" s="50">
        <v>0.27</v>
      </c>
      <c r="Q134" s="51" t="s">
        <v>676</v>
      </c>
      <c r="R134" s="38" t="s">
        <v>301</v>
      </c>
      <c r="S134" s="49" t="s">
        <v>522</v>
      </c>
      <c r="T134" s="50">
        <v>0.5</v>
      </c>
      <c r="U134" s="51" t="s">
        <v>680</v>
      </c>
      <c r="V134" s="49" t="s">
        <v>681</v>
      </c>
      <c r="W134" s="52" t="s">
        <v>292</v>
      </c>
      <c r="X134" s="53" t="s">
        <v>292</v>
      </c>
    </row>
    <row r="135" spans="2:24" ht="29.5" thickBot="1" x14ac:dyDescent="0.4">
      <c r="B135" s="61" t="s">
        <v>233</v>
      </c>
      <c r="C135" s="61" t="s">
        <v>237</v>
      </c>
      <c r="D135" s="62" t="s">
        <v>482</v>
      </c>
      <c r="E135" s="63">
        <v>4.3999999999999997E-2</v>
      </c>
      <c r="F135" s="64" t="s">
        <v>463</v>
      </c>
      <c r="G135" s="65" t="s">
        <v>301</v>
      </c>
      <c r="H135" s="71" t="s">
        <v>292</v>
      </c>
      <c r="I135" s="72" t="s">
        <v>292</v>
      </c>
      <c r="J135" s="71" t="s">
        <v>292</v>
      </c>
      <c r="K135" s="72" t="s">
        <v>292</v>
      </c>
      <c r="L135" s="62" t="s">
        <v>675</v>
      </c>
      <c r="M135" s="71" t="s">
        <v>292</v>
      </c>
      <c r="N135" s="72" t="s">
        <v>292</v>
      </c>
      <c r="O135" s="62" t="s">
        <v>466</v>
      </c>
      <c r="P135" s="63">
        <v>0.27</v>
      </c>
      <c r="Q135" s="64" t="s">
        <v>676</v>
      </c>
      <c r="R135" s="65" t="s">
        <v>301</v>
      </c>
      <c r="S135" s="65" t="s">
        <v>484</v>
      </c>
      <c r="T135" s="71" t="s">
        <v>292</v>
      </c>
      <c r="U135" s="72" t="s">
        <v>292</v>
      </c>
      <c r="V135" s="62" t="s">
        <v>677</v>
      </c>
      <c r="W135" s="63">
        <v>0.65</v>
      </c>
      <c r="X135" s="64" t="s">
        <v>678</v>
      </c>
    </row>
    <row r="136" spans="2:24" ht="29.5" thickTop="1" x14ac:dyDescent="0.35">
      <c r="B136" s="54" t="s">
        <v>241</v>
      </c>
      <c r="C136" s="54" t="s">
        <v>243</v>
      </c>
      <c r="D136" s="55" t="s">
        <v>462</v>
      </c>
      <c r="E136" s="56">
        <v>0.10168821980085825</v>
      </c>
      <c r="F136" s="57" t="s">
        <v>550</v>
      </c>
      <c r="G136" s="55" t="s">
        <v>682</v>
      </c>
      <c r="H136" s="58" t="s">
        <v>292</v>
      </c>
      <c r="I136" s="59" t="s">
        <v>292</v>
      </c>
      <c r="J136" s="58" t="s">
        <v>292</v>
      </c>
      <c r="K136" s="59" t="s">
        <v>292</v>
      </c>
      <c r="L136" s="55" t="s">
        <v>666</v>
      </c>
      <c r="M136" s="56">
        <v>0.86</v>
      </c>
      <c r="N136" s="57" t="s">
        <v>1026</v>
      </c>
      <c r="O136" s="55" t="s">
        <v>466</v>
      </c>
      <c r="P136" s="56">
        <v>0.23</v>
      </c>
      <c r="Q136" s="57" t="s">
        <v>467</v>
      </c>
      <c r="R136" s="55" t="s">
        <v>683</v>
      </c>
      <c r="S136" s="55" t="s">
        <v>472</v>
      </c>
      <c r="T136" s="58" t="s">
        <v>292</v>
      </c>
      <c r="U136" s="59" t="s">
        <v>292</v>
      </c>
      <c r="V136" s="55" t="s">
        <v>684</v>
      </c>
      <c r="W136" s="58" t="s">
        <v>292</v>
      </c>
      <c r="X136" s="59" t="s">
        <v>292</v>
      </c>
    </row>
    <row r="137" spans="2:24" ht="29" x14ac:dyDescent="0.35">
      <c r="B137" s="32" t="s">
        <v>241</v>
      </c>
      <c r="C137" s="32" t="s">
        <v>258</v>
      </c>
      <c r="D137" s="49" t="s">
        <v>462</v>
      </c>
      <c r="E137" s="50">
        <v>0.10168821980085825</v>
      </c>
      <c r="F137" s="51" t="s">
        <v>550</v>
      </c>
      <c r="G137" s="38" t="s">
        <v>301</v>
      </c>
      <c r="H137" s="52" t="s">
        <v>292</v>
      </c>
      <c r="I137" s="53" t="s">
        <v>292</v>
      </c>
      <c r="J137" s="52" t="s">
        <v>292</v>
      </c>
      <c r="K137" s="53" t="s">
        <v>292</v>
      </c>
      <c r="L137" s="49" t="s">
        <v>584</v>
      </c>
      <c r="M137" s="50">
        <v>0.12</v>
      </c>
      <c r="N137" s="51" t="s">
        <v>1027</v>
      </c>
      <c r="O137" s="49" t="s">
        <v>466</v>
      </c>
      <c r="P137" s="50">
        <v>0.23</v>
      </c>
      <c r="Q137" s="51" t="s">
        <v>467</v>
      </c>
      <c r="R137" s="38" t="s">
        <v>301</v>
      </c>
      <c r="S137" s="49" t="s">
        <v>472</v>
      </c>
      <c r="T137" s="52" t="s">
        <v>292</v>
      </c>
      <c r="U137" s="53" t="s">
        <v>292</v>
      </c>
      <c r="V137" s="49" t="s">
        <v>684</v>
      </c>
      <c r="W137" s="52" t="s">
        <v>292</v>
      </c>
      <c r="X137" s="53" t="s">
        <v>292</v>
      </c>
    </row>
    <row r="138" spans="2:24" ht="43.5" x14ac:dyDescent="0.35">
      <c r="B138" s="32" t="s">
        <v>241</v>
      </c>
      <c r="C138" s="32" t="s">
        <v>259</v>
      </c>
      <c r="D138" s="49" t="s">
        <v>527</v>
      </c>
      <c r="E138" s="50">
        <v>9.7005331692210303E-2</v>
      </c>
      <c r="F138" s="51" t="s">
        <v>519</v>
      </c>
      <c r="G138" s="38" t="s">
        <v>301</v>
      </c>
      <c r="H138" s="52" t="s">
        <v>292</v>
      </c>
      <c r="I138" s="53" t="s">
        <v>292</v>
      </c>
      <c r="J138" s="52" t="s">
        <v>292</v>
      </c>
      <c r="K138" s="53" t="s">
        <v>292</v>
      </c>
      <c r="L138" s="49" t="s">
        <v>624</v>
      </c>
      <c r="M138" s="50">
        <v>0.1</v>
      </c>
      <c r="N138" s="51" t="s">
        <v>685</v>
      </c>
      <c r="O138" s="49" t="s">
        <v>521</v>
      </c>
      <c r="P138" s="50">
        <v>0.23</v>
      </c>
      <c r="Q138" s="51" t="s">
        <v>467</v>
      </c>
      <c r="R138" s="38" t="s">
        <v>301</v>
      </c>
      <c r="S138" s="49" t="s">
        <v>522</v>
      </c>
      <c r="T138" s="52" t="s">
        <v>292</v>
      </c>
      <c r="U138" s="53" t="s">
        <v>292</v>
      </c>
      <c r="V138" s="49" t="s">
        <v>684</v>
      </c>
      <c r="W138" s="52" t="s">
        <v>292</v>
      </c>
      <c r="X138" s="53" t="s">
        <v>292</v>
      </c>
    </row>
    <row r="139" spans="2:24" x14ac:dyDescent="0.35">
      <c r="B139" s="32" t="s">
        <v>241</v>
      </c>
      <c r="C139" s="32" t="s">
        <v>256</v>
      </c>
      <c r="D139" s="49" t="s">
        <v>569</v>
      </c>
      <c r="E139" s="50">
        <v>9.4946715533557144E-2</v>
      </c>
      <c r="F139" s="51" t="s">
        <v>550</v>
      </c>
      <c r="G139" s="38" t="s">
        <v>301</v>
      </c>
      <c r="H139" s="52" t="s">
        <v>292</v>
      </c>
      <c r="I139" s="53" t="s">
        <v>292</v>
      </c>
      <c r="J139" s="52" t="s">
        <v>292</v>
      </c>
      <c r="K139" s="53" t="s">
        <v>292</v>
      </c>
      <c r="L139" s="49" t="s">
        <v>666</v>
      </c>
      <c r="M139" s="52" t="s">
        <v>292</v>
      </c>
      <c r="N139" s="53" t="s">
        <v>292</v>
      </c>
      <c r="O139" s="49" t="s">
        <v>466</v>
      </c>
      <c r="P139" s="50">
        <v>0.23</v>
      </c>
      <c r="Q139" s="51" t="s">
        <v>467</v>
      </c>
      <c r="R139" s="38" t="s">
        <v>301</v>
      </c>
      <c r="S139" s="49" t="s">
        <v>472</v>
      </c>
      <c r="T139" s="52" t="s">
        <v>292</v>
      </c>
      <c r="U139" s="53" t="s">
        <v>292</v>
      </c>
      <c r="V139" s="49" t="s">
        <v>684</v>
      </c>
      <c r="W139" s="52" t="s">
        <v>292</v>
      </c>
      <c r="X139" s="53" t="s">
        <v>292</v>
      </c>
    </row>
    <row r="140" spans="2:24" x14ac:dyDescent="0.35">
      <c r="B140" s="32" t="s">
        <v>241</v>
      </c>
      <c r="C140" s="32" t="s">
        <v>257</v>
      </c>
      <c r="D140" s="49" t="s">
        <v>557</v>
      </c>
      <c r="E140" s="50">
        <v>3.2466787813857825E-2</v>
      </c>
      <c r="F140" s="51" t="s">
        <v>550</v>
      </c>
      <c r="G140" s="38" t="s">
        <v>301</v>
      </c>
      <c r="H140" s="52" t="s">
        <v>292</v>
      </c>
      <c r="I140" s="53" t="s">
        <v>292</v>
      </c>
      <c r="J140" s="52" t="s">
        <v>292</v>
      </c>
      <c r="K140" s="53" t="s">
        <v>292</v>
      </c>
      <c r="L140" s="49" t="s">
        <v>666</v>
      </c>
      <c r="M140" s="52" t="s">
        <v>292</v>
      </c>
      <c r="N140" s="53" t="s">
        <v>292</v>
      </c>
      <c r="O140" s="49" t="s">
        <v>466</v>
      </c>
      <c r="P140" s="50">
        <v>0.23</v>
      </c>
      <c r="Q140" s="51" t="s">
        <v>467</v>
      </c>
      <c r="R140" s="38" t="s">
        <v>301</v>
      </c>
      <c r="S140" s="49" t="s">
        <v>472</v>
      </c>
      <c r="T140" s="52" t="s">
        <v>292</v>
      </c>
      <c r="U140" s="53" t="s">
        <v>292</v>
      </c>
      <c r="V140" s="49" t="s">
        <v>684</v>
      </c>
      <c r="W140" s="52" t="s">
        <v>292</v>
      </c>
      <c r="X140" s="53" t="s">
        <v>292</v>
      </c>
    </row>
    <row r="141" spans="2:24" x14ac:dyDescent="0.35">
      <c r="B141" s="32" t="s">
        <v>241</v>
      </c>
      <c r="C141" s="32" t="s">
        <v>255</v>
      </c>
      <c r="D141" s="49" t="s">
        <v>686</v>
      </c>
      <c r="E141" s="50">
        <v>3.0087633373444406E-2</v>
      </c>
      <c r="F141" s="51" t="s">
        <v>550</v>
      </c>
      <c r="G141" s="38" t="s">
        <v>301</v>
      </c>
      <c r="H141" s="52" t="s">
        <v>292</v>
      </c>
      <c r="I141" s="53" t="s">
        <v>292</v>
      </c>
      <c r="J141" s="52" t="s">
        <v>292</v>
      </c>
      <c r="K141" s="53" t="s">
        <v>292</v>
      </c>
      <c r="L141" s="49" t="s">
        <v>666</v>
      </c>
      <c r="M141" s="50">
        <v>0.86004514672686228</v>
      </c>
      <c r="N141" s="51" t="s">
        <v>687</v>
      </c>
      <c r="O141" s="49" t="s">
        <v>466</v>
      </c>
      <c r="P141" s="50">
        <v>0.23</v>
      </c>
      <c r="Q141" s="51" t="s">
        <v>467</v>
      </c>
      <c r="R141" s="49" t="s">
        <v>683</v>
      </c>
      <c r="S141" s="49" t="s">
        <v>472</v>
      </c>
      <c r="T141" s="52" t="s">
        <v>292</v>
      </c>
      <c r="U141" s="53" t="s">
        <v>292</v>
      </c>
      <c r="V141" s="49" t="s">
        <v>684</v>
      </c>
      <c r="W141" s="52" t="s">
        <v>292</v>
      </c>
      <c r="X141" s="53" t="s">
        <v>292</v>
      </c>
    </row>
    <row r="142" spans="2:24" ht="43.5" x14ac:dyDescent="0.35">
      <c r="B142" s="32" t="s">
        <v>241</v>
      </c>
      <c r="C142" s="32" t="s">
        <v>248</v>
      </c>
      <c r="D142" s="49" t="s">
        <v>686</v>
      </c>
      <c r="E142" s="50">
        <v>3.0087633373444406E-2</v>
      </c>
      <c r="F142" s="51" t="s">
        <v>550</v>
      </c>
      <c r="G142" s="38" t="s">
        <v>301</v>
      </c>
      <c r="H142" s="52" t="s">
        <v>292</v>
      </c>
      <c r="I142" s="53" t="s">
        <v>292</v>
      </c>
      <c r="J142" s="52" t="s">
        <v>292</v>
      </c>
      <c r="K142" s="53" t="s">
        <v>292</v>
      </c>
      <c r="L142" s="49" t="s">
        <v>688</v>
      </c>
      <c r="M142" s="50">
        <v>0.13995485327313772</v>
      </c>
      <c r="N142" s="51" t="s">
        <v>687</v>
      </c>
      <c r="O142" s="49" t="s">
        <v>466</v>
      </c>
      <c r="P142" s="50">
        <v>0.23</v>
      </c>
      <c r="Q142" s="51" t="s">
        <v>467</v>
      </c>
      <c r="R142" s="49" t="s">
        <v>689</v>
      </c>
      <c r="S142" s="38" t="s">
        <v>292</v>
      </c>
      <c r="T142" s="50">
        <v>0.16666666666666666</v>
      </c>
      <c r="U142" s="51" t="s">
        <v>690</v>
      </c>
      <c r="V142" s="49" t="s">
        <v>684</v>
      </c>
      <c r="W142" s="52" t="s">
        <v>292</v>
      </c>
      <c r="X142" s="53" t="s">
        <v>292</v>
      </c>
    </row>
    <row r="143" spans="2:24" ht="43.5" x14ac:dyDescent="0.35">
      <c r="B143" s="32" t="s">
        <v>241</v>
      </c>
      <c r="C143" s="32" t="s">
        <v>249</v>
      </c>
      <c r="D143" s="49" t="s">
        <v>686</v>
      </c>
      <c r="E143" s="50">
        <v>3.0087633373444406E-2</v>
      </c>
      <c r="F143" s="51" t="s">
        <v>550</v>
      </c>
      <c r="G143" s="38" t="s">
        <v>301</v>
      </c>
      <c r="H143" s="52" t="s">
        <v>292</v>
      </c>
      <c r="I143" s="53" t="s">
        <v>292</v>
      </c>
      <c r="J143" s="52" t="s">
        <v>292</v>
      </c>
      <c r="K143" s="53" t="s">
        <v>292</v>
      </c>
      <c r="L143" s="49" t="s">
        <v>688</v>
      </c>
      <c r="M143" s="50">
        <v>0.13995485327313772</v>
      </c>
      <c r="N143" s="51" t="s">
        <v>687</v>
      </c>
      <c r="O143" s="49" t="s">
        <v>466</v>
      </c>
      <c r="P143" s="50">
        <v>0.23</v>
      </c>
      <c r="Q143" s="51" t="s">
        <v>467</v>
      </c>
      <c r="R143" s="49" t="s">
        <v>691</v>
      </c>
      <c r="S143" s="38" t="s">
        <v>292</v>
      </c>
      <c r="T143" s="50">
        <v>0.16666666666666666</v>
      </c>
      <c r="U143" s="51" t="s">
        <v>690</v>
      </c>
      <c r="V143" s="49" t="s">
        <v>684</v>
      </c>
      <c r="W143" s="52" t="s">
        <v>292</v>
      </c>
      <c r="X143" s="53" t="s">
        <v>292</v>
      </c>
    </row>
    <row r="144" spans="2:24" ht="43.5" x14ac:dyDescent="0.35">
      <c r="B144" s="32" t="s">
        <v>241</v>
      </c>
      <c r="C144" s="32" t="s">
        <v>250</v>
      </c>
      <c r="D144" s="49" t="s">
        <v>686</v>
      </c>
      <c r="E144" s="50">
        <v>3.0087633373444406E-2</v>
      </c>
      <c r="F144" s="51" t="s">
        <v>550</v>
      </c>
      <c r="G144" s="38" t="s">
        <v>301</v>
      </c>
      <c r="H144" s="52" t="s">
        <v>292</v>
      </c>
      <c r="I144" s="53" t="s">
        <v>292</v>
      </c>
      <c r="J144" s="52" t="s">
        <v>292</v>
      </c>
      <c r="K144" s="53" t="s">
        <v>292</v>
      </c>
      <c r="L144" s="49" t="s">
        <v>688</v>
      </c>
      <c r="M144" s="50">
        <v>0.13995485327313772</v>
      </c>
      <c r="N144" s="51" t="s">
        <v>687</v>
      </c>
      <c r="O144" s="49" t="s">
        <v>466</v>
      </c>
      <c r="P144" s="50">
        <v>0.23</v>
      </c>
      <c r="Q144" s="51" t="s">
        <v>467</v>
      </c>
      <c r="R144" s="49" t="s">
        <v>692</v>
      </c>
      <c r="S144" s="38" t="s">
        <v>292</v>
      </c>
      <c r="T144" s="50">
        <v>0.16666666666666666</v>
      </c>
      <c r="U144" s="51" t="s">
        <v>690</v>
      </c>
      <c r="V144" s="49" t="s">
        <v>684</v>
      </c>
      <c r="W144" s="52" t="s">
        <v>292</v>
      </c>
      <c r="X144" s="53" t="s">
        <v>292</v>
      </c>
    </row>
    <row r="145" spans="2:24" ht="43.5" x14ac:dyDescent="0.35">
      <c r="B145" s="32" t="s">
        <v>241</v>
      </c>
      <c r="C145" s="32" t="s">
        <v>251</v>
      </c>
      <c r="D145" s="49" t="s">
        <v>686</v>
      </c>
      <c r="E145" s="50">
        <v>3.0087633373444406E-2</v>
      </c>
      <c r="F145" s="51" t="s">
        <v>550</v>
      </c>
      <c r="G145" s="38" t="s">
        <v>301</v>
      </c>
      <c r="H145" s="52" t="s">
        <v>292</v>
      </c>
      <c r="I145" s="53" t="s">
        <v>292</v>
      </c>
      <c r="J145" s="52" t="s">
        <v>292</v>
      </c>
      <c r="K145" s="53" t="s">
        <v>292</v>
      </c>
      <c r="L145" s="49" t="s">
        <v>688</v>
      </c>
      <c r="M145" s="50">
        <v>0.13995485327313772</v>
      </c>
      <c r="N145" s="51" t="s">
        <v>687</v>
      </c>
      <c r="O145" s="49" t="s">
        <v>466</v>
      </c>
      <c r="P145" s="50">
        <v>0.23</v>
      </c>
      <c r="Q145" s="51" t="s">
        <v>467</v>
      </c>
      <c r="R145" s="49" t="s">
        <v>693</v>
      </c>
      <c r="S145" s="38" t="s">
        <v>292</v>
      </c>
      <c r="T145" s="50">
        <v>0.16666666666666666</v>
      </c>
      <c r="U145" s="51" t="s">
        <v>690</v>
      </c>
      <c r="V145" s="49" t="s">
        <v>684</v>
      </c>
      <c r="W145" s="52" t="s">
        <v>292</v>
      </c>
      <c r="X145" s="53" t="s">
        <v>292</v>
      </c>
    </row>
    <row r="146" spans="2:24" ht="43.5" x14ac:dyDescent="0.35">
      <c r="B146" s="32" t="s">
        <v>241</v>
      </c>
      <c r="C146" s="32" t="s">
        <v>252</v>
      </c>
      <c r="D146" s="49" t="s">
        <v>686</v>
      </c>
      <c r="E146" s="50">
        <v>3.0087633373444406E-2</v>
      </c>
      <c r="F146" s="51" t="s">
        <v>550</v>
      </c>
      <c r="G146" s="38" t="s">
        <v>301</v>
      </c>
      <c r="H146" s="52" t="s">
        <v>292</v>
      </c>
      <c r="I146" s="53" t="s">
        <v>292</v>
      </c>
      <c r="J146" s="52" t="s">
        <v>292</v>
      </c>
      <c r="K146" s="53" t="s">
        <v>292</v>
      </c>
      <c r="L146" s="49" t="s">
        <v>688</v>
      </c>
      <c r="M146" s="50">
        <v>0.13995485327313772</v>
      </c>
      <c r="N146" s="51" t="s">
        <v>687</v>
      </c>
      <c r="O146" s="49" t="s">
        <v>466</v>
      </c>
      <c r="P146" s="50">
        <v>0.23</v>
      </c>
      <c r="Q146" s="51" t="s">
        <v>467</v>
      </c>
      <c r="R146" s="49" t="s">
        <v>694</v>
      </c>
      <c r="S146" s="38" t="s">
        <v>292</v>
      </c>
      <c r="T146" s="50">
        <v>0.16666666666666666</v>
      </c>
      <c r="U146" s="51" t="s">
        <v>690</v>
      </c>
      <c r="V146" s="49" t="s">
        <v>684</v>
      </c>
      <c r="W146" s="52" t="s">
        <v>292</v>
      </c>
      <c r="X146" s="53" t="s">
        <v>292</v>
      </c>
    </row>
    <row r="147" spans="2:24" ht="43.5" x14ac:dyDescent="0.35">
      <c r="B147" s="32" t="s">
        <v>241</v>
      </c>
      <c r="C147" s="32" t="s">
        <v>253</v>
      </c>
      <c r="D147" s="49" t="s">
        <v>686</v>
      </c>
      <c r="E147" s="50">
        <v>3.0087633373444406E-2</v>
      </c>
      <c r="F147" s="51" t="s">
        <v>550</v>
      </c>
      <c r="G147" s="38" t="s">
        <v>301</v>
      </c>
      <c r="H147" s="52" t="s">
        <v>292</v>
      </c>
      <c r="I147" s="53" t="s">
        <v>292</v>
      </c>
      <c r="J147" s="52" t="s">
        <v>292</v>
      </c>
      <c r="K147" s="53" t="s">
        <v>292</v>
      </c>
      <c r="L147" s="49" t="s">
        <v>688</v>
      </c>
      <c r="M147" s="50">
        <v>0.13995485327313772</v>
      </c>
      <c r="N147" s="51" t="s">
        <v>687</v>
      </c>
      <c r="O147" s="49" t="s">
        <v>466</v>
      </c>
      <c r="P147" s="50">
        <v>0.23</v>
      </c>
      <c r="Q147" s="51" t="s">
        <v>467</v>
      </c>
      <c r="R147" s="49" t="s">
        <v>695</v>
      </c>
      <c r="S147" s="38" t="s">
        <v>292</v>
      </c>
      <c r="T147" s="50">
        <v>0.16666666666666666</v>
      </c>
      <c r="U147" s="51" t="s">
        <v>690</v>
      </c>
      <c r="V147" s="49" t="s">
        <v>684</v>
      </c>
      <c r="W147" s="52" t="s">
        <v>292</v>
      </c>
      <c r="X147" s="53" t="s">
        <v>292</v>
      </c>
    </row>
    <row r="148" spans="2:24" ht="43.5" x14ac:dyDescent="0.35">
      <c r="B148" s="32" t="s">
        <v>241</v>
      </c>
      <c r="C148" s="32" t="s">
        <v>245</v>
      </c>
      <c r="D148" s="49" t="s">
        <v>618</v>
      </c>
      <c r="E148" s="50">
        <v>1.7165644107303975E-2</v>
      </c>
      <c r="F148" s="51" t="s">
        <v>550</v>
      </c>
      <c r="G148" s="49" t="s">
        <v>696</v>
      </c>
      <c r="H148" s="52" t="s">
        <v>292</v>
      </c>
      <c r="I148" s="53" t="s">
        <v>292</v>
      </c>
      <c r="J148" s="52" t="s">
        <v>292</v>
      </c>
      <c r="K148" s="53" t="s">
        <v>292</v>
      </c>
      <c r="L148" s="49" t="s">
        <v>666</v>
      </c>
      <c r="M148" s="50">
        <v>0.86004514672686228</v>
      </c>
      <c r="N148" s="51" t="s">
        <v>697</v>
      </c>
      <c r="O148" s="49" t="s">
        <v>466</v>
      </c>
      <c r="P148" s="50">
        <v>0.23</v>
      </c>
      <c r="Q148" s="51" t="s">
        <v>467</v>
      </c>
      <c r="R148" s="49" t="s">
        <v>683</v>
      </c>
      <c r="S148" s="49" t="s">
        <v>472</v>
      </c>
      <c r="T148" s="52" t="s">
        <v>292</v>
      </c>
      <c r="U148" s="53" t="s">
        <v>292</v>
      </c>
      <c r="V148" s="49" t="s">
        <v>684</v>
      </c>
      <c r="W148" s="52" t="s">
        <v>292</v>
      </c>
      <c r="X148" s="53" t="s">
        <v>292</v>
      </c>
    </row>
    <row r="149" spans="2:24" ht="58.5" thickBot="1" x14ac:dyDescent="0.4">
      <c r="B149" s="61" t="s">
        <v>241</v>
      </c>
      <c r="C149" s="61" t="s">
        <v>246</v>
      </c>
      <c r="D149" s="62" t="s">
        <v>618</v>
      </c>
      <c r="E149" s="63">
        <v>1.7165644107303975E-2</v>
      </c>
      <c r="F149" s="64" t="s">
        <v>550</v>
      </c>
      <c r="G149" s="62" t="s">
        <v>696</v>
      </c>
      <c r="H149" s="71" t="s">
        <v>292</v>
      </c>
      <c r="I149" s="72" t="s">
        <v>292</v>
      </c>
      <c r="J149" s="71" t="s">
        <v>292</v>
      </c>
      <c r="K149" s="72" t="s">
        <v>292</v>
      </c>
      <c r="L149" s="62" t="s">
        <v>688</v>
      </c>
      <c r="M149" s="63">
        <v>0.13995485327313772</v>
      </c>
      <c r="N149" s="64" t="s">
        <v>698</v>
      </c>
      <c r="O149" s="62" t="s">
        <v>466</v>
      </c>
      <c r="P149" s="63">
        <v>0.23</v>
      </c>
      <c r="Q149" s="64" t="s">
        <v>467</v>
      </c>
      <c r="R149" s="62" t="s">
        <v>699</v>
      </c>
      <c r="S149" s="65" t="s">
        <v>292</v>
      </c>
      <c r="T149" s="71" t="s">
        <v>292</v>
      </c>
      <c r="U149" s="72" t="s">
        <v>292</v>
      </c>
      <c r="V149" s="62" t="s">
        <v>684</v>
      </c>
      <c r="W149" s="71" t="s">
        <v>292</v>
      </c>
      <c r="X149" s="72" t="s">
        <v>292</v>
      </c>
    </row>
    <row r="150" spans="2:24" ht="44.5" thickTop="1" thickBot="1" x14ac:dyDescent="0.4">
      <c r="B150" s="66" t="s">
        <v>260</v>
      </c>
      <c r="C150" s="66" t="s">
        <v>261</v>
      </c>
      <c r="D150" s="67" t="s">
        <v>501</v>
      </c>
      <c r="E150" s="79" t="s">
        <v>292</v>
      </c>
      <c r="F150" s="80" t="s">
        <v>292</v>
      </c>
      <c r="G150" s="70" t="s">
        <v>301</v>
      </c>
      <c r="H150" s="79" t="s">
        <v>292</v>
      </c>
      <c r="I150" s="80" t="s">
        <v>292</v>
      </c>
      <c r="J150" s="79" t="s">
        <v>292</v>
      </c>
      <c r="K150" s="80" t="s">
        <v>292</v>
      </c>
      <c r="L150" s="67" t="s">
        <v>640</v>
      </c>
      <c r="M150" s="68">
        <v>0.33</v>
      </c>
      <c r="N150" s="69" t="s">
        <v>1028</v>
      </c>
      <c r="O150" s="67" t="s">
        <v>466</v>
      </c>
      <c r="P150" s="79" t="s">
        <v>292</v>
      </c>
      <c r="Q150" s="80" t="s">
        <v>292</v>
      </c>
      <c r="R150" s="70" t="s">
        <v>301</v>
      </c>
      <c r="S150" s="70" t="s">
        <v>484</v>
      </c>
      <c r="T150" s="79" t="s">
        <v>292</v>
      </c>
      <c r="U150" s="80" t="s">
        <v>292</v>
      </c>
      <c r="V150" s="67" t="s">
        <v>700</v>
      </c>
      <c r="W150" s="79" t="s">
        <v>292</v>
      </c>
      <c r="X150" s="80" t="s">
        <v>292</v>
      </c>
    </row>
    <row r="151" spans="2:24" ht="29.5" thickTop="1" x14ac:dyDescent="0.35">
      <c r="B151" s="54" t="s">
        <v>262</v>
      </c>
      <c r="C151" s="54" t="s">
        <v>271</v>
      </c>
      <c r="D151" s="55" t="s">
        <v>462</v>
      </c>
      <c r="E151" s="56">
        <v>0.43200000000000005</v>
      </c>
      <c r="F151" s="57" t="s">
        <v>463</v>
      </c>
      <c r="G151" s="60" t="s">
        <v>301</v>
      </c>
      <c r="H151" s="58" t="s">
        <v>292</v>
      </c>
      <c r="I151" s="59" t="s">
        <v>292</v>
      </c>
      <c r="J151" s="56">
        <v>0.92558589459145968</v>
      </c>
      <c r="K151" s="57" t="s">
        <v>1010</v>
      </c>
      <c r="L151" s="55" t="s">
        <v>640</v>
      </c>
      <c r="M151" s="58" t="s">
        <v>292</v>
      </c>
      <c r="N151" s="59" t="s">
        <v>292</v>
      </c>
      <c r="O151" s="55" t="s">
        <v>466</v>
      </c>
      <c r="P151" s="56">
        <v>0.5</v>
      </c>
      <c r="Q151" s="57" t="s">
        <v>467</v>
      </c>
      <c r="R151" s="55" t="s">
        <v>613</v>
      </c>
      <c r="S151" s="55" t="s">
        <v>472</v>
      </c>
      <c r="T151" s="58" t="s">
        <v>292</v>
      </c>
      <c r="U151" s="59" t="s">
        <v>292</v>
      </c>
      <c r="V151" s="55" t="s">
        <v>701</v>
      </c>
      <c r="W151" s="58" t="s">
        <v>292</v>
      </c>
      <c r="X151" s="59" t="s">
        <v>292</v>
      </c>
    </row>
    <row r="152" spans="2:24" ht="29" x14ac:dyDescent="0.35">
      <c r="B152" s="32" t="s">
        <v>262</v>
      </c>
      <c r="C152" s="32" t="s">
        <v>266</v>
      </c>
      <c r="D152" s="49" t="s">
        <v>462</v>
      </c>
      <c r="E152" s="50">
        <v>0.43200000000000005</v>
      </c>
      <c r="F152" s="51" t="s">
        <v>463</v>
      </c>
      <c r="G152" s="49" t="s">
        <v>639</v>
      </c>
      <c r="H152" s="52" t="s">
        <v>292</v>
      </c>
      <c r="I152" s="53" t="s">
        <v>292</v>
      </c>
      <c r="J152" s="73">
        <v>2.4988153142378983E-2</v>
      </c>
      <c r="K152" s="51" t="s">
        <v>1010</v>
      </c>
      <c r="L152" s="49" t="s">
        <v>702</v>
      </c>
      <c r="M152" s="52" t="s">
        <v>292</v>
      </c>
      <c r="N152" s="53" t="s">
        <v>292</v>
      </c>
      <c r="O152" s="49" t="s">
        <v>466</v>
      </c>
      <c r="P152" s="50">
        <v>0.5</v>
      </c>
      <c r="Q152" s="51" t="s">
        <v>467</v>
      </c>
      <c r="R152" s="38" t="s">
        <v>301</v>
      </c>
      <c r="S152" s="49" t="s">
        <v>472</v>
      </c>
      <c r="T152" s="52" t="s">
        <v>292</v>
      </c>
      <c r="U152" s="53" t="s">
        <v>292</v>
      </c>
      <c r="V152" s="49" t="s">
        <v>701</v>
      </c>
      <c r="W152" s="52" t="s">
        <v>292</v>
      </c>
      <c r="X152" s="53" t="s">
        <v>292</v>
      </c>
    </row>
    <row r="153" spans="2:24" ht="29" x14ac:dyDescent="0.35">
      <c r="B153" s="32" t="s">
        <v>262</v>
      </c>
      <c r="C153" s="32" t="s">
        <v>268</v>
      </c>
      <c r="D153" s="49" t="s">
        <v>462</v>
      </c>
      <c r="E153" s="50">
        <v>0.43200000000000005</v>
      </c>
      <c r="F153" s="51" t="s">
        <v>463</v>
      </c>
      <c r="G153" s="49" t="s">
        <v>703</v>
      </c>
      <c r="H153" s="52" t="s">
        <v>292</v>
      </c>
      <c r="I153" s="53" t="s">
        <v>292</v>
      </c>
      <c r="J153" s="73">
        <v>2.4988153142378983E-2</v>
      </c>
      <c r="K153" s="51" t="s">
        <v>1010</v>
      </c>
      <c r="L153" s="49" t="s">
        <v>702</v>
      </c>
      <c r="M153" s="52" t="s">
        <v>292</v>
      </c>
      <c r="N153" s="53" t="s">
        <v>292</v>
      </c>
      <c r="O153" s="49" t="s">
        <v>466</v>
      </c>
      <c r="P153" s="50">
        <v>0.5</v>
      </c>
      <c r="Q153" s="51" t="s">
        <v>467</v>
      </c>
      <c r="R153" s="38" t="s">
        <v>301</v>
      </c>
      <c r="S153" s="49" t="s">
        <v>472</v>
      </c>
      <c r="T153" s="52" t="s">
        <v>292</v>
      </c>
      <c r="U153" s="53" t="s">
        <v>292</v>
      </c>
      <c r="V153" s="49" t="s">
        <v>701</v>
      </c>
      <c r="W153" s="52" t="s">
        <v>292</v>
      </c>
      <c r="X153" s="53" t="s">
        <v>292</v>
      </c>
    </row>
    <row r="154" spans="2:24" ht="29" x14ac:dyDescent="0.35">
      <c r="B154" s="32" t="s">
        <v>262</v>
      </c>
      <c r="C154" s="32" t="s">
        <v>270</v>
      </c>
      <c r="D154" s="49" t="s">
        <v>462</v>
      </c>
      <c r="E154" s="50">
        <v>0.43200000000000005</v>
      </c>
      <c r="F154" s="51" t="s">
        <v>463</v>
      </c>
      <c r="G154" s="38" t="s">
        <v>703</v>
      </c>
      <c r="H154" s="52" t="s">
        <v>292</v>
      </c>
      <c r="I154" s="53" t="s">
        <v>292</v>
      </c>
      <c r="J154" s="73">
        <v>2.4437799123782418E-2</v>
      </c>
      <c r="K154" s="51" t="s">
        <v>1010</v>
      </c>
      <c r="L154" s="49" t="s">
        <v>702</v>
      </c>
      <c r="M154" s="52" t="s">
        <v>292</v>
      </c>
      <c r="N154" s="53" t="s">
        <v>292</v>
      </c>
      <c r="O154" s="49" t="s">
        <v>466</v>
      </c>
      <c r="P154" s="50">
        <v>0.5</v>
      </c>
      <c r="Q154" s="51" t="s">
        <v>467</v>
      </c>
      <c r="R154" s="38" t="s">
        <v>301</v>
      </c>
      <c r="S154" s="49" t="s">
        <v>472</v>
      </c>
      <c r="T154" s="52" t="s">
        <v>292</v>
      </c>
      <c r="U154" s="53" t="s">
        <v>292</v>
      </c>
      <c r="V154" s="49" t="s">
        <v>701</v>
      </c>
      <c r="W154" s="52" t="s">
        <v>292</v>
      </c>
      <c r="X154" s="53" t="s">
        <v>292</v>
      </c>
    </row>
    <row r="155" spans="2:24" ht="29" x14ac:dyDescent="0.35">
      <c r="B155" s="32" t="s">
        <v>262</v>
      </c>
      <c r="C155" s="32" t="s">
        <v>264</v>
      </c>
      <c r="D155" s="49" t="s">
        <v>462</v>
      </c>
      <c r="E155" s="50">
        <v>0.43200000000000005</v>
      </c>
      <c r="F155" s="51" t="s">
        <v>519</v>
      </c>
      <c r="G155" s="49" t="s">
        <v>704</v>
      </c>
      <c r="H155" s="52" t="s">
        <v>292</v>
      </c>
      <c r="I155" s="53" t="s">
        <v>292</v>
      </c>
      <c r="J155" s="52" t="s">
        <v>292</v>
      </c>
      <c r="K155" s="53" t="s">
        <v>292</v>
      </c>
      <c r="L155" s="49" t="s">
        <v>705</v>
      </c>
      <c r="M155" s="52" t="s">
        <v>292</v>
      </c>
      <c r="N155" s="53" t="s">
        <v>292</v>
      </c>
      <c r="O155" s="49" t="s">
        <v>521</v>
      </c>
      <c r="P155" s="50">
        <v>0.5</v>
      </c>
      <c r="Q155" s="51" t="s">
        <v>467</v>
      </c>
      <c r="R155" s="38" t="s">
        <v>301</v>
      </c>
      <c r="S155" s="49" t="s">
        <v>522</v>
      </c>
      <c r="T155" s="52" t="s">
        <v>292</v>
      </c>
      <c r="U155" s="53" t="s">
        <v>292</v>
      </c>
      <c r="V155" s="49" t="s">
        <v>701</v>
      </c>
      <c r="W155" s="52" t="s">
        <v>292</v>
      </c>
      <c r="X155" s="53" t="s">
        <v>292</v>
      </c>
    </row>
    <row r="156" spans="2:24" ht="29" x14ac:dyDescent="0.35">
      <c r="B156" s="32" t="s">
        <v>262</v>
      </c>
      <c r="C156" s="32" t="s">
        <v>191</v>
      </c>
      <c r="D156" s="49" t="s">
        <v>643</v>
      </c>
      <c r="E156" s="50">
        <v>0.114</v>
      </c>
      <c r="F156" s="51" t="s">
        <v>706</v>
      </c>
      <c r="G156" s="38" t="s">
        <v>301</v>
      </c>
      <c r="H156" s="52" t="s">
        <v>292</v>
      </c>
      <c r="I156" s="53" t="s">
        <v>292</v>
      </c>
      <c r="J156" s="52" t="s">
        <v>292</v>
      </c>
      <c r="K156" s="53" t="s">
        <v>292</v>
      </c>
      <c r="L156" s="49" t="s">
        <v>702</v>
      </c>
      <c r="M156" s="52" t="s">
        <v>292</v>
      </c>
      <c r="N156" s="53" t="s">
        <v>292</v>
      </c>
      <c r="O156" s="49" t="s">
        <v>466</v>
      </c>
      <c r="P156" s="50">
        <v>0.5</v>
      </c>
      <c r="Q156" s="51" t="s">
        <v>467</v>
      </c>
      <c r="R156" s="38" t="s">
        <v>301</v>
      </c>
      <c r="S156" s="49" t="s">
        <v>472</v>
      </c>
      <c r="T156" s="52" t="s">
        <v>292</v>
      </c>
      <c r="U156" s="53" t="s">
        <v>292</v>
      </c>
      <c r="V156" s="49" t="s">
        <v>701</v>
      </c>
      <c r="W156" s="52" t="s">
        <v>292</v>
      </c>
      <c r="X156" s="53" t="s">
        <v>292</v>
      </c>
    </row>
    <row r="157" spans="2:24" ht="44" thickBot="1" x14ac:dyDescent="0.4">
      <c r="B157" s="61" t="s">
        <v>262</v>
      </c>
      <c r="C157" s="61" t="s">
        <v>272</v>
      </c>
      <c r="D157" s="62" t="s">
        <v>635</v>
      </c>
      <c r="E157" s="63">
        <v>6.0000000000000001E-3</v>
      </c>
      <c r="F157" s="64" t="s">
        <v>463</v>
      </c>
      <c r="G157" s="62" t="s">
        <v>636</v>
      </c>
      <c r="H157" s="71" t="s">
        <v>292</v>
      </c>
      <c r="I157" s="72" t="s">
        <v>292</v>
      </c>
      <c r="J157" s="71" t="s">
        <v>292</v>
      </c>
      <c r="K157" s="72" t="s">
        <v>292</v>
      </c>
      <c r="L157" s="62" t="s">
        <v>584</v>
      </c>
      <c r="M157" s="63">
        <v>0.05</v>
      </c>
      <c r="N157" s="64" t="s">
        <v>1029</v>
      </c>
      <c r="O157" s="62" t="s">
        <v>466</v>
      </c>
      <c r="P157" s="63">
        <v>0.5</v>
      </c>
      <c r="Q157" s="64" t="s">
        <v>467</v>
      </c>
      <c r="R157" s="65" t="s">
        <v>301</v>
      </c>
      <c r="S157" s="62" t="s">
        <v>472</v>
      </c>
      <c r="T157" s="71" t="s">
        <v>292</v>
      </c>
      <c r="U157" s="72" t="s">
        <v>292</v>
      </c>
      <c r="V157" s="62" t="s">
        <v>701</v>
      </c>
      <c r="W157" s="71" t="s">
        <v>292</v>
      </c>
      <c r="X157" s="72" t="s">
        <v>292</v>
      </c>
    </row>
    <row r="158" spans="2:24" ht="30" thickTop="1" thickBot="1" x14ac:dyDescent="0.4">
      <c r="B158" s="66" t="s">
        <v>273</v>
      </c>
      <c r="C158" s="66" t="s">
        <v>274</v>
      </c>
      <c r="D158" s="67" t="s">
        <v>643</v>
      </c>
      <c r="E158" s="68">
        <v>2.2615094678273356E-2</v>
      </c>
      <c r="F158" s="69" t="s">
        <v>550</v>
      </c>
      <c r="G158" s="70" t="s">
        <v>301</v>
      </c>
      <c r="H158" s="79" t="s">
        <v>292</v>
      </c>
      <c r="I158" s="80" t="s">
        <v>292</v>
      </c>
      <c r="J158" s="79" t="s">
        <v>292</v>
      </c>
      <c r="K158" s="80" t="s">
        <v>292</v>
      </c>
      <c r="L158" s="67" t="s">
        <v>702</v>
      </c>
      <c r="M158" s="68">
        <v>0.54</v>
      </c>
      <c r="N158" s="69" t="s">
        <v>650</v>
      </c>
      <c r="O158" s="67" t="s">
        <v>466</v>
      </c>
      <c r="P158" s="68">
        <v>0.01</v>
      </c>
      <c r="Q158" s="69" t="s">
        <v>467</v>
      </c>
      <c r="R158" s="70" t="s">
        <v>301</v>
      </c>
      <c r="S158" s="67" t="s">
        <v>472</v>
      </c>
      <c r="T158" s="79" t="s">
        <v>292</v>
      </c>
      <c r="U158" s="80" t="s">
        <v>292</v>
      </c>
      <c r="V158" s="67" t="s">
        <v>707</v>
      </c>
      <c r="W158" s="79" t="s">
        <v>292</v>
      </c>
      <c r="X158" s="80" t="s">
        <v>292</v>
      </c>
    </row>
    <row r="159" spans="2:24" ht="29.5" thickTop="1" x14ac:dyDescent="0.35">
      <c r="B159" s="54" t="s">
        <v>275</v>
      </c>
      <c r="C159" s="54" t="s">
        <v>277</v>
      </c>
      <c r="D159" s="55" t="s">
        <v>501</v>
      </c>
      <c r="E159" s="56">
        <v>0.95</v>
      </c>
      <c r="F159" s="57" t="s">
        <v>708</v>
      </c>
      <c r="G159" s="60" t="s">
        <v>301</v>
      </c>
      <c r="H159" s="58" t="s">
        <v>292</v>
      </c>
      <c r="I159" s="59" t="s">
        <v>292</v>
      </c>
      <c r="J159" s="58" t="s">
        <v>292</v>
      </c>
      <c r="K159" s="59" t="s">
        <v>292</v>
      </c>
      <c r="L159" s="55" t="s">
        <v>709</v>
      </c>
      <c r="M159" s="58" t="s">
        <v>292</v>
      </c>
      <c r="N159" s="59" t="s">
        <v>292</v>
      </c>
      <c r="O159" s="55" t="s">
        <v>466</v>
      </c>
      <c r="P159" s="56">
        <v>0.10800000000000001</v>
      </c>
      <c r="Q159" s="57" t="s">
        <v>710</v>
      </c>
      <c r="R159" s="60" t="s">
        <v>301</v>
      </c>
      <c r="S159" s="60" t="s">
        <v>484</v>
      </c>
      <c r="T159" s="58" t="s">
        <v>292</v>
      </c>
      <c r="U159" s="59" t="s">
        <v>292</v>
      </c>
      <c r="V159" s="55" t="s">
        <v>711</v>
      </c>
      <c r="W159" s="58" t="s">
        <v>292</v>
      </c>
      <c r="X159" s="59" t="s">
        <v>292</v>
      </c>
    </row>
    <row r="160" spans="2:24" ht="29.5" thickBot="1" x14ac:dyDescent="0.4">
      <c r="B160" s="61" t="s">
        <v>275</v>
      </c>
      <c r="C160" s="61" t="s">
        <v>278</v>
      </c>
      <c r="D160" s="62" t="s">
        <v>501</v>
      </c>
      <c r="E160" s="63">
        <v>0.7</v>
      </c>
      <c r="F160" s="64" t="s">
        <v>708</v>
      </c>
      <c r="G160" s="65" t="s">
        <v>301</v>
      </c>
      <c r="H160" s="71" t="s">
        <v>292</v>
      </c>
      <c r="I160" s="72" t="s">
        <v>292</v>
      </c>
      <c r="J160" s="71" t="s">
        <v>292</v>
      </c>
      <c r="K160" s="72" t="s">
        <v>292</v>
      </c>
      <c r="L160" s="62" t="s">
        <v>712</v>
      </c>
      <c r="M160" s="71" t="s">
        <v>292</v>
      </c>
      <c r="N160" s="72" t="s">
        <v>292</v>
      </c>
      <c r="O160" s="62" t="s">
        <v>521</v>
      </c>
      <c r="P160" s="63">
        <v>0.10800000000000001</v>
      </c>
      <c r="Q160" s="64" t="s">
        <v>710</v>
      </c>
      <c r="R160" s="65" t="s">
        <v>301</v>
      </c>
      <c r="S160" s="62" t="s">
        <v>522</v>
      </c>
      <c r="T160" s="71" t="s">
        <v>292</v>
      </c>
      <c r="U160" s="72" t="s">
        <v>292</v>
      </c>
      <c r="V160" s="62" t="s">
        <v>711</v>
      </c>
      <c r="W160" s="71" t="s">
        <v>292</v>
      </c>
      <c r="X160" s="72" t="s">
        <v>292</v>
      </c>
    </row>
    <row r="161" spans="2:24" ht="44" thickTop="1" x14ac:dyDescent="0.35">
      <c r="B161" s="54" t="s">
        <v>279</v>
      </c>
      <c r="C161" s="54" t="s">
        <v>285</v>
      </c>
      <c r="D161" s="55" t="s">
        <v>462</v>
      </c>
      <c r="E161" s="56">
        <v>0.62409999999999999</v>
      </c>
      <c r="F161" s="57" t="s">
        <v>507</v>
      </c>
      <c r="G161" s="55" t="s">
        <v>713</v>
      </c>
      <c r="H161" s="56">
        <v>0.32</v>
      </c>
      <c r="I161" s="57" t="s">
        <v>1002</v>
      </c>
      <c r="J161" s="58" t="s">
        <v>292</v>
      </c>
      <c r="K161" s="59" t="s">
        <v>292</v>
      </c>
      <c r="L161" s="55" t="s">
        <v>714</v>
      </c>
      <c r="M161" s="58" t="s">
        <v>292</v>
      </c>
      <c r="N161" s="59" t="s">
        <v>292</v>
      </c>
      <c r="O161" s="55" t="s">
        <v>466</v>
      </c>
      <c r="P161" s="56">
        <v>0.01</v>
      </c>
      <c r="Q161" s="57" t="s">
        <v>715</v>
      </c>
      <c r="R161" s="60" t="s">
        <v>301</v>
      </c>
      <c r="S161" s="60" t="s">
        <v>292</v>
      </c>
      <c r="T161" s="58" t="s">
        <v>292</v>
      </c>
      <c r="U161" s="59" t="s">
        <v>292</v>
      </c>
      <c r="V161" s="55" t="s">
        <v>716</v>
      </c>
      <c r="W161" s="58" t="s">
        <v>292</v>
      </c>
      <c r="X161" s="59" t="s">
        <v>292</v>
      </c>
    </row>
    <row r="162" spans="2:24" ht="43.5" x14ac:dyDescent="0.35">
      <c r="B162" s="32" t="s">
        <v>279</v>
      </c>
      <c r="C162" s="32" t="s">
        <v>281</v>
      </c>
      <c r="D162" s="49" t="s">
        <v>462</v>
      </c>
      <c r="E162" s="50">
        <v>0.62409999999999999</v>
      </c>
      <c r="F162" s="51" t="s">
        <v>507</v>
      </c>
      <c r="G162" s="49" t="s">
        <v>717</v>
      </c>
      <c r="H162" s="50">
        <v>0.23409999999999997</v>
      </c>
      <c r="I162" s="51" t="s">
        <v>1003</v>
      </c>
      <c r="J162" s="52" t="s">
        <v>292</v>
      </c>
      <c r="K162" s="53" t="s">
        <v>292</v>
      </c>
      <c r="L162" s="49" t="s">
        <v>718</v>
      </c>
      <c r="M162" s="52" t="s">
        <v>292</v>
      </c>
      <c r="N162" s="53" t="s">
        <v>292</v>
      </c>
      <c r="O162" s="49" t="s">
        <v>466</v>
      </c>
      <c r="P162" s="50">
        <v>0.01</v>
      </c>
      <c r="Q162" s="51" t="s">
        <v>715</v>
      </c>
      <c r="R162" s="38" t="s">
        <v>301</v>
      </c>
      <c r="S162" s="38" t="s">
        <v>292</v>
      </c>
      <c r="T162" s="52" t="s">
        <v>292</v>
      </c>
      <c r="U162" s="53" t="s">
        <v>292</v>
      </c>
      <c r="V162" s="49" t="s">
        <v>716</v>
      </c>
      <c r="W162" s="52" t="s">
        <v>292</v>
      </c>
      <c r="X162" s="53" t="s">
        <v>292</v>
      </c>
    </row>
    <row r="163" spans="2:24" ht="43.5" x14ac:dyDescent="0.35">
      <c r="B163" s="32" t="s">
        <v>279</v>
      </c>
      <c r="C163" s="32" t="s">
        <v>287</v>
      </c>
      <c r="D163" s="49" t="s">
        <v>462</v>
      </c>
      <c r="E163" s="50">
        <v>0.62409999999999999</v>
      </c>
      <c r="F163" s="51" t="s">
        <v>507</v>
      </c>
      <c r="G163" s="38" t="s">
        <v>301</v>
      </c>
      <c r="H163" s="50">
        <v>7.0000000000000007E-2</v>
      </c>
      <c r="I163" s="51" t="s">
        <v>1003</v>
      </c>
      <c r="J163" s="52" t="s">
        <v>292</v>
      </c>
      <c r="K163" s="53" t="s">
        <v>292</v>
      </c>
      <c r="L163" s="49" t="s">
        <v>719</v>
      </c>
      <c r="M163" s="52" t="s">
        <v>292</v>
      </c>
      <c r="N163" s="53" t="s">
        <v>292</v>
      </c>
      <c r="O163" s="49" t="s">
        <v>466</v>
      </c>
      <c r="P163" s="50">
        <v>0.01</v>
      </c>
      <c r="Q163" s="51" t="s">
        <v>715</v>
      </c>
      <c r="R163" s="38" t="s">
        <v>301</v>
      </c>
      <c r="S163" s="38" t="s">
        <v>292</v>
      </c>
      <c r="T163" s="52" t="s">
        <v>292</v>
      </c>
      <c r="U163" s="53" t="s">
        <v>292</v>
      </c>
      <c r="V163" s="49" t="s">
        <v>716</v>
      </c>
      <c r="W163" s="52" t="s">
        <v>292</v>
      </c>
      <c r="X163" s="53" t="s">
        <v>292</v>
      </c>
    </row>
    <row r="164" spans="2:24" ht="29" x14ac:dyDescent="0.35">
      <c r="B164" s="32" t="s">
        <v>279</v>
      </c>
      <c r="C164" s="32" t="s">
        <v>283</v>
      </c>
      <c r="D164" s="49" t="s">
        <v>482</v>
      </c>
      <c r="E164" s="50">
        <v>0.15759999999999999</v>
      </c>
      <c r="F164" s="51" t="s">
        <v>507</v>
      </c>
      <c r="G164" s="49" t="s">
        <v>720</v>
      </c>
      <c r="H164" s="52" t="s">
        <v>292</v>
      </c>
      <c r="I164" s="53" t="s">
        <v>292</v>
      </c>
      <c r="J164" s="52" t="s">
        <v>292</v>
      </c>
      <c r="K164" s="53" t="s">
        <v>292</v>
      </c>
      <c r="L164" s="49" t="s">
        <v>718</v>
      </c>
      <c r="M164" s="52" t="s">
        <v>292</v>
      </c>
      <c r="N164" s="53" t="s">
        <v>292</v>
      </c>
      <c r="O164" s="49" t="s">
        <v>466</v>
      </c>
      <c r="P164" s="50">
        <v>0.01</v>
      </c>
      <c r="Q164" s="51" t="s">
        <v>715</v>
      </c>
      <c r="R164" s="38" t="s">
        <v>301</v>
      </c>
      <c r="S164" s="38" t="s">
        <v>292</v>
      </c>
      <c r="T164" s="52" t="s">
        <v>292</v>
      </c>
      <c r="U164" s="53" t="s">
        <v>292</v>
      </c>
      <c r="V164" s="49" t="s">
        <v>721</v>
      </c>
      <c r="W164" s="52" t="s">
        <v>292</v>
      </c>
      <c r="X164" s="53" t="s">
        <v>292</v>
      </c>
    </row>
    <row r="165" spans="2:24" ht="29.5" thickBot="1" x14ac:dyDescent="0.4">
      <c r="B165" s="61" t="s">
        <v>279</v>
      </c>
      <c r="C165" s="61" t="s">
        <v>289</v>
      </c>
      <c r="D165" s="62" t="s">
        <v>722</v>
      </c>
      <c r="E165" s="63">
        <v>8.1600000000000006E-2</v>
      </c>
      <c r="F165" s="64" t="s">
        <v>507</v>
      </c>
      <c r="G165" s="65" t="s">
        <v>301</v>
      </c>
      <c r="H165" s="71" t="s">
        <v>292</v>
      </c>
      <c r="I165" s="72" t="s">
        <v>292</v>
      </c>
      <c r="J165" s="71" t="s">
        <v>292</v>
      </c>
      <c r="K165" s="72" t="s">
        <v>292</v>
      </c>
      <c r="L165" s="62" t="s">
        <v>723</v>
      </c>
      <c r="M165" s="71" t="s">
        <v>292</v>
      </c>
      <c r="N165" s="72" t="s">
        <v>292</v>
      </c>
      <c r="O165" s="62" t="s">
        <v>466</v>
      </c>
      <c r="P165" s="63">
        <v>0.01</v>
      </c>
      <c r="Q165" s="64" t="s">
        <v>715</v>
      </c>
      <c r="R165" s="65" t="s">
        <v>301</v>
      </c>
      <c r="S165" s="65" t="s">
        <v>292</v>
      </c>
      <c r="T165" s="71" t="s">
        <v>292</v>
      </c>
      <c r="U165" s="72" t="s">
        <v>292</v>
      </c>
      <c r="V165" s="62" t="s">
        <v>716</v>
      </c>
      <c r="W165" s="71" t="s">
        <v>292</v>
      </c>
      <c r="X165" s="72" t="s">
        <v>292</v>
      </c>
    </row>
    <row r="166" spans="2:24" ht="15" thickTop="1" x14ac:dyDescent="0.35"/>
  </sheetData>
  <mergeCells count="3">
    <mergeCell ref="D1:K1"/>
    <mergeCell ref="L1:U1"/>
    <mergeCell ref="V1:X1"/>
  </mergeCells>
  <dataValidations count="2">
    <dataValidation type="list" allowBlank="1" showInputMessage="1" showErrorMessage="1" sqref="S3:S165" xr:uid="{472897B8-07F5-4658-BE93-4CDDCAFC0AAE}">
      <formula1>"Pyrometallurgy,Hydrometallurgy,Unknown,NA"</formula1>
    </dataValidation>
    <dataValidation type="list" allowBlank="1" showInputMessage="1" showErrorMessage="1" sqref="O3:O165" xr:uid="{F540A040-ACE9-4A5B-B287-5D750A17F274}">
      <formula1>"Primary,Secondary"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5FBF0-3E27-439A-9CCD-CE0758184145}">
  <sheetPr>
    <tabColor theme="9" tint="0.79998168889431442"/>
  </sheetPr>
  <dimension ref="B1:M200"/>
  <sheetViews>
    <sheetView showGridLines="0" zoomScaleNormal="100" workbookViewId="0">
      <pane xSplit="3" ySplit="2" topLeftCell="D3" activePane="bottomRight" state="frozen"/>
      <selection pane="topRight" activeCell="D1" sqref="D1"/>
      <selection pane="bottomLeft" activeCell="A3" sqref="A3"/>
      <selection pane="bottomRight" activeCell="C5" sqref="C5"/>
    </sheetView>
  </sheetViews>
  <sheetFormatPr baseColWidth="10" defaultColWidth="11.453125" defaultRowHeight="14.5" x14ac:dyDescent="0.35"/>
  <cols>
    <col min="1" max="1" width="1.453125" style="25" customWidth="1"/>
    <col min="2" max="2" width="18" style="25" bestFit="1" customWidth="1"/>
    <col min="3" max="3" width="54.453125" style="25" customWidth="1"/>
    <col min="4" max="4" width="31.26953125" style="25" bestFit="1" customWidth="1"/>
    <col min="5" max="5" width="25.26953125" style="25" bestFit="1" customWidth="1"/>
    <col min="6" max="6" width="23.1796875" style="25" bestFit="1" customWidth="1"/>
    <col min="7" max="7" width="21.7265625" style="25" bestFit="1" customWidth="1"/>
    <col min="8" max="9" width="21.1796875" style="25" bestFit="1" customWidth="1"/>
    <col min="10" max="10" width="24.7265625" style="25" bestFit="1" customWidth="1"/>
    <col min="11" max="11" width="21" style="108" bestFit="1" customWidth="1"/>
    <col min="12" max="12" width="72.7265625" style="25" customWidth="1"/>
    <col min="13" max="13" width="24.26953125" style="25" customWidth="1"/>
    <col min="14" max="16384" width="11.453125" style="25"/>
  </cols>
  <sheetData>
    <row r="1" spans="2:13" ht="7.5" customHeight="1" x14ac:dyDescent="0.35"/>
    <row r="2" spans="2:13" ht="29" x14ac:dyDescent="0.35">
      <c r="B2" s="26" t="s">
        <v>3</v>
      </c>
      <c r="C2" s="26" t="s">
        <v>4</v>
      </c>
      <c r="D2" s="6" t="s">
        <v>454</v>
      </c>
      <c r="E2" s="6" t="s">
        <v>456</v>
      </c>
      <c r="F2" s="6" t="s">
        <v>457</v>
      </c>
      <c r="G2" s="7" t="s">
        <v>458</v>
      </c>
      <c r="H2" s="7" t="s">
        <v>460</v>
      </c>
      <c r="I2" s="7" t="s">
        <v>459</v>
      </c>
      <c r="J2" s="5" t="s">
        <v>461</v>
      </c>
      <c r="K2" s="81" t="s">
        <v>441</v>
      </c>
      <c r="L2" s="82" t="s">
        <v>442</v>
      </c>
      <c r="M2" s="82" t="s">
        <v>773</v>
      </c>
    </row>
    <row r="3" spans="2:13" ht="58" x14ac:dyDescent="0.35">
      <c r="B3" s="32" t="s">
        <v>14</v>
      </c>
      <c r="C3" s="32" t="s">
        <v>17</v>
      </c>
      <c r="D3" s="74">
        <v>0.56200000000000006</v>
      </c>
      <c r="E3" s="74">
        <v>0.14465676469336511</v>
      </c>
      <c r="F3" s="11" t="s">
        <v>292</v>
      </c>
      <c r="G3" s="11" t="s">
        <v>292</v>
      </c>
      <c r="H3" s="11" t="s">
        <v>292</v>
      </c>
      <c r="I3" s="75">
        <v>0</v>
      </c>
      <c r="J3" s="11" t="s">
        <v>292</v>
      </c>
      <c r="K3" s="76">
        <f>D3*E3</f>
        <v>8.12971017576712E-2</v>
      </c>
      <c r="L3" s="77" t="s">
        <v>443</v>
      </c>
      <c r="M3" s="10" t="s">
        <v>774</v>
      </c>
    </row>
    <row r="4" spans="2:13" ht="72.5" x14ac:dyDescent="0.35">
      <c r="B4" s="32" t="s">
        <v>14</v>
      </c>
      <c r="C4" s="32" t="s">
        <v>23</v>
      </c>
      <c r="D4" s="74">
        <v>0.56200000000000006</v>
      </c>
      <c r="E4" s="74">
        <v>0.46831009715883631</v>
      </c>
      <c r="F4" s="11" t="s">
        <v>292</v>
      </c>
      <c r="G4" s="11" t="s">
        <v>292</v>
      </c>
      <c r="H4" s="11" t="s">
        <v>292</v>
      </c>
      <c r="I4" s="75">
        <v>0</v>
      </c>
      <c r="J4" s="74">
        <v>0.77777777777777779</v>
      </c>
      <c r="K4" s="76">
        <f>D4*E4*J4</f>
        <v>0.20470354691365136</v>
      </c>
      <c r="L4" s="77" t="s">
        <v>444</v>
      </c>
      <c r="M4" s="10" t="s">
        <v>775</v>
      </c>
    </row>
    <row r="5" spans="2:13" ht="72.5" x14ac:dyDescent="0.35">
      <c r="B5" s="32" t="s">
        <v>14</v>
      </c>
      <c r="C5" s="32" t="s">
        <v>24</v>
      </c>
      <c r="D5" s="74">
        <v>0.56200000000000006</v>
      </c>
      <c r="E5" s="74">
        <v>0.46831009715883631</v>
      </c>
      <c r="F5" s="11" t="s">
        <v>292</v>
      </c>
      <c r="G5" s="11" t="s">
        <v>292</v>
      </c>
      <c r="H5" s="11" t="s">
        <v>292</v>
      </c>
      <c r="I5" s="75">
        <v>0</v>
      </c>
      <c r="J5" s="74">
        <v>0.22222222222222221</v>
      </c>
      <c r="K5" s="76">
        <f>D5*E5*J5</f>
        <v>5.8486727689614673E-2</v>
      </c>
      <c r="L5" s="77" t="s">
        <v>444</v>
      </c>
      <c r="M5" s="10" t="s">
        <v>775</v>
      </c>
    </row>
    <row r="6" spans="2:13" ht="58" x14ac:dyDescent="0.35">
      <c r="B6" s="32" t="s">
        <v>14</v>
      </c>
      <c r="C6" s="32" t="s">
        <v>26</v>
      </c>
      <c r="D6" s="74">
        <v>0.56200000000000006</v>
      </c>
      <c r="E6" s="74">
        <v>0.38703313814779855</v>
      </c>
      <c r="F6" s="11" t="s">
        <v>292</v>
      </c>
      <c r="G6" s="11" t="s">
        <v>292</v>
      </c>
      <c r="H6" s="11" t="s">
        <v>292</v>
      </c>
      <c r="I6" s="75">
        <v>0</v>
      </c>
      <c r="J6" s="11" t="s">
        <v>292</v>
      </c>
      <c r="K6" s="76">
        <f>D6*E6</f>
        <v>0.21751262363906282</v>
      </c>
      <c r="L6" s="77" t="s">
        <v>443</v>
      </c>
      <c r="M6" s="10" t="s">
        <v>774</v>
      </c>
    </row>
    <row r="7" spans="2:13" ht="58" x14ac:dyDescent="0.35">
      <c r="B7" s="32" t="s">
        <v>14</v>
      </c>
      <c r="C7" s="32" t="s">
        <v>20</v>
      </c>
      <c r="D7" s="74">
        <v>0.32100000000000001</v>
      </c>
      <c r="E7" s="11" t="s">
        <v>292</v>
      </c>
      <c r="F7" s="11" t="s">
        <v>292</v>
      </c>
      <c r="G7" s="11" t="s">
        <v>292</v>
      </c>
      <c r="H7" s="11" t="s">
        <v>292</v>
      </c>
      <c r="I7" s="75">
        <v>0</v>
      </c>
      <c r="J7" s="74">
        <v>0.86099999999999999</v>
      </c>
      <c r="K7" s="76">
        <f>D7*J7</f>
        <v>0.27638099999999999</v>
      </c>
      <c r="L7" s="77" t="s">
        <v>445</v>
      </c>
      <c r="M7" s="10" t="s">
        <v>776</v>
      </c>
    </row>
    <row r="8" spans="2:13" ht="58" x14ac:dyDescent="0.35">
      <c r="B8" s="32" t="s">
        <v>14</v>
      </c>
      <c r="C8" s="32" t="s">
        <v>21</v>
      </c>
      <c r="D8" s="74">
        <v>0.32100000000000001</v>
      </c>
      <c r="E8" s="11" t="s">
        <v>292</v>
      </c>
      <c r="F8" s="11" t="s">
        <v>292</v>
      </c>
      <c r="G8" s="11" t="s">
        <v>292</v>
      </c>
      <c r="H8" s="11" t="s">
        <v>292</v>
      </c>
      <c r="I8" s="75">
        <v>0</v>
      </c>
      <c r="J8" s="74">
        <v>0.13900000000000001</v>
      </c>
      <c r="K8" s="76">
        <f>D8*J8</f>
        <v>4.4619000000000006E-2</v>
      </c>
      <c r="L8" s="77" t="s">
        <v>445</v>
      </c>
      <c r="M8" s="10" t="s">
        <v>776</v>
      </c>
    </row>
    <row r="9" spans="2:13" ht="58" x14ac:dyDescent="0.35">
      <c r="B9" s="32" t="s">
        <v>14</v>
      </c>
      <c r="C9" s="32" t="s">
        <v>16</v>
      </c>
      <c r="D9" s="74">
        <v>0.105</v>
      </c>
      <c r="E9" s="74">
        <v>0.40386940749697703</v>
      </c>
      <c r="F9" s="11" t="s">
        <v>292</v>
      </c>
      <c r="G9" s="11" t="s">
        <v>292</v>
      </c>
      <c r="H9" s="11" t="s">
        <v>292</v>
      </c>
      <c r="I9" s="75">
        <v>0</v>
      </c>
      <c r="J9" s="11" t="s">
        <v>292</v>
      </c>
      <c r="K9" s="76">
        <f>D9*E9</f>
        <v>4.2406287787182584E-2</v>
      </c>
      <c r="L9" s="77" t="s">
        <v>446</v>
      </c>
      <c r="M9" s="10" t="s">
        <v>774</v>
      </c>
    </row>
    <row r="10" spans="2:13" ht="58" x14ac:dyDescent="0.35">
      <c r="B10" s="32" t="s">
        <v>14</v>
      </c>
      <c r="C10" s="32" t="s">
        <v>18</v>
      </c>
      <c r="D10" s="74">
        <v>0.105</v>
      </c>
      <c r="E10" s="74">
        <v>0.45852478839177746</v>
      </c>
      <c r="F10" s="11" t="s">
        <v>292</v>
      </c>
      <c r="G10" s="11" t="s">
        <v>292</v>
      </c>
      <c r="H10" s="11" t="s">
        <v>292</v>
      </c>
      <c r="I10" s="75">
        <v>0</v>
      </c>
      <c r="J10" s="11" t="s">
        <v>292</v>
      </c>
      <c r="K10" s="76">
        <f>D10*E10</f>
        <v>4.814510278113663E-2</v>
      </c>
      <c r="L10" s="77" t="s">
        <v>446</v>
      </c>
      <c r="M10" s="10" t="s">
        <v>774</v>
      </c>
    </row>
    <row r="11" spans="2:13" ht="58" x14ac:dyDescent="0.35">
      <c r="B11" s="32" t="s">
        <v>14</v>
      </c>
      <c r="C11" s="32" t="s">
        <v>28</v>
      </c>
      <c r="D11" s="74">
        <v>0.105</v>
      </c>
      <c r="E11" s="74">
        <v>0.13760580411124546</v>
      </c>
      <c r="F11" s="11" t="s">
        <v>292</v>
      </c>
      <c r="G11" s="11" t="s">
        <v>292</v>
      </c>
      <c r="H11" s="11" t="s">
        <v>292</v>
      </c>
      <c r="I11" s="75">
        <v>0</v>
      </c>
      <c r="J11" s="11" t="s">
        <v>292</v>
      </c>
      <c r="K11" s="76">
        <f>D11*E11</f>
        <v>1.4448609431680772E-2</v>
      </c>
      <c r="L11" s="77" t="s">
        <v>446</v>
      </c>
      <c r="M11" s="10" t="s">
        <v>774</v>
      </c>
    </row>
    <row r="12" spans="2:13" x14ac:dyDescent="0.35">
      <c r="B12" s="83" t="s">
        <v>14</v>
      </c>
      <c r="C12" s="83" t="s">
        <v>448</v>
      </c>
      <c r="D12" s="126" t="s">
        <v>447</v>
      </c>
      <c r="E12" s="126"/>
      <c r="F12" s="126"/>
      <c r="G12" s="126"/>
      <c r="H12" s="126"/>
      <c r="I12" s="126"/>
      <c r="J12" s="126"/>
      <c r="K12" s="84">
        <f>SUM(K3:K11)</f>
        <v>0.98799999999999999</v>
      </c>
      <c r="L12" s="125" t="s">
        <v>447</v>
      </c>
      <c r="M12" s="125"/>
    </row>
    <row r="13" spans="2:13" ht="72.5" x14ac:dyDescent="0.35">
      <c r="B13" s="32" t="s">
        <v>29</v>
      </c>
      <c r="C13" s="32" t="s">
        <v>31</v>
      </c>
      <c r="D13" s="74">
        <v>0.502</v>
      </c>
      <c r="E13" s="11" t="s">
        <v>292</v>
      </c>
      <c r="F13" s="11" t="s">
        <v>292</v>
      </c>
      <c r="G13" s="11" t="s">
        <v>292</v>
      </c>
      <c r="H13" s="11" t="s">
        <v>292</v>
      </c>
      <c r="I13" s="74">
        <v>0.08</v>
      </c>
      <c r="J13" s="11" t="s">
        <v>292</v>
      </c>
      <c r="K13" s="76">
        <f>D13*(1-I13)</f>
        <v>0.46184000000000003</v>
      </c>
      <c r="L13" s="77" t="s">
        <v>777</v>
      </c>
      <c r="M13" s="10" t="s">
        <v>778</v>
      </c>
    </row>
    <row r="14" spans="2:13" x14ac:dyDescent="0.35">
      <c r="B14" s="83" t="s">
        <v>29</v>
      </c>
      <c r="C14" s="83" t="s">
        <v>779</v>
      </c>
      <c r="D14" s="126" t="s">
        <v>447</v>
      </c>
      <c r="E14" s="126" t="s">
        <v>447</v>
      </c>
      <c r="F14" s="126" t="s">
        <v>447</v>
      </c>
      <c r="G14" s="126" t="s">
        <v>447</v>
      </c>
      <c r="H14" s="126" t="s">
        <v>447</v>
      </c>
      <c r="I14" s="126" t="s">
        <v>447</v>
      </c>
      <c r="J14" s="126" t="s">
        <v>447</v>
      </c>
      <c r="K14" s="84">
        <f>K13</f>
        <v>0.46184000000000003</v>
      </c>
      <c r="L14" s="125" t="s">
        <v>447</v>
      </c>
      <c r="M14" s="125"/>
    </row>
    <row r="15" spans="2:13" ht="87" x14ac:dyDescent="0.35">
      <c r="B15" s="32" t="s">
        <v>32</v>
      </c>
      <c r="C15" s="32" t="s">
        <v>34</v>
      </c>
      <c r="D15" s="74">
        <v>0.44799999999999995</v>
      </c>
      <c r="E15" s="11" t="s">
        <v>292</v>
      </c>
      <c r="F15" s="11" t="s">
        <v>292</v>
      </c>
      <c r="G15" s="74">
        <v>0.66943866943866948</v>
      </c>
      <c r="H15" s="11" t="s">
        <v>292</v>
      </c>
      <c r="I15" s="74">
        <v>0.01</v>
      </c>
      <c r="J15" s="11" t="s">
        <v>292</v>
      </c>
      <c r="K15" s="76">
        <f>D15*G15*(1-I15)</f>
        <v>0.29690943866943864</v>
      </c>
      <c r="L15" s="77" t="s">
        <v>780</v>
      </c>
      <c r="M15" s="10" t="s">
        <v>776</v>
      </c>
    </row>
    <row r="16" spans="2:13" ht="116" x14ac:dyDescent="0.35">
      <c r="B16" s="32" t="s">
        <v>32</v>
      </c>
      <c r="C16" s="32" t="s">
        <v>35</v>
      </c>
      <c r="D16" s="74">
        <v>0.44799999999999995</v>
      </c>
      <c r="E16" s="11" t="s">
        <v>292</v>
      </c>
      <c r="F16" s="11" t="s">
        <v>292</v>
      </c>
      <c r="G16" s="74">
        <v>0.33056133056133052</v>
      </c>
      <c r="H16" s="11" t="s">
        <v>292</v>
      </c>
      <c r="I16" s="74">
        <v>0.01</v>
      </c>
      <c r="J16" s="74">
        <v>0.91304347826086951</v>
      </c>
      <c r="K16" s="76">
        <f>D16*G16*J16*(1-I16)</f>
        <v>0.13386181686703419</v>
      </c>
      <c r="L16" s="77" t="s">
        <v>781</v>
      </c>
      <c r="M16" s="10" t="s">
        <v>776</v>
      </c>
    </row>
    <row r="17" spans="2:13" ht="116" x14ac:dyDescent="0.35">
      <c r="B17" s="32" t="s">
        <v>32</v>
      </c>
      <c r="C17" s="32" t="s">
        <v>36</v>
      </c>
      <c r="D17" s="74">
        <v>0.44799999999999995</v>
      </c>
      <c r="E17" s="11" t="s">
        <v>292</v>
      </c>
      <c r="F17" s="11" t="s">
        <v>292</v>
      </c>
      <c r="G17" s="74">
        <v>0.33056133056133052</v>
      </c>
      <c r="H17" s="11" t="s">
        <v>292</v>
      </c>
      <c r="I17" s="74">
        <v>0.01</v>
      </c>
      <c r="J17" s="74">
        <v>8.6956521739130488E-2</v>
      </c>
      <c r="K17" s="76">
        <f>D17*G17*J17*(1-I17)</f>
        <v>1.2748744463527077E-2</v>
      </c>
      <c r="L17" s="77" t="s">
        <v>781</v>
      </c>
      <c r="M17" s="10" t="s">
        <v>776</v>
      </c>
    </row>
    <row r="18" spans="2:13" ht="87" x14ac:dyDescent="0.35">
      <c r="B18" s="32" t="s">
        <v>32</v>
      </c>
      <c r="C18" s="32" t="s">
        <v>38</v>
      </c>
      <c r="D18" s="74">
        <v>3.3000000000000002E-2</v>
      </c>
      <c r="E18" s="11" t="s">
        <v>292</v>
      </c>
      <c r="F18" s="11" t="s">
        <v>292</v>
      </c>
      <c r="G18" s="11" t="s">
        <v>292</v>
      </c>
      <c r="H18" s="11" t="s">
        <v>292</v>
      </c>
      <c r="I18" s="74">
        <v>0.01</v>
      </c>
      <c r="J18" s="74">
        <v>0.67</v>
      </c>
      <c r="K18" s="76">
        <f>D18*J18*(1-I18)</f>
        <v>2.1888899999999999E-2</v>
      </c>
      <c r="L18" s="77" t="s">
        <v>782</v>
      </c>
      <c r="M18" s="10" t="s">
        <v>783</v>
      </c>
    </row>
    <row r="19" spans="2:13" ht="116" x14ac:dyDescent="0.35">
      <c r="B19" s="32" t="s">
        <v>32</v>
      </c>
      <c r="C19" s="32" t="s">
        <v>39</v>
      </c>
      <c r="D19" s="74">
        <v>3.3000000000000002E-2</v>
      </c>
      <c r="E19" s="11" t="s">
        <v>292</v>
      </c>
      <c r="F19" s="11" t="s">
        <v>292</v>
      </c>
      <c r="G19" s="11" t="s">
        <v>292</v>
      </c>
      <c r="H19" s="74">
        <v>0.5</v>
      </c>
      <c r="I19" s="74">
        <v>0.01</v>
      </c>
      <c r="J19" s="74">
        <v>0.32999999999999996</v>
      </c>
      <c r="K19" s="76">
        <f>D19*J19*H19*(1-I19)</f>
        <v>5.3905499999999992E-3</v>
      </c>
      <c r="L19" s="77" t="s">
        <v>784</v>
      </c>
      <c r="M19" s="10" t="s">
        <v>783</v>
      </c>
    </row>
    <row r="20" spans="2:13" ht="116" x14ac:dyDescent="0.35">
      <c r="B20" s="32" t="s">
        <v>32</v>
      </c>
      <c r="C20" s="32" t="s">
        <v>40</v>
      </c>
      <c r="D20" s="74">
        <v>3.3000000000000002E-2</v>
      </c>
      <c r="E20" s="11" t="s">
        <v>292</v>
      </c>
      <c r="F20" s="11" t="s">
        <v>292</v>
      </c>
      <c r="G20" s="11" t="s">
        <v>292</v>
      </c>
      <c r="H20" s="74">
        <v>0.5</v>
      </c>
      <c r="I20" s="74">
        <v>0.01</v>
      </c>
      <c r="J20" s="74">
        <v>0.32999999999999996</v>
      </c>
      <c r="K20" s="76">
        <f>D20*J20*H20*(1-I20)</f>
        <v>5.3905499999999992E-3</v>
      </c>
      <c r="L20" s="77" t="s">
        <v>784</v>
      </c>
      <c r="M20" s="10" t="s">
        <v>783</v>
      </c>
    </row>
    <row r="21" spans="2:13" x14ac:dyDescent="0.35">
      <c r="B21" s="83" t="s">
        <v>32</v>
      </c>
      <c r="C21" s="83" t="s">
        <v>785</v>
      </c>
      <c r="D21" s="126" t="s">
        <v>447</v>
      </c>
      <c r="E21" s="126" t="s">
        <v>447</v>
      </c>
      <c r="F21" s="126" t="s">
        <v>447</v>
      </c>
      <c r="G21" s="126" t="s">
        <v>447</v>
      </c>
      <c r="H21" s="126" t="s">
        <v>447</v>
      </c>
      <c r="I21" s="126" t="s">
        <v>447</v>
      </c>
      <c r="J21" s="126" t="s">
        <v>447</v>
      </c>
      <c r="K21" s="84">
        <f>SUM(K15:K20)</f>
        <v>0.47618999999999989</v>
      </c>
      <c r="L21" s="125" t="s">
        <v>447</v>
      </c>
      <c r="M21" s="125"/>
    </row>
    <row r="22" spans="2:13" ht="58" x14ac:dyDescent="0.35">
      <c r="B22" s="32" t="s">
        <v>41</v>
      </c>
      <c r="C22" s="32" t="s">
        <v>45</v>
      </c>
      <c r="D22" s="74">
        <v>1</v>
      </c>
      <c r="E22" s="11" t="s">
        <v>292</v>
      </c>
      <c r="F22" s="11" t="s">
        <v>292</v>
      </c>
      <c r="G22" s="74">
        <v>0.58710560473645679</v>
      </c>
      <c r="H22" s="11" t="s">
        <v>292</v>
      </c>
      <c r="I22" s="75">
        <v>0</v>
      </c>
      <c r="J22" s="11" t="s">
        <v>292</v>
      </c>
      <c r="K22" s="76">
        <f>D22*G22</f>
        <v>0.58710560473645679</v>
      </c>
      <c r="L22" s="77" t="s">
        <v>786</v>
      </c>
      <c r="M22" s="10" t="s">
        <v>776</v>
      </c>
    </row>
    <row r="23" spans="2:13" ht="58" x14ac:dyDescent="0.35">
      <c r="B23" s="32" t="s">
        <v>41</v>
      </c>
      <c r="C23" s="32" t="s">
        <v>43</v>
      </c>
      <c r="D23" s="74">
        <v>0.62958806952022817</v>
      </c>
      <c r="E23" s="11" t="s">
        <v>292</v>
      </c>
      <c r="F23" s="11" t="s">
        <v>292</v>
      </c>
      <c r="G23" s="74">
        <v>0.41289439526354321</v>
      </c>
      <c r="H23" s="11" t="s">
        <v>292</v>
      </c>
      <c r="I23" s="75">
        <v>0</v>
      </c>
      <c r="J23" s="11" t="s">
        <v>292</v>
      </c>
      <c r="K23" s="76">
        <f>D23*G23</f>
        <v>0.25995338522969619</v>
      </c>
      <c r="L23" s="77" t="s">
        <v>787</v>
      </c>
      <c r="M23" s="10" t="s">
        <v>776</v>
      </c>
    </row>
    <row r="24" spans="2:13" x14ac:dyDescent="0.35">
      <c r="B24" s="83" t="s">
        <v>41</v>
      </c>
      <c r="C24" s="83" t="s">
        <v>788</v>
      </c>
      <c r="D24" s="126" t="s">
        <v>447</v>
      </c>
      <c r="E24" s="126" t="s">
        <v>447</v>
      </c>
      <c r="F24" s="126" t="s">
        <v>447</v>
      </c>
      <c r="G24" s="126" t="s">
        <v>447</v>
      </c>
      <c r="H24" s="126" t="s">
        <v>447</v>
      </c>
      <c r="I24" s="126" t="s">
        <v>447</v>
      </c>
      <c r="J24" s="126" t="s">
        <v>447</v>
      </c>
      <c r="K24" s="84">
        <f>SUM(K22:K23)</f>
        <v>0.84705898996615292</v>
      </c>
      <c r="L24" s="125" t="s">
        <v>447</v>
      </c>
      <c r="M24" s="125"/>
    </row>
    <row r="25" spans="2:13" ht="72.5" x14ac:dyDescent="0.35">
      <c r="B25" s="32" t="s">
        <v>46</v>
      </c>
      <c r="C25" s="32" t="s">
        <v>48</v>
      </c>
      <c r="D25" s="74">
        <v>0.90599999999999992</v>
      </c>
      <c r="E25" s="11" t="s">
        <v>292</v>
      </c>
      <c r="F25" s="11" t="s">
        <v>292</v>
      </c>
      <c r="G25" s="11" t="s">
        <v>292</v>
      </c>
      <c r="H25" s="85" t="s">
        <v>292</v>
      </c>
      <c r="I25" s="74">
        <v>0.14000000000000001</v>
      </c>
      <c r="J25" s="85" t="s">
        <v>292</v>
      </c>
      <c r="K25" s="76">
        <f>D25*(1-I25)</f>
        <v>0.77915999999999996</v>
      </c>
      <c r="L25" s="77" t="s">
        <v>789</v>
      </c>
      <c r="M25" s="10" t="s">
        <v>778</v>
      </c>
    </row>
    <row r="26" spans="2:13" ht="72.5" x14ac:dyDescent="0.35">
      <c r="B26" s="32" t="s">
        <v>46</v>
      </c>
      <c r="C26" s="32" t="s">
        <v>50</v>
      </c>
      <c r="D26" s="74">
        <v>1.8000000000000002E-2</v>
      </c>
      <c r="E26" s="11" t="s">
        <v>292</v>
      </c>
      <c r="F26" s="11" t="s">
        <v>292</v>
      </c>
      <c r="G26" s="11" t="s">
        <v>292</v>
      </c>
      <c r="H26" s="85" t="s">
        <v>292</v>
      </c>
      <c r="I26" s="74">
        <v>0.14000000000000001</v>
      </c>
      <c r="J26" s="85" t="s">
        <v>292</v>
      </c>
      <c r="K26" s="76">
        <f>D26*(1-I26)</f>
        <v>1.5480000000000002E-2</v>
      </c>
      <c r="L26" s="77" t="s">
        <v>790</v>
      </c>
      <c r="M26" s="10" t="s">
        <v>778</v>
      </c>
    </row>
    <row r="27" spans="2:13" x14ac:dyDescent="0.35">
      <c r="B27" s="83" t="s">
        <v>46</v>
      </c>
      <c r="C27" s="83" t="s">
        <v>791</v>
      </c>
      <c r="D27" s="126" t="s">
        <v>447</v>
      </c>
      <c r="E27" s="126" t="s">
        <v>447</v>
      </c>
      <c r="F27" s="126" t="s">
        <v>447</v>
      </c>
      <c r="G27" s="126" t="s">
        <v>447</v>
      </c>
      <c r="H27" s="126" t="s">
        <v>447</v>
      </c>
      <c r="I27" s="126" t="s">
        <v>447</v>
      </c>
      <c r="J27" s="126" t="s">
        <v>447</v>
      </c>
      <c r="K27" s="84">
        <f>SUM(K25:K26)</f>
        <v>0.79464000000000001</v>
      </c>
      <c r="L27" s="125" t="s">
        <v>447</v>
      </c>
      <c r="M27" s="125"/>
    </row>
    <row r="28" spans="2:13" ht="72.5" x14ac:dyDescent="0.35">
      <c r="B28" s="32" t="s">
        <v>51</v>
      </c>
      <c r="C28" s="32" t="s">
        <v>55</v>
      </c>
      <c r="D28" s="74">
        <v>0.56185154373793333</v>
      </c>
      <c r="E28" s="11" t="s">
        <v>292</v>
      </c>
      <c r="F28" s="11" t="s">
        <v>292</v>
      </c>
      <c r="G28" s="11" t="s">
        <v>292</v>
      </c>
      <c r="H28" s="85" t="s">
        <v>292</v>
      </c>
      <c r="I28" s="74">
        <v>0.16</v>
      </c>
      <c r="J28" s="85" t="s">
        <v>292</v>
      </c>
      <c r="K28" s="76">
        <f>D28*(1-I28)</f>
        <v>0.47195529673986397</v>
      </c>
      <c r="L28" s="77" t="s">
        <v>792</v>
      </c>
      <c r="M28" s="10" t="s">
        <v>778</v>
      </c>
    </row>
    <row r="29" spans="2:13" ht="58" x14ac:dyDescent="0.35">
      <c r="B29" s="32" t="s">
        <v>51</v>
      </c>
      <c r="C29" s="32" t="s">
        <v>53</v>
      </c>
      <c r="D29" s="74">
        <v>0.56185154373793333</v>
      </c>
      <c r="E29" s="11" t="s">
        <v>292</v>
      </c>
      <c r="F29" s="11" t="s">
        <v>292</v>
      </c>
      <c r="G29" s="11" t="s">
        <v>292</v>
      </c>
      <c r="H29" s="85" t="s">
        <v>292</v>
      </c>
      <c r="I29" s="74">
        <v>0.16</v>
      </c>
      <c r="J29" s="85" t="s">
        <v>292</v>
      </c>
      <c r="K29" s="76">
        <f>D29*I29</f>
        <v>8.9896246998069335E-2</v>
      </c>
      <c r="L29" s="77" t="s">
        <v>793</v>
      </c>
      <c r="M29" s="10" t="s">
        <v>794</v>
      </c>
    </row>
    <row r="30" spans="2:13" ht="72.5" x14ac:dyDescent="0.35">
      <c r="B30" s="32" t="s">
        <v>51</v>
      </c>
      <c r="C30" s="32" t="s">
        <v>62</v>
      </c>
      <c r="D30" s="74">
        <v>8.8747272755811582E-2</v>
      </c>
      <c r="E30" s="11" t="s">
        <v>292</v>
      </c>
      <c r="F30" s="11" t="s">
        <v>292</v>
      </c>
      <c r="G30" s="11" t="s">
        <v>292</v>
      </c>
      <c r="H30" s="85" t="s">
        <v>292</v>
      </c>
      <c r="I30" s="74">
        <v>0.16</v>
      </c>
      <c r="J30" s="85" t="s">
        <v>292</v>
      </c>
      <c r="K30" s="76">
        <f>D30*(1-I30)</f>
        <v>7.4547709114881733E-2</v>
      </c>
      <c r="L30" s="77" t="s">
        <v>795</v>
      </c>
      <c r="M30" s="10" t="s">
        <v>778</v>
      </c>
    </row>
    <row r="31" spans="2:13" ht="72.5" x14ac:dyDescent="0.35">
      <c r="B31" s="32" t="s">
        <v>51</v>
      </c>
      <c r="C31" s="32" t="s">
        <v>64</v>
      </c>
      <c r="D31" s="74">
        <v>8.5670784347580409E-2</v>
      </c>
      <c r="E31" s="11" t="s">
        <v>292</v>
      </c>
      <c r="F31" s="11" t="s">
        <v>292</v>
      </c>
      <c r="G31" s="11" t="s">
        <v>292</v>
      </c>
      <c r="H31" s="85" t="s">
        <v>292</v>
      </c>
      <c r="I31" s="74">
        <v>0.16</v>
      </c>
      <c r="J31" s="85" t="s">
        <v>292</v>
      </c>
      <c r="K31" s="76">
        <f>D31*(1-I31)</f>
        <v>7.1963458851967546E-2</v>
      </c>
      <c r="L31" s="77" t="s">
        <v>796</v>
      </c>
      <c r="M31" s="10" t="s">
        <v>778</v>
      </c>
    </row>
    <row r="32" spans="2:13" ht="72.5" x14ac:dyDescent="0.35">
      <c r="B32" s="32" t="s">
        <v>51</v>
      </c>
      <c r="C32" s="32" t="s">
        <v>61</v>
      </c>
      <c r="D32" s="74">
        <v>6.9409345618358473E-2</v>
      </c>
      <c r="E32" s="11" t="s">
        <v>292</v>
      </c>
      <c r="F32" s="11" t="s">
        <v>292</v>
      </c>
      <c r="G32" s="11" t="s">
        <v>292</v>
      </c>
      <c r="H32" s="85" t="s">
        <v>292</v>
      </c>
      <c r="I32" s="74">
        <v>0.16</v>
      </c>
      <c r="J32" s="85" t="s">
        <v>292</v>
      </c>
      <c r="K32" s="76">
        <f>D32*(1-I32)</f>
        <v>5.8303850319421112E-2</v>
      </c>
      <c r="L32" s="77" t="s">
        <v>797</v>
      </c>
      <c r="M32" s="10" t="s">
        <v>778</v>
      </c>
    </row>
    <row r="33" spans="2:13" ht="72.5" x14ac:dyDescent="0.35">
      <c r="B33" s="32" t="s">
        <v>51</v>
      </c>
      <c r="C33" s="32" t="s">
        <v>59</v>
      </c>
      <c r="D33" s="74">
        <v>6.2016355616945809E-2</v>
      </c>
      <c r="E33" s="11" t="s">
        <v>292</v>
      </c>
      <c r="F33" s="11" t="s">
        <v>292</v>
      </c>
      <c r="G33" s="11" t="s">
        <v>292</v>
      </c>
      <c r="H33" s="85" t="s">
        <v>292</v>
      </c>
      <c r="I33" s="74">
        <v>0.16</v>
      </c>
      <c r="J33" s="85" t="s">
        <v>292</v>
      </c>
      <c r="K33" s="76">
        <f>D33*(1-I33)</f>
        <v>5.2093738718234479E-2</v>
      </c>
      <c r="L33" s="77" t="s">
        <v>798</v>
      </c>
      <c r="M33" s="10" t="s">
        <v>778</v>
      </c>
    </row>
    <row r="34" spans="2:13" ht="58" x14ac:dyDescent="0.35">
      <c r="B34" s="32" t="s">
        <v>51</v>
      </c>
      <c r="C34" s="32" t="s">
        <v>66</v>
      </c>
      <c r="D34" s="74">
        <v>6.2016355616945809E-2</v>
      </c>
      <c r="E34" s="11" t="s">
        <v>292</v>
      </c>
      <c r="F34" s="11" t="s">
        <v>292</v>
      </c>
      <c r="G34" s="11" t="s">
        <v>292</v>
      </c>
      <c r="H34" s="85" t="s">
        <v>292</v>
      </c>
      <c r="I34" s="74">
        <v>0.16</v>
      </c>
      <c r="J34" s="85" t="s">
        <v>292</v>
      </c>
      <c r="K34" s="76">
        <f>D34*I34</f>
        <v>9.9226168987113297E-3</v>
      </c>
      <c r="L34" s="77" t="s">
        <v>799</v>
      </c>
      <c r="M34" s="10" t="s">
        <v>794</v>
      </c>
    </row>
    <row r="35" spans="2:13" ht="72.5" x14ac:dyDescent="0.35">
      <c r="B35" s="32" t="s">
        <v>51</v>
      </c>
      <c r="C35" s="32" t="s">
        <v>60</v>
      </c>
      <c r="D35" s="74">
        <v>5.8139352367797326E-2</v>
      </c>
      <c r="E35" s="11" t="s">
        <v>292</v>
      </c>
      <c r="F35" s="11" t="s">
        <v>292</v>
      </c>
      <c r="G35" s="11" t="s">
        <v>292</v>
      </c>
      <c r="H35" s="85" t="s">
        <v>292</v>
      </c>
      <c r="I35" s="74">
        <v>0.16</v>
      </c>
      <c r="J35" s="85" t="s">
        <v>292</v>
      </c>
      <c r="K35" s="76">
        <f>D35*(1-I35)</f>
        <v>4.8837055988949753E-2</v>
      </c>
      <c r="L35" s="77" t="s">
        <v>800</v>
      </c>
      <c r="M35" s="10" t="s">
        <v>778</v>
      </c>
    </row>
    <row r="36" spans="2:13" ht="58" x14ac:dyDescent="0.35">
      <c r="B36" s="32" t="s">
        <v>51</v>
      </c>
      <c r="C36" s="32" t="s">
        <v>68</v>
      </c>
      <c r="D36" s="74">
        <v>5.8139352367797326E-2</v>
      </c>
      <c r="E36" s="11" t="s">
        <v>292</v>
      </c>
      <c r="F36" s="11" t="s">
        <v>292</v>
      </c>
      <c r="G36" s="11" t="s">
        <v>292</v>
      </c>
      <c r="H36" s="85" t="s">
        <v>292</v>
      </c>
      <c r="I36" s="74">
        <v>0.16</v>
      </c>
      <c r="J36" s="85" t="s">
        <v>292</v>
      </c>
      <c r="K36" s="76">
        <f>D36*I36</f>
        <v>9.3022963788475729E-3</v>
      </c>
      <c r="L36" s="77" t="s">
        <v>801</v>
      </c>
      <c r="M36" s="10" t="s">
        <v>794</v>
      </c>
    </row>
    <row r="37" spans="2:13" ht="72.5" x14ac:dyDescent="0.35">
      <c r="B37" s="32" t="s">
        <v>51</v>
      </c>
      <c r="C37" s="32" t="s">
        <v>58</v>
      </c>
      <c r="D37" s="74">
        <v>3.0168422043981225E-2</v>
      </c>
      <c r="E37" s="11" t="s">
        <v>292</v>
      </c>
      <c r="F37" s="11" t="s">
        <v>292</v>
      </c>
      <c r="G37" s="11" t="s">
        <v>292</v>
      </c>
      <c r="H37" s="85" t="s">
        <v>292</v>
      </c>
      <c r="I37" s="74">
        <v>0.16</v>
      </c>
      <c r="J37" s="85" t="s">
        <v>292</v>
      </c>
      <c r="K37" s="76">
        <f>D37*(1-I37)</f>
        <v>2.534147451694423E-2</v>
      </c>
      <c r="L37" s="77" t="s">
        <v>802</v>
      </c>
      <c r="M37" s="10" t="s">
        <v>778</v>
      </c>
    </row>
    <row r="38" spans="2:13" ht="72.5" x14ac:dyDescent="0.35">
      <c r="B38" s="32" t="s">
        <v>51</v>
      </c>
      <c r="C38" s="32" t="s">
        <v>63</v>
      </c>
      <c r="D38" s="74">
        <v>2.6809398986014536E-2</v>
      </c>
      <c r="E38" s="11" t="s">
        <v>292</v>
      </c>
      <c r="F38" s="11" t="s">
        <v>292</v>
      </c>
      <c r="G38" s="11" t="s">
        <v>292</v>
      </c>
      <c r="H38" s="85" t="s">
        <v>292</v>
      </c>
      <c r="I38" s="74">
        <v>0.16</v>
      </c>
      <c r="J38" s="85" t="s">
        <v>292</v>
      </c>
      <c r="K38" s="76">
        <f>D38*(1-I38)</f>
        <v>2.2519895148252211E-2</v>
      </c>
      <c r="L38" s="77" t="s">
        <v>803</v>
      </c>
      <c r="M38" s="10" t="s">
        <v>778</v>
      </c>
    </row>
    <row r="39" spans="2:13" ht="72.5" x14ac:dyDescent="0.35">
      <c r="B39" s="32" t="s">
        <v>51</v>
      </c>
      <c r="C39" s="32" t="s">
        <v>57</v>
      </c>
      <c r="D39" s="74">
        <v>1.7187524525577237E-2</v>
      </c>
      <c r="E39" s="11" t="s">
        <v>292</v>
      </c>
      <c r="F39" s="11" t="s">
        <v>292</v>
      </c>
      <c r="G39" s="11" t="s">
        <v>292</v>
      </c>
      <c r="H39" s="85" t="s">
        <v>292</v>
      </c>
      <c r="I39" s="74">
        <v>0.16</v>
      </c>
      <c r="J39" s="85" t="s">
        <v>292</v>
      </c>
      <c r="K39" s="76">
        <f>D39*(1-I39)</f>
        <v>1.4437520601484878E-2</v>
      </c>
      <c r="L39" s="77" t="s">
        <v>804</v>
      </c>
      <c r="M39" s="10" t="s">
        <v>778</v>
      </c>
    </row>
    <row r="40" spans="2:13" x14ac:dyDescent="0.35">
      <c r="B40" s="83" t="s">
        <v>51</v>
      </c>
      <c r="C40" s="83" t="s">
        <v>805</v>
      </c>
      <c r="D40" s="126" t="s">
        <v>447</v>
      </c>
      <c r="E40" s="126" t="s">
        <v>447</v>
      </c>
      <c r="F40" s="126" t="s">
        <v>447</v>
      </c>
      <c r="G40" s="126" t="s">
        <v>447</v>
      </c>
      <c r="H40" s="126" t="s">
        <v>447</v>
      </c>
      <c r="I40" s="126" t="s">
        <v>447</v>
      </c>
      <c r="J40" s="126" t="s">
        <v>447</v>
      </c>
      <c r="K40" s="84">
        <f>SUM(K28:K39)</f>
        <v>0.94912116027562821</v>
      </c>
      <c r="L40" s="125" t="s">
        <v>447</v>
      </c>
      <c r="M40" s="125"/>
    </row>
    <row r="41" spans="2:13" ht="43.5" x14ac:dyDescent="0.35">
      <c r="B41" s="32" t="s">
        <v>69</v>
      </c>
      <c r="C41" s="32" t="s">
        <v>71</v>
      </c>
      <c r="D41" s="74">
        <v>0.76400000000000001</v>
      </c>
      <c r="E41" s="11" t="s">
        <v>292</v>
      </c>
      <c r="F41" s="11" t="s">
        <v>292</v>
      </c>
      <c r="G41" s="11" t="s">
        <v>292</v>
      </c>
      <c r="H41" s="85" t="s">
        <v>292</v>
      </c>
      <c r="I41" s="75">
        <v>0</v>
      </c>
      <c r="J41" s="11" t="s">
        <v>292</v>
      </c>
      <c r="K41" s="76">
        <f>D41</f>
        <v>0.76400000000000001</v>
      </c>
      <c r="L41" s="77" t="s">
        <v>806</v>
      </c>
      <c r="M41" s="10" t="s">
        <v>778</v>
      </c>
    </row>
    <row r="42" spans="2:13" ht="43.5" x14ac:dyDescent="0.35">
      <c r="B42" s="32" t="s">
        <v>69</v>
      </c>
      <c r="C42" s="32" t="s">
        <v>77</v>
      </c>
      <c r="D42" s="74">
        <v>6.4000000000000001E-2</v>
      </c>
      <c r="E42" s="11" t="s">
        <v>292</v>
      </c>
      <c r="F42" s="11" t="s">
        <v>292</v>
      </c>
      <c r="G42" s="11" t="s">
        <v>292</v>
      </c>
      <c r="H42" s="85" t="s">
        <v>292</v>
      </c>
      <c r="I42" s="75">
        <v>0</v>
      </c>
      <c r="J42" s="11" t="s">
        <v>292</v>
      </c>
      <c r="K42" s="76">
        <f>D42</f>
        <v>6.4000000000000001E-2</v>
      </c>
      <c r="L42" s="77" t="s">
        <v>806</v>
      </c>
      <c r="M42" s="10" t="s">
        <v>778</v>
      </c>
    </row>
    <row r="43" spans="2:13" ht="58" x14ac:dyDescent="0.35">
      <c r="B43" s="32" t="s">
        <v>69</v>
      </c>
      <c r="C43" s="32" t="s">
        <v>73</v>
      </c>
      <c r="D43" s="74">
        <v>1.2E-2</v>
      </c>
      <c r="E43" s="11" t="s">
        <v>292</v>
      </c>
      <c r="F43" s="11" t="s">
        <v>292</v>
      </c>
      <c r="G43" s="11" t="s">
        <v>292</v>
      </c>
      <c r="H43" s="74">
        <v>0.83350000000000002</v>
      </c>
      <c r="I43" s="75">
        <v>0</v>
      </c>
      <c r="J43" s="11" t="s">
        <v>292</v>
      </c>
      <c r="K43" s="76">
        <f>D43*H43</f>
        <v>1.0002E-2</v>
      </c>
      <c r="L43" s="77" t="s">
        <v>807</v>
      </c>
      <c r="M43" s="10" t="s">
        <v>783</v>
      </c>
    </row>
    <row r="44" spans="2:13" ht="58" x14ac:dyDescent="0.35">
      <c r="B44" s="32" t="s">
        <v>69</v>
      </c>
      <c r="C44" s="32" t="s">
        <v>74</v>
      </c>
      <c r="D44" s="74">
        <v>1.2E-2</v>
      </c>
      <c r="E44" s="11" t="s">
        <v>292</v>
      </c>
      <c r="F44" s="11" t="s">
        <v>292</v>
      </c>
      <c r="G44" s="11" t="s">
        <v>292</v>
      </c>
      <c r="H44" s="74">
        <v>6.4299999999999996E-2</v>
      </c>
      <c r="I44" s="75">
        <v>0</v>
      </c>
      <c r="J44" s="11" t="s">
        <v>292</v>
      </c>
      <c r="K44" s="76">
        <f>D44*H44</f>
        <v>7.716E-4</v>
      </c>
      <c r="L44" s="77" t="s">
        <v>807</v>
      </c>
      <c r="M44" s="10" t="s">
        <v>783</v>
      </c>
    </row>
    <row r="45" spans="2:13" ht="58" x14ac:dyDescent="0.35">
      <c r="B45" s="32" t="s">
        <v>69</v>
      </c>
      <c r="C45" s="32" t="s">
        <v>75</v>
      </c>
      <c r="D45" s="74">
        <v>1.2E-2</v>
      </c>
      <c r="E45" s="11" t="s">
        <v>292</v>
      </c>
      <c r="F45" s="11" t="s">
        <v>292</v>
      </c>
      <c r="G45" s="11" t="s">
        <v>292</v>
      </c>
      <c r="H45" s="74">
        <v>0.1022</v>
      </c>
      <c r="I45" s="75">
        <v>0</v>
      </c>
      <c r="J45" s="11" t="s">
        <v>292</v>
      </c>
      <c r="K45" s="76">
        <f>D45*H45</f>
        <v>1.2264000000000001E-3</v>
      </c>
      <c r="L45" s="77" t="s">
        <v>807</v>
      </c>
      <c r="M45" s="10" t="s">
        <v>783</v>
      </c>
    </row>
    <row r="46" spans="2:13" x14ac:dyDescent="0.35">
      <c r="B46" s="83" t="s">
        <v>69</v>
      </c>
      <c r="C46" s="83" t="s">
        <v>808</v>
      </c>
      <c r="D46" s="126" t="s">
        <v>447</v>
      </c>
      <c r="E46" s="126" t="s">
        <v>447</v>
      </c>
      <c r="F46" s="126" t="s">
        <v>447</v>
      </c>
      <c r="G46" s="126" t="s">
        <v>447</v>
      </c>
      <c r="H46" s="126" t="s">
        <v>447</v>
      </c>
      <c r="I46" s="126" t="s">
        <v>447</v>
      </c>
      <c r="J46" s="126" t="s">
        <v>447</v>
      </c>
      <c r="K46" s="84">
        <f>SUM(K41:K45)</f>
        <v>0.84</v>
      </c>
      <c r="L46" s="125" t="s">
        <v>447</v>
      </c>
      <c r="M46" s="125"/>
    </row>
    <row r="47" spans="2:13" ht="72.5" x14ac:dyDescent="0.35">
      <c r="B47" s="32" t="s">
        <v>78</v>
      </c>
      <c r="C47" s="32" t="s">
        <v>80</v>
      </c>
      <c r="D47" s="74">
        <v>0.33630000000000004</v>
      </c>
      <c r="E47" s="11" t="s">
        <v>292</v>
      </c>
      <c r="F47" s="11" t="s">
        <v>292</v>
      </c>
      <c r="G47" s="11" t="s">
        <v>292</v>
      </c>
      <c r="H47" s="85" t="s">
        <v>292</v>
      </c>
      <c r="I47" s="74">
        <v>0.06</v>
      </c>
      <c r="J47" s="74">
        <v>0.05</v>
      </c>
      <c r="K47" s="76">
        <f>D47*J47*(1-I47)</f>
        <v>1.5806100000000003E-2</v>
      </c>
      <c r="L47" s="77" t="s">
        <v>809</v>
      </c>
      <c r="M47" s="10" t="s">
        <v>783</v>
      </c>
    </row>
    <row r="48" spans="2:13" ht="101.5" x14ac:dyDescent="0.35">
      <c r="B48" s="32" t="s">
        <v>78</v>
      </c>
      <c r="C48" s="32" t="s">
        <v>82</v>
      </c>
      <c r="D48" s="74">
        <v>0.33630000000000004</v>
      </c>
      <c r="E48" s="11" t="s">
        <v>292</v>
      </c>
      <c r="F48" s="11" t="s">
        <v>292</v>
      </c>
      <c r="G48" s="11" t="s">
        <v>292</v>
      </c>
      <c r="H48" s="74">
        <v>0.873</v>
      </c>
      <c r="I48" s="74">
        <v>0.06</v>
      </c>
      <c r="J48" s="74">
        <v>0.95</v>
      </c>
      <c r="K48" s="76">
        <f>D48*J48*H48*(1-I48)</f>
        <v>0.26217578070000003</v>
      </c>
      <c r="L48" s="77" t="s">
        <v>810</v>
      </c>
      <c r="M48" s="10" t="s">
        <v>783</v>
      </c>
    </row>
    <row r="49" spans="2:13" ht="101.5" x14ac:dyDescent="0.35">
      <c r="B49" s="32" t="s">
        <v>78</v>
      </c>
      <c r="C49" s="32" t="s">
        <v>83</v>
      </c>
      <c r="D49" s="74">
        <v>0.33630000000000004</v>
      </c>
      <c r="E49" s="11" t="s">
        <v>292</v>
      </c>
      <c r="F49" s="11" t="s">
        <v>292</v>
      </c>
      <c r="G49" s="11" t="s">
        <v>292</v>
      </c>
      <c r="H49" s="74">
        <v>0.127</v>
      </c>
      <c r="I49" s="74">
        <v>0.06</v>
      </c>
      <c r="J49" s="74">
        <v>0.95</v>
      </c>
      <c r="K49" s="76">
        <f>D49*H49*J49*(1-I49)</f>
        <v>3.8140119300000004E-2</v>
      </c>
      <c r="L49" s="77" t="s">
        <v>810</v>
      </c>
      <c r="M49" s="10" t="s">
        <v>783</v>
      </c>
    </row>
    <row r="50" spans="2:13" ht="58" x14ac:dyDescent="0.35">
      <c r="B50" s="32" t="s">
        <v>78</v>
      </c>
      <c r="C50" s="32" t="s">
        <v>85</v>
      </c>
      <c r="D50" s="74">
        <v>0.25769999999999998</v>
      </c>
      <c r="E50" s="11" t="s">
        <v>292</v>
      </c>
      <c r="F50" s="11" t="s">
        <v>292</v>
      </c>
      <c r="G50" s="11" t="s">
        <v>292</v>
      </c>
      <c r="H50" s="85" t="s">
        <v>292</v>
      </c>
      <c r="I50" s="74">
        <v>0.06</v>
      </c>
      <c r="J50" s="85" t="s">
        <v>292</v>
      </c>
      <c r="K50" s="76">
        <f>D50*(1-I50)</f>
        <v>0.24223799999999998</v>
      </c>
      <c r="L50" s="77" t="s">
        <v>811</v>
      </c>
      <c r="M50" s="10" t="s">
        <v>778</v>
      </c>
    </row>
    <row r="51" spans="2:13" x14ac:dyDescent="0.35">
      <c r="B51" s="83" t="s">
        <v>78</v>
      </c>
      <c r="C51" s="83" t="s">
        <v>812</v>
      </c>
      <c r="D51" s="126" t="s">
        <v>447</v>
      </c>
      <c r="E51" s="126" t="s">
        <v>447</v>
      </c>
      <c r="F51" s="126" t="s">
        <v>447</v>
      </c>
      <c r="G51" s="126" t="s">
        <v>447</v>
      </c>
      <c r="H51" s="126" t="s">
        <v>447</v>
      </c>
      <c r="I51" s="126" t="s">
        <v>447</v>
      </c>
      <c r="J51" s="126" t="s">
        <v>447</v>
      </c>
      <c r="K51" s="84">
        <f>SUM(K47:K50)</f>
        <v>0.55835999999999997</v>
      </c>
      <c r="L51" s="125" t="s">
        <v>447</v>
      </c>
      <c r="M51" s="125"/>
    </row>
    <row r="52" spans="2:13" ht="58" x14ac:dyDescent="0.35">
      <c r="B52" s="32" t="s">
        <v>86</v>
      </c>
      <c r="C52" s="32" t="s">
        <v>88</v>
      </c>
      <c r="D52" s="74">
        <v>0.63819999999999999</v>
      </c>
      <c r="E52" s="11" t="s">
        <v>292</v>
      </c>
      <c r="F52" s="11" t="s">
        <v>292</v>
      </c>
      <c r="G52" s="11" t="s">
        <v>292</v>
      </c>
      <c r="H52" s="74">
        <v>1.6666666666666663E-2</v>
      </c>
      <c r="I52" s="75">
        <v>0</v>
      </c>
      <c r="J52" s="11" t="s">
        <v>292</v>
      </c>
      <c r="K52" s="76">
        <f>D52*H52</f>
        <v>1.0636666666666664E-2</v>
      </c>
      <c r="L52" s="77" t="s">
        <v>813</v>
      </c>
      <c r="M52" s="10" t="s">
        <v>783</v>
      </c>
    </row>
    <row r="53" spans="2:13" ht="58" x14ac:dyDescent="0.35">
      <c r="B53" s="32" t="s">
        <v>86</v>
      </c>
      <c r="C53" s="32" t="s">
        <v>89</v>
      </c>
      <c r="D53" s="74">
        <v>0.63819999999999999</v>
      </c>
      <c r="E53" s="11" t="s">
        <v>292</v>
      </c>
      <c r="F53" s="11" t="s">
        <v>292</v>
      </c>
      <c r="G53" s="11" t="s">
        <v>292</v>
      </c>
      <c r="H53" s="74">
        <v>8.3333333333333315E-2</v>
      </c>
      <c r="I53" s="75">
        <v>0</v>
      </c>
      <c r="J53" s="11" t="s">
        <v>292</v>
      </c>
      <c r="K53" s="76">
        <f>D53*H53</f>
        <v>5.3183333333333319E-2</v>
      </c>
      <c r="L53" s="77" t="s">
        <v>813</v>
      </c>
      <c r="M53" s="10" t="s">
        <v>783</v>
      </c>
    </row>
    <row r="54" spans="2:13" ht="58" x14ac:dyDescent="0.35">
      <c r="B54" s="32" t="s">
        <v>86</v>
      </c>
      <c r="C54" s="32" t="s">
        <v>91</v>
      </c>
      <c r="D54" s="74">
        <v>0.63819999999999999</v>
      </c>
      <c r="E54" s="11" t="s">
        <v>292</v>
      </c>
      <c r="F54" s="11" t="s">
        <v>292</v>
      </c>
      <c r="G54" s="11" t="s">
        <v>292</v>
      </c>
      <c r="H54" s="74">
        <v>0.9</v>
      </c>
      <c r="I54" s="75">
        <v>0</v>
      </c>
      <c r="J54" s="11" t="s">
        <v>292</v>
      </c>
      <c r="K54" s="76">
        <f>D54*H54</f>
        <v>0.57438</v>
      </c>
      <c r="L54" s="77" t="s">
        <v>813</v>
      </c>
      <c r="M54" s="10" t="s">
        <v>783</v>
      </c>
    </row>
    <row r="55" spans="2:13" ht="43.5" x14ac:dyDescent="0.35">
      <c r="B55" s="32" t="s">
        <v>86</v>
      </c>
      <c r="C55" s="32" t="s">
        <v>93</v>
      </c>
      <c r="D55" s="74">
        <v>8.8000000000000009E-2</v>
      </c>
      <c r="E55" s="11" t="s">
        <v>292</v>
      </c>
      <c r="F55" s="11" t="s">
        <v>292</v>
      </c>
      <c r="G55" s="11" t="s">
        <v>292</v>
      </c>
      <c r="H55" s="85" t="s">
        <v>292</v>
      </c>
      <c r="I55" s="75">
        <v>0</v>
      </c>
      <c r="J55" s="11" t="s">
        <v>292</v>
      </c>
      <c r="K55" s="76">
        <f>D55</f>
        <v>8.8000000000000009E-2</v>
      </c>
      <c r="L55" s="77" t="s">
        <v>814</v>
      </c>
      <c r="M55" s="10" t="s">
        <v>778</v>
      </c>
    </row>
    <row r="56" spans="2:13" x14ac:dyDescent="0.35">
      <c r="B56" s="83" t="s">
        <v>86</v>
      </c>
      <c r="C56" s="83" t="s">
        <v>815</v>
      </c>
      <c r="D56" s="126" t="s">
        <v>447</v>
      </c>
      <c r="E56" s="126" t="s">
        <v>447</v>
      </c>
      <c r="F56" s="126" t="s">
        <v>447</v>
      </c>
      <c r="G56" s="126" t="s">
        <v>447</v>
      </c>
      <c r="H56" s="126" t="s">
        <v>447</v>
      </c>
      <c r="I56" s="126" t="s">
        <v>447</v>
      </c>
      <c r="J56" s="126" t="s">
        <v>447</v>
      </c>
      <c r="K56" s="84">
        <f>SUM(K52:K55)</f>
        <v>0.72619999999999996</v>
      </c>
      <c r="L56" s="125" t="s">
        <v>447</v>
      </c>
      <c r="M56" s="125"/>
    </row>
    <row r="57" spans="2:13" ht="101.5" x14ac:dyDescent="0.35">
      <c r="B57" s="32" t="s">
        <v>94</v>
      </c>
      <c r="C57" s="32" t="s">
        <v>96</v>
      </c>
      <c r="D57" s="74">
        <v>0.41400000000000003</v>
      </c>
      <c r="E57" s="11" t="s">
        <v>292</v>
      </c>
      <c r="F57" s="11" t="s">
        <v>292</v>
      </c>
      <c r="G57" s="11" t="s">
        <v>292</v>
      </c>
      <c r="H57" s="74">
        <v>0.44</v>
      </c>
      <c r="I57" s="74">
        <v>0.13</v>
      </c>
      <c r="J57" s="74">
        <v>0.95</v>
      </c>
      <c r="K57" s="76">
        <f>D57*J57*H57*(1-I57)</f>
        <v>0.15055524000000001</v>
      </c>
      <c r="L57" s="77" t="s">
        <v>816</v>
      </c>
      <c r="M57" s="10" t="s">
        <v>783</v>
      </c>
    </row>
    <row r="58" spans="2:13" ht="101.5" x14ac:dyDescent="0.35">
      <c r="B58" s="32" t="s">
        <v>94</v>
      </c>
      <c r="C58" s="32" t="s">
        <v>97</v>
      </c>
      <c r="D58" s="74">
        <v>0.41400000000000003</v>
      </c>
      <c r="E58" s="11" t="s">
        <v>292</v>
      </c>
      <c r="F58" s="11" t="s">
        <v>292</v>
      </c>
      <c r="G58" s="11" t="s">
        <v>292</v>
      </c>
      <c r="H58" s="74">
        <v>0.186</v>
      </c>
      <c r="I58" s="74">
        <v>0.13</v>
      </c>
      <c r="J58" s="74">
        <v>0.95</v>
      </c>
      <c r="K58" s="76">
        <f>D58*J58*H58*(1-I58)</f>
        <v>6.3643805999999997E-2</v>
      </c>
      <c r="L58" s="77" t="s">
        <v>816</v>
      </c>
      <c r="M58" s="10" t="s">
        <v>783</v>
      </c>
    </row>
    <row r="59" spans="2:13" ht="101.5" x14ac:dyDescent="0.35">
      <c r="B59" s="32" t="s">
        <v>94</v>
      </c>
      <c r="C59" s="32" t="s">
        <v>98</v>
      </c>
      <c r="D59" s="74">
        <v>0.41400000000000003</v>
      </c>
      <c r="E59" s="11" t="s">
        <v>292</v>
      </c>
      <c r="F59" s="11" t="s">
        <v>292</v>
      </c>
      <c r="G59" s="11" t="s">
        <v>292</v>
      </c>
      <c r="H59" s="74">
        <v>0.36899999999999999</v>
      </c>
      <c r="I59" s="74">
        <v>0.13</v>
      </c>
      <c r="J59" s="74">
        <v>0.95</v>
      </c>
      <c r="K59" s="76">
        <f>D59*J59*H59*(1-I59)</f>
        <v>0.12626109899999999</v>
      </c>
      <c r="L59" s="77" t="s">
        <v>816</v>
      </c>
      <c r="M59" s="10" t="s">
        <v>783</v>
      </c>
    </row>
    <row r="60" spans="2:13" ht="72.5" x14ac:dyDescent="0.35">
      <c r="B60" s="32" t="s">
        <v>94</v>
      </c>
      <c r="C60" s="32" t="s">
        <v>99</v>
      </c>
      <c r="D60" s="74">
        <v>0.41400000000000003</v>
      </c>
      <c r="E60" s="11" t="s">
        <v>292</v>
      </c>
      <c r="F60" s="11" t="s">
        <v>292</v>
      </c>
      <c r="G60" s="11" t="s">
        <v>292</v>
      </c>
      <c r="H60" s="85" t="s">
        <v>292</v>
      </c>
      <c r="I60" s="74">
        <v>0.13</v>
      </c>
      <c r="J60" s="74">
        <v>0.02</v>
      </c>
      <c r="K60" s="76">
        <f>D60*J60*(1-I60)</f>
        <v>7.203600000000001E-3</v>
      </c>
      <c r="L60" s="77" t="s">
        <v>817</v>
      </c>
      <c r="M60" s="10" t="s">
        <v>783</v>
      </c>
    </row>
    <row r="61" spans="2:13" x14ac:dyDescent="0.35">
      <c r="B61" s="83" t="s">
        <v>94</v>
      </c>
      <c r="C61" s="83" t="s">
        <v>818</v>
      </c>
      <c r="D61" s="126" t="s">
        <v>447</v>
      </c>
      <c r="E61" s="126" t="s">
        <v>447</v>
      </c>
      <c r="F61" s="126" t="s">
        <v>447</v>
      </c>
      <c r="G61" s="126" t="s">
        <v>447</v>
      </c>
      <c r="H61" s="126" t="s">
        <v>447</v>
      </c>
      <c r="I61" s="126" t="s">
        <v>447</v>
      </c>
      <c r="J61" s="126" t="s">
        <v>447</v>
      </c>
      <c r="K61" s="84">
        <f>SUM(K57:K60)</f>
        <v>0.34766374499999997</v>
      </c>
      <c r="L61" s="125" t="s">
        <v>447</v>
      </c>
      <c r="M61" s="125"/>
    </row>
    <row r="62" spans="2:13" ht="72.5" x14ac:dyDescent="0.35">
      <c r="B62" s="32" t="s">
        <v>100</v>
      </c>
      <c r="C62" s="32" t="s">
        <v>102</v>
      </c>
      <c r="D62" s="74">
        <v>0.58200000000000007</v>
      </c>
      <c r="E62" s="11" t="s">
        <v>292</v>
      </c>
      <c r="F62" s="11" t="s">
        <v>292</v>
      </c>
      <c r="G62" s="11" t="s">
        <v>292</v>
      </c>
      <c r="H62" s="85" t="s">
        <v>292</v>
      </c>
      <c r="I62" s="74">
        <v>0.19</v>
      </c>
      <c r="J62" s="74">
        <v>0.05</v>
      </c>
      <c r="K62" s="76">
        <f>D62*J62*(1-I62)</f>
        <v>2.3571000000000005E-2</v>
      </c>
      <c r="L62" s="77" t="s">
        <v>819</v>
      </c>
      <c r="M62" s="10" t="s">
        <v>783</v>
      </c>
    </row>
    <row r="63" spans="2:13" ht="72.5" x14ac:dyDescent="0.35">
      <c r="B63" s="32" t="s">
        <v>100</v>
      </c>
      <c r="C63" s="32" t="s">
        <v>104</v>
      </c>
      <c r="D63" s="74">
        <v>1.2E-2</v>
      </c>
      <c r="E63" s="85" t="s">
        <v>292</v>
      </c>
      <c r="F63" s="11" t="s">
        <v>292</v>
      </c>
      <c r="G63" s="11" t="s">
        <v>292</v>
      </c>
      <c r="H63" s="85" t="s">
        <v>292</v>
      </c>
      <c r="I63" s="74">
        <v>0.19</v>
      </c>
      <c r="J63" s="74">
        <v>0.54</v>
      </c>
      <c r="K63" s="76">
        <f>D63*J63*(1-I63)</f>
        <v>5.2488000000000005E-3</v>
      </c>
      <c r="L63" s="77" t="s">
        <v>820</v>
      </c>
      <c r="M63" s="10" t="s">
        <v>783</v>
      </c>
    </row>
    <row r="64" spans="2:13" ht="72.5" x14ac:dyDescent="0.35">
      <c r="B64" s="32" t="s">
        <v>100</v>
      </c>
      <c r="C64" s="32" t="s">
        <v>105</v>
      </c>
      <c r="D64" s="74">
        <v>1.2E-2</v>
      </c>
      <c r="E64" s="85" t="s">
        <v>292</v>
      </c>
      <c r="F64" s="11" t="s">
        <v>292</v>
      </c>
      <c r="G64" s="11" t="s">
        <v>292</v>
      </c>
      <c r="H64" s="85" t="s">
        <v>292</v>
      </c>
      <c r="I64" s="74">
        <v>0.19</v>
      </c>
      <c r="J64" s="74">
        <v>0.36000000000000004</v>
      </c>
      <c r="K64" s="76">
        <f>D64*J64*(1-I64)</f>
        <v>3.4992000000000009E-3</v>
      </c>
      <c r="L64" s="77" t="s">
        <v>819</v>
      </c>
      <c r="M64" s="10" t="s">
        <v>783</v>
      </c>
    </row>
    <row r="65" spans="2:13" x14ac:dyDescent="0.35">
      <c r="B65" s="83" t="s">
        <v>100</v>
      </c>
      <c r="C65" s="83" t="s">
        <v>821</v>
      </c>
      <c r="D65" s="126" t="s">
        <v>447</v>
      </c>
      <c r="E65" s="126" t="s">
        <v>447</v>
      </c>
      <c r="F65" s="126" t="s">
        <v>447</v>
      </c>
      <c r="G65" s="126" t="s">
        <v>447</v>
      </c>
      <c r="H65" s="126" t="s">
        <v>447</v>
      </c>
      <c r="I65" s="126" t="s">
        <v>447</v>
      </c>
      <c r="J65" s="126" t="s">
        <v>447</v>
      </c>
      <c r="K65" s="84">
        <f>SUM(K62:K64)</f>
        <v>3.2319000000000007E-2</v>
      </c>
      <c r="L65" s="125" t="s">
        <v>447</v>
      </c>
      <c r="M65" s="125"/>
    </row>
    <row r="66" spans="2:13" ht="87" x14ac:dyDescent="0.35">
      <c r="B66" s="32" t="s">
        <v>106</v>
      </c>
      <c r="C66" s="32" t="s">
        <v>119</v>
      </c>
      <c r="D66" s="74">
        <v>0.53993847459425048</v>
      </c>
      <c r="E66" s="11" t="s">
        <v>292</v>
      </c>
      <c r="F66" s="74">
        <v>0.84299999999999997</v>
      </c>
      <c r="G66" s="85" t="s">
        <v>292</v>
      </c>
      <c r="H66" s="85" t="s">
        <v>292</v>
      </c>
      <c r="I66" s="74">
        <v>0.24</v>
      </c>
      <c r="J66" s="85" t="s">
        <v>292</v>
      </c>
      <c r="K66" s="76">
        <f>D66*F66*(1-I66)</f>
        <v>0.34592778190304441</v>
      </c>
      <c r="L66" s="77" t="s">
        <v>822</v>
      </c>
      <c r="M66" s="10" t="s">
        <v>823</v>
      </c>
    </row>
    <row r="67" spans="2:13" ht="87" x14ac:dyDescent="0.35">
      <c r="B67" s="32" t="s">
        <v>106</v>
      </c>
      <c r="C67" s="32" t="s">
        <v>121</v>
      </c>
      <c r="D67" s="74">
        <v>0.53993847459425048</v>
      </c>
      <c r="E67" s="11" t="s">
        <v>292</v>
      </c>
      <c r="F67" s="74">
        <v>7.350000000000001E-2</v>
      </c>
      <c r="G67" s="85" t="s">
        <v>292</v>
      </c>
      <c r="H67" s="85" t="s">
        <v>292</v>
      </c>
      <c r="I67" s="74">
        <v>0.24</v>
      </c>
      <c r="J67" s="85" t="s">
        <v>292</v>
      </c>
      <c r="K67" s="76">
        <f>D67*F67*(1-I67)</f>
        <v>3.0160963190834836E-2</v>
      </c>
      <c r="L67" s="77" t="s">
        <v>822</v>
      </c>
      <c r="M67" s="10" t="s">
        <v>823</v>
      </c>
    </row>
    <row r="68" spans="2:13" ht="87" x14ac:dyDescent="0.35">
      <c r="B68" s="32" t="s">
        <v>106</v>
      </c>
      <c r="C68" s="32" t="s">
        <v>123</v>
      </c>
      <c r="D68" s="74">
        <v>0.53993847459425048</v>
      </c>
      <c r="E68" s="11" t="s">
        <v>292</v>
      </c>
      <c r="F68" s="74">
        <v>0.01</v>
      </c>
      <c r="G68" s="85" t="s">
        <v>292</v>
      </c>
      <c r="H68" s="85" t="s">
        <v>292</v>
      </c>
      <c r="I68" s="74">
        <v>0.24</v>
      </c>
      <c r="J68" s="85" t="s">
        <v>292</v>
      </c>
      <c r="K68" s="76">
        <f>D68*F68*(1-I68)</f>
        <v>4.1035324069163036E-3</v>
      </c>
      <c r="L68" s="77" t="s">
        <v>822</v>
      </c>
      <c r="M68" s="10" t="s">
        <v>823</v>
      </c>
    </row>
    <row r="69" spans="2:13" ht="87" x14ac:dyDescent="0.35">
      <c r="B69" s="32" t="s">
        <v>106</v>
      </c>
      <c r="C69" s="32" t="s">
        <v>116</v>
      </c>
      <c r="D69" s="74">
        <v>0.53993847459425048</v>
      </c>
      <c r="E69" s="11" t="s">
        <v>292</v>
      </c>
      <c r="F69" s="74">
        <v>7.350000000000001E-2</v>
      </c>
      <c r="G69" s="85" t="s">
        <v>292</v>
      </c>
      <c r="H69" s="85" t="s">
        <v>292</v>
      </c>
      <c r="I69" s="74">
        <v>0.24</v>
      </c>
      <c r="J69" s="85" t="s">
        <v>292</v>
      </c>
      <c r="K69" s="76">
        <f>D69*F69*(1-I69)</f>
        <v>3.0160963190834836E-2</v>
      </c>
      <c r="L69" s="77" t="s">
        <v>822</v>
      </c>
      <c r="M69" s="10" t="s">
        <v>823</v>
      </c>
    </row>
    <row r="70" spans="2:13" ht="72.5" x14ac:dyDescent="0.35">
      <c r="B70" s="32" t="s">
        <v>106</v>
      </c>
      <c r="C70" s="32" t="s">
        <v>125</v>
      </c>
      <c r="D70" s="74">
        <v>0.53993847459425048</v>
      </c>
      <c r="E70" s="11" t="s">
        <v>292</v>
      </c>
      <c r="F70" s="11" t="s">
        <v>292</v>
      </c>
      <c r="G70" s="74">
        <v>0.53565149804763401</v>
      </c>
      <c r="H70" s="85" t="s">
        <v>292</v>
      </c>
      <c r="I70" s="74">
        <v>0.24</v>
      </c>
      <c r="J70" s="85" t="s">
        <v>292</v>
      </c>
      <c r="K70" s="76">
        <f>D70*G70*I70</f>
        <v>6.9412524664791517E-2</v>
      </c>
      <c r="L70" s="77" t="s">
        <v>824</v>
      </c>
      <c r="M70" s="10" t="s">
        <v>825</v>
      </c>
    </row>
    <row r="71" spans="2:13" ht="72.5" x14ac:dyDescent="0.35">
      <c r="B71" s="32" t="s">
        <v>106</v>
      </c>
      <c r="C71" s="32" t="s">
        <v>126</v>
      </c>
      <c r="D71" s="74">
        <v>0.53993847459425048</v>
      </c>
      <c r="E71" s="11" t="s">
        <v>292</v>
      </c>
      <c r="F71" s="11" t="s">
        <v>292</v>
      </c>
      <c r="G71" s="74">
        <v>9.9293076965782712E-2</v>
      </c>
      <c r="H71" s="85" t="s">
        <v>292</v>
      </c>
      <c r="I71" s="74">
        <v>0.24</v>
      </c>
      <c r="J71" s="85" t="s">
        <v>292</v>
      </c>
      <c r="K71" s="76">
        <f>D71*G71*I71</f>
        <v>1.2866916603521815E-2</v>
      </c>
      <c r="L71" s="77" t="s">
        <v>826</v>
      </c>
      <c r="M71" s="10" t="s">
        <v>825</v>
      </c>
    </row>
    <row r="72" spans="2:13" ht="72.5" x14ac:dyDescent="0.35">
      <c r="B72" s="32" t="s">
        <v>106</v>
      </c>
      <c r="C72" s="32" t="s">
        <v>112</v>
      </c>
      <c r="D72" s="74">
        <v>6.6458046037976018E-2</v>
      </c>
      <c r="E72" s="11" t="s">
        <v>292</v>
      </c>
      <c r="F72" s="11" t="s">
        <v>292</v>
      </c>
      <c r="G72" s="85" t="s">
        <v>292</v>
      </c>
      <c r="H72" s="85" t="s">
        <v>292</v>
      </c>
      <c r="I72" s="74">
        <v>0.24</v>
      </c>
      <c r="J72" s="85" t="s">
        <v>292</v>
      </c>
      <c r="K72" s="76">
        <f t="shared" ref="K72:K78" si="0">D72*(1-I72)</f>
        <v>5.0508114988861777E-2</v>
      </c>
      <c r="L72" s="77" t="s">
        <v>827</v>
      </c>
      <c r="M72" s="10" t="s">
        <v>778</v>
      </c>
    </row>
    <row r="73" spans="2:13" ht="72.5" x14ac:dyDescent="0.35">
      <c r="B73" s="32" t="s">
        <v>106</v>
      </c>
      <c r="C73" s="32" t="s">
        <v>110</v>
      </c>
      <c r="D73" s="74">
        <v>3.7922987164527418E-2</v>
      </c>
      <c r="E73" s="11" t="s">
        <v>292</v>
      </c>
      <c r="F73" s="11" t="s">
        <v>292</v>
      </c>
      <c r="G73" s="85" t="s">
        <v>292</v>
      </c>
      <c r="H73" s="85" t="s">
        <v>292</v>
      </c>
      <c r="I73" s="74">
        <v>0.24</v>
      </c>
      <c r="J73" s="85" t="s">
        <v>292</v>
      </c>
      <c r="K73" s="76">
        <f t="shared" si="0"/>
        <v>2.8821470245040837E-2</v>
      </c>
      <c r="L73" s="77" t="s">
        <v>828</v>
      </c>
      <c r="M73" s="10" t="s">
        <v>778</v>
      </c>
    </row>
    <row r="74" spans="2:13" ht="72.5" x14ac:dyDescent="0.35">
      <c r="B74" s="32" t="s">
        <v>106</v>
      </c>
      <c r="C74" s="32" t="s">
        <v>111</v>
      </c>
      <c r="D74" s="74">
        <v>3.4899756019942711E-2</v>
      </c>
      <c r="E74" s="11" t="s">
        <v>292</v>
      </c>
      <c r="F74" s="11" t="s">
        <v>292</v>
      </c>
      <c r="G74" s="85" t="s">
        <v>292</v>
      </c>
      <c r="H74" s="85" t="s">
        <v>292</v>
      </c>
      <c r="I74" s="74">
        <v>0.24</v>
      </c>
      <c r="J74" s="85" t="s">
        <v>292</v>
      </c>
      <c r="K74" s="76">
        <f t="shared" si="0"/>
        <v>2.652381457515646E-2</v>
      </c>
      <c r="L74" s="77" t="s">
        <v>829</v>
      </c>
      <c r="M74" s="10" t="s">
        <v>778</v>
      </c>
    </row>
    <row r="75" spans="2:13" ht="72.5" x14ac:dyDescent="0.35">
      <c r="B75" s="32" t="s">
        <v>106</v>
      </c>
      <c r="C75" s="32" t="s">
        <v>113</v>
      </c>
      <c r="D75" s="74">
        <v>1.9518404582581944E-2</v>
      </c>
      <c r="E75" s="11" t="s">
        <v>292</v>
      </c>
      <c r="F75" s="11" t="s">
        <v>292</v>
      </c>
      <c r="G75" s="85" t="s">
        <v>292</v>
      </c>
      <c r="H75" s="85" t="s">
        <v>292</v>
      </c>
      <c r="I75" s="74">
        <v>0.24</v>
      </c>
      <c r="J75" s="85" t="s">
        <v>292</v>
      </c>
      <c r="K75" s="76">
        <f t="shared" si="0"/>
        <v>1.4833987482762278E-2</v>
      </c>
      <c r="L75" s="77" t="s">
        <v>830</v>
      </c>
      <c r="M75" s="10" t="s">
        <v>778</v>
      </c>
    </row>
    <row r="76" spans="2:13" ht="72.5" x14ac:dyDescent="0.35">
      <c r="B76" s="32" t="s">
        <v>106</v>
      </c>
      <c r="C76" s="32" t="s">
        <v>114</v>
      </c>
      <c r="D76" s="74">
        <v>1.8616739153495279E-2</v>
      </c>
      <c r="E76" s="11" t="s">
        <v>292</v>
      </c>
      <c r="F76" s="11" t="s">
        <v>292</v>
      </c>
      <c r="G76" s="85" t="s">
        <v>292</v>
      </c>
      <c r="H76" s="85" t="s">
        <v>292</v>
      </c>
      <c r="I76" s="74">
        <v>0.24</v>
      </c>
      <c r="J76" s="85" t="s">
        <v>292</v>
      </c>
      <c r="K76" s="76">
        <f t="shared" si="0"/>
        <v>1.4148721756656412E-2</v>
      </c>
      <c r="L76" s="77" t="s">
        <v>831</v>
      </c>
      <c r="M76" s="10" t="s">
        <v>778</v>
      </c>
    </row>
    <row r="77" spans="2:13" ht="72.5" x14ac:dyDescent="0.35">
      <c r="B77" s="32" t="s">
        <v>106</v>
      </c>
      <c r="C77" s="32" t="s">
        <v>108</v>
      </c>
      <c r="D77" s="74">
        <v>1.8086347724620769E-2</v>
      </c>
      <c r="E77" s="11" t="s">
        <v>292</v>
      </c>
      <c r="F77" s="11" t="s">
        <v>292</v>
      </c>
      <c r="G77" s="85" t="s">
        <v>292</v>
      </c>
      <c r="H77" s="85" t="s">
        <v>292</v>
      </c>
      <c r="I77" s="74">
        <v>0.24</v>
      </c>
      <c r="J77" s="85" t="s">
        <v>292</v>
      </c>
      <c r="K77" s="76">
        <f t="shared" si="0"/>
        <v>1.3745624270711784E-2</v>
      </c>
      <c r="L77" s="77" t="s">
        <v>832</v>
      </c>
      <c r="M77" s="10" t="s">
        <v>778</v>
      </c>
    </row>
    <row r="78" spans="2:13" ht="72.5" x14ac:dyDescent="0.35">
      <c r="B78" s="32" t="s">
        <v>106</v>
      </c>
      <c r="C78" s="32" t="s">
        <v>117</v>
      </c>
      <c r="D78" s="74">
        <v>1.1456454863689403E-2</v>
      </c>
      <c r="E78" s="11" t="s">
        <v>292</v>
      </c>
      <c r="F78" s="11" t="s">
        <v>292</v>
      </c>
      <c r="G78" s="85" t="s">
        <v>292</v>
      </c>
      <c r="H78" s="85" t="s">
        <v>292</v>
      </c>
      <c r="I78" s="74">
        <v>0.24</v>
      </c>
      <c r="J78" s="85" t="s">
        <v>292</v>
      </c>
      <c r="K78" s="76">
        <f t="shared" si="0"/>
        <v>8.7069056964039458E-3</v>
      </c>
      <c r="L78" s="77" t="s">
        <v>833</v>
      </c>
      <c r="M78" s="10" t="s">
        <v>778</v>
      </c>
    </row>
    <row r="79" spans="2:13" x14ac:dyDescent="0.35">
      <c r="B79" s="83" t="s">
        <v>106</v>
      </c>
      <c r="C79" s="83" t="s">
        <v>834</v>
      </c>
      <c r="D79" s="126" t="s">
        <v>447</v>
      </c>
      <c r="E79" s="126" t="s">
        <v>447</v>
      </c>
      <c r="F79" s="126" t="s">
        <v>447</v>
      </c>
      <c r="G79" s="126" t="s">
        <v>447</v>
      </c>
      <c r="H79" s="126" t="s">
        <v>447</v>
      </c>
      <c r="I79" s="126" t="s">
        <v>447</v>
      </c>
      <c r="J79" s="126" t="s">
        <v>447</v>
      </c>
      <c r="K79" s="84">
        <f>SUM(K66:K78)</f>
        <v>0.64992132097553723</v>
      </c>
      <c r="L79" s="125" t="s">
        <v>447</v>
      </c>
      <c r="M79" s="125"/>
    </row>
    <row r="80" spans="2:13" ht="72.5" x14ac:dyDescent="0.35">
      <c r="B80" s="32" t="s">
        <v>127</v>
      </c>
      <c r="C80" s="32" t="s">
        <v>131</v>
      </c>
      <c r="D80" s="75">
        <v>1</v>
      </c>
      <c r="E80" s="11" t="s">
        <v>292</v>
      </c>
      <c r="F80" s="11" t="s">
        <v>292</v>
      </c>
      <c r="G80" s="74">
        <v>0.53</v>
      </c>
      <c r="H80" s="11" t="s">
        <v>292</v>
      </c>
      <c r="I80" s="11" t="s">
        <v>292</v>
      </c>
      <c r="J80" s="74">
        <v>0.36</v>
      </c>
      <c r="K80" s="76">
        <f>D80*G80*J80</f>
        <v>0.1908</v>
      </c>
      <c r="L80" s="77" t="s">
        <v>835</v>
      </c>
      <c r="M80" s="10" t="s">
        <v>776</v>
      </c>
    </row>
    <row r="81" spans="2:13" ht="101.5" x14ac:dyDescent="0.35">
      <c r="B81" s="32" t="s">
        <v>127</v>
      </c>
      <c r="C81" s="32" t="s">
        <v>129</v>
      </c>
      <c r="D81" s="74">
        <v>0.59599999999999997</v>
      </c>
      <c r="E81" s="74">
        <v>0.24394408801502696</v>
      </c>
      <c r="F81" s="11" t="s">
        <v>292</v>
      </c>
      <c r="G81" s="85" t="s">
        <v>292</v>
      </c>
      <c r="H81" s="85" t="s">
        <v>292</v>
      </c>
      <c r="I81" s="74">
        <v>0.09</v>
      </c>
      <c r="J81" s="74">
        <v>0.42880000000000001</v>
      </c>
      <c r="K81" s="76">
        <f>D81*E81*J81*(1-I81)</f>
        <v>5.6732605078915914E-2</v>
      </c>
      <c r="L81" s="77" t="s">
        <v>836</v>
      </c>
      <c r="M81" s="10" t="s">
        <v>775</v>
      </c>
    </row>
    <row r="82" spans="2:13" ht="101.5" x14ac:dyDescent="0.35">
      <c r="B82" s="32" t="s">
        <v>127</v>
      </c>
      <c r="C82" s="32" t="s">
        <v>130</v>
      </c>
      <c r="D82" s="74">
        <v>0.59599999999999997</v>
      </c>
      <c r="E82" s="74">
        <v>0.51211182396994614</v>
      </c>
      <c r="F82" s="11" t="s">
        <v>292</v>
      </c>
      <c r="G82" s="85" t="s">
        <v>292</v>
      </c>
      <c r="H82" s="85" t="s">
        <v>292</v>
      </c>
      <c r="I82" s="74">
        <v>0.09</v>
      </c>
      <c r="J82" s="74">
        <v>0.21120000000000003</v>
      </c>
      <c r="K82" s="76">
        <f>D82*E82*J82*(1-I82)</f>
        <v>5.8660582220769412E-2</v>
      </c>
      <c r="L82" s="77" t="s">
        <v>836</v>
      </c>
      <c r="M82" s="10" t="s">
        <v>775</v>
      </c>
    </row>
    <row r="83" spans="2:13" ht="101.5" x14ac:dyDescent="0.35">
      <c r="B83" s="32" t="s">
        <v>127</v>
      </c>
      <c r="C83" s="32" t="s">
        <v>133</v>
      </c>
      <c r="D83" s="74">
        <v>0.59599999999999997</v>
      </c>
      <c r="E83" s="74">
        <v>0.24394408801502696</v>
      </c>
      <c r="F83" s="11" t="s">
        <v>292</v>
      </c>
      <c r="G83" s="85" t="s">
        <v>292</v>
      </c>
      <c r="H83" s="85" t="s">
        <v>292</v>
      </c>
      <c r="I83" s="74">
        <v>0.09</v>
      </c>
      <c r="J83" s="74">
        <v>0.42880000000000001</v>
      </c>
      <c r="K83" s="76">
        <f>D83*E83*J83*(1-I83)</f>
        <v>5.6732605078915914E-2</v>
      </c>
      <c r="L83" s="77" t="s">
        <v>836</v>
      </c>
      <c r="M83" s="10" t="s">
        <v>775</v>
      </c>
    </row>
    <row r="84" spans="2:13" ht="101.5" x14ac:dyDescent="0.35">
      <c r="B84" s="32" t="s">
        <v>127</v>
      </c>
      <c r="C84" s="32" t="s">
        <v>139</v>
      </c>
      <c r="D84" s="74">
        <v>0.21700000000000003</v>
      </c>
      <c r="E84" s="85" t="s">
        <v>292</v>
      </c>
      <c r="F84" s="11" t="s">
        <v>292</v>
      </c>
      <c r="G84" s="74">
        <v>0.12</v>
      </c>
      <c r="H84" s="85" t="s">
        <v>292</v>
      </c>
      <c r="I84" s="74">
        <v>0.09</v>
      </c>
      <c r="J84" s="85" t="s">
        <v>292</v>
      </c>
      <c r="K84" s="76">
        <f>D84*G84*I84</f>
        <v>2.3435999999999999E-3</v>
      </c>
      <c r="L84" s="77" t="s">
        <v>837</v>
      </c>
      <c r="M84" s="10" t="s">
        <v>825</v>
      </c>
    </row>
    <row r="85" spans="2:13" ht="87" x14ac:dyDescent="0.35">
      <c r="B85" s="32" t="s">
        <v>127</v>
      </c>
      <c r="C85" s="32" t="s">
        <v>135</v>
      </c>
      <c r="D85" s="74">
        <v>2.7000000000000003E-2</v>
      </c>
      <c r="E85" s="85" t="s">
        <v>292</v>
      </c>
      <c r="F85" s="11" t="s">
        <v>292</v>
      </c>
      <c r="G85" s="11" t="s">
        <v>292</v>
      </c>
      <c r="H85" s="74">
        <v>0.15</v>
      </c>
      <c r="I85" s="74">
        <v>0.09</v>
      </c>
      <c r="J85" s="74">
        <v>0.36</v>
      </c>
      <c r="K85" s="76">
        <f>D85*H85*J85*(1-I85)</f>
        <v>1.3267800000000001E-3</v>
      </c>
      <c r="L85" s="77" t="s">
        <v>838</v>
      </c>
      <c r="M85" s="10" t="s">
        <v>783</v>
      </c>
    </row>
    <row r="86" spans="2:13" ht="87" x14ac:dyDescent="0.35">
      <c r="B86" s="32" t="s">
        <v>127</v>
      </c>
      <c r="C86" s="32" t="s">
        <v>137</v>
      </c>
      <c r="D86" s="74">
        <v>2.7000000000000003E-2</v>
      </c>
      <c r="E86" s="85" t="s">
        <v>292</v>
      </c>
      <c r="F86" s="11" t="s">
        <v>292</v>
      </c>
      <c r="G86" s="11" t="s">
        <v>292</v>
      </c>
      <c r="H86" s="74">
        <v>0.85</v>
      </c>
      <c r="I86" s="74">
        <v>0.09</v>
      </c>
      <c r="J86" s="74">
        <v>0.36</v>
      </c>
      <c r="K86" s="76">
        <f>D86*H86*J86*(1-I86)</f>
        <v>7.5184200000000005E-3</v>
      </c>
      <c r="L86" s="77" t="s">
        <v>838</v>
      </c>
      <c r="M86" s="10" t="s">
        <v>783</v>
      </c>
    </row>
    <row r="87" spans="2:13" x14ac:dyDescent="0.35">
      <c r="B87" s="83" t="s">
        <v>127</v>
      </c>
      <c r="C87" s="83" t="s">
        <v>449</v>
      </c>
      <c r="D87" s="126" t="s">
        <v>447</v>
      </c>
      <c r="E87" s="126" t="s">
        <v>447</v>
      </c>
      <c r="F87" s="126" t="s">
        <v>447</v>
      </c>
      <c r="G87" s="126" t="s">
        <v>447</v>
      </c>
      <c r="H87" s="126" t="s">
        <v>447</v>
      </c>
      <c r="I87" s="126" t="s">
        <v>447</v>
      </c>
      <c r="J87" s="126" t="s">
        <v>447</v>
      </c>
      <c r="K87" s="84">
        <f>SUM(K80:K86)</f>
        <v>0.37411459237860129</v>
      </c>
      <c r="L87" s="125" t="s">
        <v>447</v>
      </c>
      <c r="M87" s="125"/>
    </row>
    <row r="88" spans="2:13" ht="72.5" x14ac:dyDescent="0.35">
      <c r="B88" s="32" t="s">
        <v>140</v>
      </c>
      <c r="C88" s="32" t="s">
        <v>146</v>
      </c>
      <c r="D88" s="74">
        <v>0.33739057</v>
      </c>
      <c r="E88" s="11" t="s">
        <v>292</v>
      </c>
      <c r="F88" s="11" t="s">
        <v>292</v>
      </c>
      <c r="G88" s="11" t="s">
        <v>292</v>
      </c>
      <c r="H88" s="11" t="s">
        <v>292</v>
      </c>
      <c r="I88" s="74">
        <v>0.26</v>
      </c>
      <c r="J88" s="74">
        <v>0.03</v>
      </c>
      <c r="K88" s="76">
        <f>D88*J88*(1-I88)</f>
        <v>7.4900706539999997E-3</v>
      </c>
      <c r="L88" s="77" t="s">
        <v>839</v>
      </c>
      <c r="M88" s="10" t="s">
        <v>776</v>
      </c>
    </row>
    <row r="89" spans="2:13" ht="72.5" x14ac:dyDescent="0.35">
      <c r="B89" s="32" t="s">
        <v>140</v>
      </c>
      <c r="C89" s="32" t="s">
        <v>148</v>
      </c>
      <c r="D89" s="74">
        <v>0.33739057</v>
      </c>
      <c r="E89" s="11" t="s">
        <v>292</v>
      </c>
      <c r="F89" s="11" t="s">
        <v>292</v>
      </c>
      <c r="G89" s="11" t="s">
        <v>292</v>
      </c>
      <c r="H89" s="11" t="s">
        <v>292</v>
      </c>
      <c r="I89" s="74">
        <v>0.26</v>
      </c>
      <c r="J89" s="74">
        <v>0.4</v>
      </c>
      <c r="K89" s="76">
        <f>D89*J89*(1-I89)</f>
        <v>9.9867608720000001E-2</v>
      </c>
      <c r="L89" s="77" t="s">
        <v>839</v>
      </c>
      <c r="M89" s="10" t="s">
        <v>776</v>
      </c>
    </row>
    <row r="90" spans="2:13" ht="101.5" x14ac:dyDescent="0.35">
      <c r="B90" s="32" t="s">
        <v>140</v>
      </c>
      <c r="C90" s="32" t="s">
        <v>142</v>
      </c>
      <c r="D90" s="74">
        <v>0.26301643400000002</v>
      </c>
      <c r="E90" s="11" t="s">
        <v>292</v>
      </c>
      <c r="F90" s="11" t="s">
        <v>292</v>
      </c>
      <c r="G90" s="11" t="s">
        <v>292</v>
      </c>
      <c r="H90" s="74">
        <v>0.5</v>
      </c>
      <c r="I90" s="74">
        <v>0.26</v>
      </c>
      <c r="J90" s="74">
        <v>0.3</v>
      </c>
      <c r="K90" s="76">
        <f>D90*H90*J90*(1-I90)</f>
        <v>2.9194824174E-2</v>
      </c>
      <c r="L90" s="77" t="s">
        <v>840</v>
      </c>
      <c r="M90" s="10" t="s">
        <v>783</v>
      </c>
    </row>
    <row r="91" spans="2:13" ht="101.5" x14ac:dyDescent="0.35">
      <c r="B91" s="32" t="s">
        <v>140</v>
      </c>
      <c r="C91" s="32" t="s">
        <v>143</v>
      </c>
      <c r="D91" s="74">
        <v>0.26301643400000002</v>
      </c>
      <c r="E91" s="11" t="s">
        <v>292</v>
      </c>
      <c r="F91" s="11" t="s">
        <v>292</v>
      </c>
      <c r="G91" s="11" t="s">
        <v>292</v>
      </c>
      <c r="H91" s="74">
        <v>0.5</v>
      </c>
      <c r="I91" s="74">
        <v>0.26</v>
      </c>
      <c r="J91" s="74">
        <v>0.3</v>
      </c>
      <c r="K91" s="76">
        <f>D91*H91*J91*(1-I91)</f>
        <v>2.9194824174E-2</v>
      </c>
      <c r="L91" s="77" t="s">
        <v>840</v>
      </c>
      <c r="M91" s="10" t="s">
        <v>783</v>
      </c>
    </row>
    <row r="92" spans="2:13" ht="87" x14ac:dyDescent="0.35">
      <c r="B92" s="32" t="s">
        <v>140</v>
      </c>
      <c r="C92" s="32" t="s">
        <v>144</v>
      </c>
      <c r="D92" s="74">
        <v>0.26301643400000002</v>
      </c>
      <c r="E92" s="11" t="s">
        <v>292</v>
      </c>
      <c r="F92" s="11" t="s">
        <v>292</v>
      </c>
      <c r="G92" s="11" t="s">
        <v>292</v>
      </c>
      <c r="H92" s="11" t="s">
        <v>292</v>
      </c>
      <c r="I92" s="74">
        <v>0.26</v>
      </c>
      <c r="J92" s="11" t="s">
        <v>292</v>
      </c>
      <c r="K92" s="76">
        <f>D92*I92</f>
        <v>6.838427284000001E-2</v>
      </c>
      <c r="L92" s="77" t="s">
        <v>841</v>
      </c>
      <c r="M92" s="10" t="s">
        <v>794</v>
      </c>
    </row>
    <row r="93" spans="2:13" ht="72.5" x14ac:dyDescent="0.35">
      <c r="B93" s="32" t="s">
        <v>140</v>
      </c>
      <c r="C93" s="32" t="s">
        <v>150</v>
      </c>
      <c r="D93" s="74">
        <v>0.26301643400000002</v>
      </c>
      <c r="E93" s="11" t="s">
        <v>292</v>
      </c>
      <c r="F93" s="11" t="s">
        <v>292</v>
      </c>
      <c r="G93" s="11" t="s">
        <v>292</v>
      </c>
      <c r="H93" s="11" t="s">
        <v>292</v>
      </c>
      <c r="I93" s="74">
        <v>0.26</v>
      </c>
      <c r="J93" s="74">
        <v>0.15</v>
      </c>
      <c r="K93" s="76">
        <f>D93*J93*(1-I93)</f>
        <v>2.9194824174E-2</v>
      </c>
      <c r="L93" s="77" t="s">
        <v>842</v>
      </c>
      <c r="M93" s="10" t="s">
        <v>776</v>
      </c>
    </row>
    <row r="94" spans="2:13" ht="43.5" x14ac:dyDescent="0.35">
      <c r="B94" s="32" t="s">
        <v>140</v>
      </c>
      <c r="C94" s="32" t="s">
        <v>154</v>
      </c>
      <c r="D94" s="74">
        <v>0.15</v>
      </c>
      <c r="E94" s="11" t="s">
        <v>292</v>
      </c>
      <c r="F94" s="11" t="s">
        <v>292</v>
      </c>
      <c r="G94" s="11" t="s">
        <v>292</v>
      </c>
      <c r="H94" s="11" t="s">
        <v>292</v>
      </c>
      <c r="I94" s="75">
        <v>0</v>
      </c>
      <c r="J94" s="74">
        <v>0.1</v>
      </c>
      <c r="K94" s="76">
        <f>D94*J94</f>
        <v>1.4999999999999999E-2</v>
      </c>
      <c r="L94" s="77" t="s">
        <v>843</v>
      </c>
      <c r="M94" s="10" t="s">
        <v>776</v>
      </c>
    </row>
    <row r="95" spans="2:13" ht="101.5" x14ac:dyDescent="0.35">
      <c r="B95" s="32" t="s">
        <v>140</v>
      </c>
      <c r="C95" s="32" t="s">
        <v>145</v>
      </c>
      <c r="D95" s="74">
        <v>3.8012594099999998E-2</v>
      </c>
      <c r="E95" s="11" t="s">
        <v>292</v>
      </c>
      <c r="F95" s="11" t="s">
        <v>292</v>
      </c>
      <c r="G95" s="74">
        <v>0.95</v>
      </c>
      <c r="H95" s="85" t="s">
        <v>292</v>
      </c>
      <c r="I95" s="74">
        <v>0.26</v>
      </c>
      <c r="J95" s="74">
        <v>0.3</v>
      </c>
      <c r="K95" s="76">
        <f>D95*J95*G95*(1-I95)</f>
        <v>8.0168560956900004E-3</v>
      </c>
      <c r="L95" s="77" t="s">
        <v>844</v>
      </c>
      <c r="M95" s="10" t="s">
        <v>776</v>
      </c>
    </row>
    <row r="96" spans="2:13" ht="101.5" x14ac:dyDescent="0.35">
      <c r="B96" s="32" t="s">
        <v>140</v>
      </c>
      <c r="C96" s="32" t="s">
        <v>151</v>
      </c>
      <c r="D96" s="74">
        <v>3.8012594099999998E-2</v>
      </c>
      <c r="E96" s="11" t="s">
        <v>292</v>
      </c>
      <c r="F96" s="11" t="s">
        <v>292</v>
      </c>
      <c r="G96" s="74">
        <v>0.05</v>
      </c>
      <c r="H96" s="85" t="s">
        <v>292</v>
      </c>
      <c r="I96" s="74">
        <v>0.26</v>
      </c>
      <c r="J96" s="74">
        <v>0.3</v>
      </c>
      <c r="K96" s="78">
        <f>D96*J96*G96*(1-I96)</f>
        <v>4.2193979451000003E-4</v>
      </c>
      <c r="L96" s="77" t="s">
        <v>844</v>
      </c>
      <c r="M96" s="10" t="s">
        <v>776</v>
      </c>
    </row>
    <row r="97" spans="2:13" ht="72.5" x14ac:dyDescent="0.35">
      <c r="B97" s="32" t="s">
        <v>140</v>
      </c>
      <c r="C97" s="32" t="s">
        <v>152</v>
      </c>
      <c r="D97" s="74">
        <v>3.8012594099999998E-2</v>
      </c>
      <c r="E97" s="11" t="s">
        <v>292</v>
      </c>
      <c r="F97" s="11" t="s">
        <v>292</v>
      </c>
      <c r="G97" s="11" t="s">
        <v>292</v>
      </c>
      <c r="H97" s="85" t="s">
        <v>292</v>
      </c>
      <c r="I97" s="74">
        <v>0.26</v>
      </c>
      <c r="J97" s="74">
        <v>0.15</v>
      </c>
      <c r="K97" s="76">
        <f>D97*J97*(1-I97)</f>
        <v>4.2193979450999997E-3</v>
      </c>
      <c r="L97" s="77" t="s">
        <v>845</v>
      </c>
      <c r="M97" s="10" t="s">
        <v>776</v>
      </c>
    </row>
    <row r="98" spans="2:13" ht="101.5" x14ac:dyDescent="0.35">
      <c r="B98" s="32" t="s">
        <v>140</v>
      </c>
      <c r="C98" s="32" t="s">
        <v>147</v>
      </c>
      <c r="D98" s="74">
        <v>1.4705882400000002E-2</v>
      </c>
      <c r="E98" s="11" t="s">
        <v>292</v>
      </c>
      <c r="F98" s="11" t="s">
        <v>292</v>
      </c>
      <c r="G98" s="74">
        <v>0.7</v>
      </c>
      <c r="H98" s="85" t="s">
        <v>292</v>
      </c>
      <c r="I98" s="74">
        <v>0.26</v>
      </c>
      <c r="J98" s="85" t="s">
        <v>292</v>
      </c>
      <c r="K98" s="76">
        <f>D98*G98*(1-I98)</f>
        <v>7.6176470832000007E-3</v>
      </c>
      <c r="L98" s="77" t="s">
        <v>846</v>
      </c>
      <c r="M98" s="10" t="s">
        <v>776</v>
      </c>
    </row>
    <row r="99" spans="2:13" x14ac:dyDescent="0.35">
      <c r="B99" s="83" t="s">
        <v>140</v>
      </c>
      <c r="C99" s="83" t="s">
        <v>450</v>
      </c>
      <c r="D99" s="126" t="s">
        <v>447</v>
      </c>
      <c r="E99" s="126" t="s">
        <v>447</v>
      </c>
      <c r="F99" s="126" t="s">
        <v>447</v>
      </c>
      <c r="G99" s="126" t="s">
        <v>447</v>
      </c>
      <c r="H99" s="126" t="s">
        <v>447</v>
      </c>
      <c r="I99" s="126" t="s">
        <v>447</v>
      </c>
      <c r="J99" s="126" t="s">
        <v>447</v>
      </c>
      <c r="K99" s="84">
        <f>SUM(K88:K98)</f>
        <v>0.29860226565450004</v>
      </c>
      <c r="L99" s="125" t="s">
        <v>447</v>
      </c>
      <c r="M99" s="125"/>
    </row>
    <row r="100" spans="2:13" ht="72.5" x14ac:dyDescent="0.35">
      <c r="B100" s="32" t="s">
        <v>155</v>
      </c>
      <c r="C100" s="32" t="s">
        <v>162</v>
      </c>
      <c r="D100" s="74">
        <v>0.38300000000000001</v>
      </c>
      <c r="E100" s="11" t="s">
        <v>292</v>
      </c>
      <c r="F100" s="11" t="s">
        <v>292</v>
      </c>
      <c r="G100" s="11" t="s">
        <v>292</v>
      </c>
      <c r="H100" s="75">
        <v>1</v>
      </c>
      <c r="I100" s="74">
        <v>0.19</v>
      </c>
      <c r="J100" s="11" t="s">
        <v>292</v>
      </c>
      <c r="K100" s="76">
        <f>D100*(1-I100)</f>
        <v>0.31023000000000001</v>
      </c>
      <c r="L100" s="77" t="s">
        <v>847</v>
      </c>
      <c r="M100" s="10" t="s">
        <v>778</v>
      </c>
    </row>
    <row r="101" spans="2:13" ht="58" x14ac:dyDescent="0.35">
      <c r="B101" s="32" t="s">
        <v>155</v>
      </c>
      <c r="C101" s="32" t="s">
        <v>163</v>
      </c>
      <c r="D101" s="74">
        <v>0.38300000000000001</v>
      </c>
      <c r="E101" s="11" t="s">
        <v>292</v>
      </c>
      <c r="F101" s="11" t="s">
        <v>292</v>
      </c>
      <c r="G101" s="74">
        <v>0.30297256097560976</v>
      </c>
      <c r="H101" s="85" t="s">
        <v>292</v>
      </c>
      <c r="I101" s="74">
        <v>0.19</v>
      </c>
      <c r="J101" s="11" t="s">
        <v>292</v>
      </c>
      <c r="K101" s="76">
        <f>D101*I101*G101</f>
        <v>2.2047313262195122E-2</v>
      </c>
      <c r="L101" s="77" t="s">
        <v>848</v>
      </c>
      <c r="M101" s="10" t="s">
        <v>825</v>
      </c>
    </row>
    <row r="102" spans="2:13" ht="72.5" x14ac:dyDescent="0.35">
      <c r="B102" s="32" t="s">
        <v>155</v>
      </c>
      <c r="C102" s="32" t="s">
        <v>169</v>
      </c>
      <c r="D102" s="74">
        <v>0.38300000000000001</v>
      </c>
      <c r="E102" s="11" t="s">
        <v>292</v>
      </c>
      <c r="F102" s="11" t="s">
        <v>292</v>
      </c>
      <c r="G102" s="74">
        <v>0.31135670731707316</v>
      </c>
      <c r="H102" s="85" t="s">
        <v>292</v>
      </c>
      <c r="I102" s="74">
        <v>0.19</v>
      </c>
      <c r="J102" s="11" t="s">
        <v>292</v>
      </c>
      <c r="K102" s="76">
        <f>D102*I102*G102</f>
        <v>2.2657427591463414E-2</v>
      </c>
      <c r="L102" s="77" t="s">
        <v>849</v>
      </c>
      <c r="M102" s="10" t="s">
        <v>825</v>
      </c>
    </row>
    <row r="103" spans="2:13" ht="72.5" x14ac:dyDescent="0.35">
      <c r="B103" s="32" t="s">
        <v>155</v>
      </c>
      <c r="C103" s="32" t="s">
        <v>170</v>
      </c>
      <c r="D103" s="74">
        <v>0.38300000000000001</v>
      </c>
      <c r="E103" s="11" t="s">
        <v>292</v>
      </c>
      <c r="F103" s="11" t="s">
        <v>292</v>
      </c>
      <c r="G103" s="74">
        <v>8.4603658536585372E-2</v>
      </c>
      <c r="H103" s="85" t="s">
        <v>292</v>
      </c>
      <c r="I103" s="74">
        <v>0.19</v>
      </c>
      <c r="J103" s="11" t="s">
        <v>292</v>
      </c>
      <c r="K103" s="76">
        <f>D103*I103*G103</f>
        <v>6.1566082317073174E-3</v>
      </c>
      <c r="L103" s="77" t="s">
        <v>850</v>
      </c>
      <c r="M103" s="10" t="s">
        <v>825</v>
      </c>
    </row>
    <row r="104" spans="2:13" ht="72.5" x14ac:dyDescent="0.35">
      <c r="B104" s="32" t="s">
        <v>155</v>
      </c>
      <c r="C104" s="32" t="s">
        <v>171</v>
      </c>
      <c r="D104" s="74">
        <v>0.38300000000000001</v>
      </c>
      <c r="E104" s="11" t="s">
        <v>292</v>
      </c>
      <c r="F104" s="11" t="s">
        <v>292</v>
      </c>
      <c r="G104" s="74">
        <v>0.30106707317073172</v>
      </c>
      <c r="H104" s="85" t="s">
        <v>292</v>
      </c>
      <c r="I104" s="74">
        <v>0.19</v>
      </c>
      <c r="J104" s="11" t="s">
        <v>292</v>
      </c>
      <c r="K104" s="76">
        <f>D104*I104*G104</f>
        <v>2.1908650914634148E-2</v>
      </c>
      <c r="L104" s="77" t="s">
        <v>851</v>
      </c>
      <c r="M104" s="10" t="s">
        <v>825</v>
      </c>
    </row>
    <row r="105" spans="2:13" ht="58" x14ac:dyDescent="0.35">
      <c r="B105" s="32" t="s">
        <v>155</v>
      </c>
      <c r="C105" s="32" t="s">
        <v>173</v>
      </c>
      <c r="D105" s="74">
        <v>0.1</v>
      </c>
      <c r="E105" s="11" t="s">
        <v>292</v>
      </c>
      <c r="F105" s="11" t="s">
        <v>292</v>
      </c>
      <c r="G105" s="11" t="s">
        <v>292</v>
      </c>
      <c r="H105" s="74">
        <v>0.36</v>
      </c>
      <c r="I105" s="75">
        <v>0</v>
      </c>
      <c r="J105" s="11" t="s">
        <v>292</v>
      </c>
      <c r="K105" s="76">
        <f>D105*H105</f>
        <v>3.5999999999999997E-2</v>
      </c>
      <c r="L105" s="77" t="s">
        <v>852</v>
      </c>
      <c r="M105" s="10" t="s">
        <v>783</v>
      </c>
    </row>
    <row r="106" spans="2:13" ht="58" x14ac:dyDescent="0.35">
      <c r="B106" s="32" t="s">
        <v>155</v>
      </c>
      <c r="C106" s="32" t="s">
        <v>179</v>
      </c>
      <c r="D106" s="74">
        <v>0.1</v>
      </c>
      <c r="E106" s="11" t="s">
        <v>292</v>
      </c>
      <c r="F106" s="11" t="s">
        <v>292</v>
      </c>
      <c r="G106" s="11" t="s">
        <v>292</v>
      </c>
      <c r="H106" s="74">
        <v>0.64</v>
      </c>
      <c r="I106" s="75">
        <v>0</v>
      </c>
      <c r="J106" s="11" t="s">
        <v>292</v>
      </c>
      <c r="K106" s="76">
        <f>D106*H106</f>
        <v>6.4000000000000001E-2</v>
      </c>
      <c r="L106" s="77" t="s">
        <v>852</v>
      </c>
      <c r="M106" s="10" t="s">
        <v>783</v>
      </c>
    </row>
    <row r="107" spans="2:13" ht="72.5" x14ac:dyDescent="0.35">
      <c r="B107" s="32" t="s">
        <v>155</v>
      </c>
      <c r="C107" s="32" t="s">
        <v>175</v>
      </c>
      <c r="D107" s="74">
        <v>0.1</v>
      </c>
      <c r="E107" s="11" t="s">
        <v>292</v>
      </c>
      <c r="F107" s="11" t="s">
        <v>292</v>
      </c>
      <c r="G107" s="74">
        <v>0.30106707317073172</v>
      </c>
      <c r="H107" s="85" t="s">
        <v>292</v>
      </c>
      <c r="I107" s="74">
        <v>0.19</v>
      </c>
      <c r="J107" s="11" t="s">
        <v>292</v>
      </c>
      <c r="K107" s="76">
        <f>D107*I107*G107</f>
        <v>5.7202743902439041E-3</v>
      </c>
      <c r="L107" s="77" t="s">
        <v>853</v>
      </c>
      <c r="M107" s="10" t="s">
        <v>825</v>
      </c>
    </row>
    <row r="108" spans="2:13" ht="87" x14ac:dyDescent="0.35">
      <c r="B108" s="32" t="s">
        <v>155</v>
      </c>
      <c r="C108" s="32" t="s">
        <v>181</v>
      </c>
      <c r="D108" s="74">
        <v>4.4999999999999998E-2</v>
      </c>
      <c r="E108" s="11" t="s">
        <v>292</v>
      </c>
      <c r="F108" s="11" t="s">
        <v>292</v>
      </c>
      <c r="G108" s="11" t="s">
        <v>292</v>
      </c>
      <c r="H108" s="74">
        <v>0.37</v>
      </c>
      <c r="I108" s="74">
        <v>0.04</v>
      </c>
      <c r="J108" s="11" t="s">
        <v>292</v>
      </c>
      <c r="K108" s="76">
        <f>D108*H108*(1-I108)</f>
        <v>1.5983999999999998E-2</v>
      </c>
      <c r="L108" s="77" t="s">
        <v>854</v>
      </c>
      <c r="M108" s="10" t="s">
        <v>783</v>
      </c>
    </row>
    <row r="109" spans="2:13" ht="43.5" x14ac:dyDescent="0.35">
      <c r="B109" s="32" t="s">
        <v>155</v>
      </c>
      <c r="C109" s="32" t="s">
        <v>182</v>
      </c>
      <c r="D109" s="74">
        <v>4.1000000000000002E-2</v>
      </c>
      <c r="E109" s="11" t="s">
        <v>292</v>
      </c>
      <c r="F109" s="11" t="s">
        <v>292</v>
      </c>
      <c r="G109" s="11" t="s">
        <v>292</v>
      </c>
      <c r="H109" s="75">
        <v>1</v>
      </c>
      <c r="I109" s="75">
        <v>0</v>
      </c>
      <c r="J109" s="11" t="s">
        <v>292</v>
      </c>
      <c r="K109" s="76">
        <f>D109*H109</f>
        <v>4.1000000000000002E-2</v>
      </c>
      <c r="L109" s="77" t="s">
        <v>855</v>
      </c>
      <c r="M109" s="10" t="s">
        <v>778</v>
      </c>
    </row>
    <row r="110" spans="2:13" ht="87" x14ac:dyDescent="0.35">
      <c r="B110" s="32" t="s">
        <v>155</v>
      </c>
      <c r="C110" s="32" t="s">
        <v>167</v>
      </c>
      <c r="D110" s="74">
        <v>2.1999999999999999E-2</v>
      </c>
      <c r="E110" s="11" t="s">
        <v>292</v>
      </c>
      <c r="F110" s="11" t="s">
        <v>292</v>
      </c>
      <c r="G110" s="11" t="s">
        <v>292</v>
      </c>
      <c r="H110" s="74">
        <v>0.5</v>
      </c>
      <c r="I110" s="74">
        <v>0.19</v>
      </c>
      <c r="J110" s="11" t="s">
        <v>292</v>
      </c>
      <c r="K110" s="76">
        <f>D110*H110*(1-I110)</f>
        <v>8.9099999999999995E-3</v>
      </c>
      <c r="L110" s="77" t="s">
        <v>856</v>
      </c>
      <c r="M110" s="10" t="s">
        <v>783</v>
      </c>
    </row>
    <row r="111" spans="2:13" ht="87" x14ac:dyDescent="0.35">
      <c r="B111" s="32" t="s">
        <v>155</v>
      </c>
      <c r="C111" s="32" t="s">
        <v>168</v>
      </c>
      <c r="D111" s="74">
        <v>2.1999999999999999E-2</v>
      </c>
      <c r="E111" s="11" t="s">
        <v>292</v>
      </c>
      <c r="F111" s="11" t="s">
        <v>292</v>
      </c>
      <c r="G111" s="11" t="s">
        <v>292</v>
      </c>
      <c r="H111" s="74">
        <v>0.5</v>
      </c>
      <c r="I111" s="74">
        <v>0.19</v>
      </c>
      <c r="J111" s="11" t="s">
        <v>292</v>
      </c>
      <c r="K111" s="76">
        <f>D111*H111*(1-I111)</f>
        <v>8.9099999999999995E-3</v>
      </c>
      <c r="L111" s="77" t="s">
        <v>856</v>
      </c>
      <c r="M111" s="10" t="s">
        <v>783</v>
      </c>
    </row>
    <row r="112" spans="2:13" ht="58" x14ac:dyDescent="0.35">
      <c r="B112" s="32" t="s">
        <v>155</v>
      </c>
      <c r="C112" s="32" t="s">
        <v>157</v>
      </c>
      <c r="D112" s="74">
        <v>1.7000000000000001E-2</v>
      </c>
      <c r="E112" s="11" t="s">
        <v>292</v>
      </c>
      <c r="F112" s="11" t="s">
        <v>292</v>
      </c>
      <c r="G112" s="11" t="s">
        <v>292</v>
      </c>
      <c r="H112" s="74">
        <v>0.24938602668978099</v>
      </c>
      <c r="I112" s="75">
        <v>0</v>
      </c>
      <c r="J112" s="11" t="s">
        <v>292</v>
      </c>
      <c r="K112" s="76">
        <f>D112*H112</f>
        <v>4.2395624537262776E-3</v>
      </c>
      <c r="L112" s="77" t="s">
        <v>857</v>
      </c>
      <c r="M112" s="10" t="s">
        <v>783</v>
      </c>
    </row>
    <row r="113" spans="2:13" ht="58" x14ac:dyDescent="0.35">
      <c r="B113" s="32" t="s">
        <v>155</v>
      </c>
      <c r="C113" s="32" t="s">
        <v>158</v>
      </c>
      <c r="D113" s="74">
        <v>1.7000000000000001E-2</v>
      </c>
      <c r="E113" s="11" t="s">
        <v>292</v>
      </c>
      <c r="F113" s="11" t="s">
        <v>292</v>
      </c>
      <c r="G113" s="11" t="s">
        <v>292</v>
      </c>
      <c r="H113" s="74">
        <v>0.24938602668978099</v>
      </c>
      <c r="I113" s="75">
        <v>0</v>
      </c>
      <c r="J113" s="11" t="s">
        <v>292</v>
      </c>
      <c r="K113" s="76">
        <f>D113*H113</f>
        <v>4.2395624537262776E-3</v>
      </c>
      <c r="L113" s="77" t="s">
        <v>857</v>
      </c>
      <c r="M113" s="10" t="s">
        <v>783</v>
      </c>
    </row>
    <row r="114" spans="2:13" ht="58" x14ac:dyDescent="0.35">
      <c r="B114" s="32" t="s">
        <v>155</v>
      </c>
      <c r="C114" s="32" t="s">
        <v>177</v>
      </c>
      <c r="D114" s="74">
        <v>1.7000000000000001E-2</v>
      </c>
      <c r="E114" s="11" t="s">
        <v>292</v>
      </c>
      <c r="F114" s="11" t="s">
        <v>292</v>
      </c>
      <c r="G114" s="11" t="s">
        <v>292</v>
      </c>
      <c r="H114" s="74">
        <v>0.97</v>
      </c>
      <c r="I114" s="75">
        <v>0</v>
      </c>
      <c r="J114" s="11" t="s">
        <v>292</v>
      </c>
      <c r="K114" s="76">
        <f>D114*H114</f>
        <v>1.6490000000000001E-2</v>
      </c>
      <c r="L114" s="77" t="s">
        <v>858</v>
      </c>
      <c r="M114" s="10" t="s">
        <v>783</v>
      </c>
    </row>
    <row r="115" spans="2:13" ht="72.5" x14ac:dyDescent="0.35">
      <c r="B115" s="32" t="s">
        <v>155</v>
      </c>
      <c r="C115" s="32" t="s">
        <v>160</v>
      </c>
      <c r="D115" s="74">
        <v>8.9999999999999993E-3</v>
      </c>
      <c r="E115" s="11" t="s">
        <v>292</v>
      </c>
      <c r="F115" s="11" t="s">
        <v>292</v>
      </c>
      <c r="G115" s="11" t="s">
        <v>292</v>
      </c>
      <c r="H115" s="75">
        <v>1</v>
      </c>
      <c r="I115" s="74">
        <v>0.19</v>
      </c>
      <c r="J115" s="11" t="s">
        <v>292</v>
      </c>
      <c r="K115" s="76">
        <f>D115*(1-I115)</f>
        <v>7.2899999999999996E-3</v>
      </c>
      <c r="L115" s="77" t="s">
        <v>859</v>
      </c>
      <c r="M115" s="10" t="s">
        <v>778</v>
      </c>
    </row>
    <row r="116" spans="2:13" ht="87" x14ac:dyDescent="0.35">
      <c r="B116" s="32" t="s">
        <v>155</v>
      </c>
      <c r="C116" s="32" t="s">
        <v>165</v>
      </c>
      <c r="D116" s="74">
        <v>8.9999999999999993E-3</v>
      </c>
      <c r="E116" s="11" t="s">
        <v>292</v>
      </c>
      <c r="F116" s="11" t="s">
        <v>292</v>
      </c>
      <c r="G116" s="11" t="s">
        <v>292</v>
      </c>
      <c r="H116" s="74">
        <v>0.09</v>
      </c>
      <c r="I116" s="74">
        <v>0.19</v>
      </c>
      <c r="J116" s="11" t="s">
        <v>292</v>
      </c>
      <c r="K116" s="76">
        <f>D116*H116*(1-I116)</f>
        <v>6.5609999999999996E-4</v>
      </c>
      <c r="L116" s="77" t="s">
        <v>860</v>
      </c>
      <c r="M116" s="10" t="s">
        <v>783</v>
      </c>
    </row>
    <row r="117" spans="2:13" x14ac:dyDescent="0.35">
      <c r="B117" s="83" t="s">
        <v>155</v>
      </c>
      <c r="C117" s="83" t="s">
        <v>861</v>
      </c>
      <c r="D117" s="126" t="s">
        <v>447</v>
      </c>
      <c r="E117" s="126" t="s">
        <v>447</v>
      </c>
      <c r="F117" s="126" t="s">
        <v>447</v>
      </c>
      <c r="G117" s="126" t="s">
        <v>447</v>
      </c>
      <c r="H117" s="126" t="s">
        <v>447</v>
      </c>
      <c r="I117" s="126" t="s">
        <v>447</v>
      </c>
      <c r="J117" s="126" t="s">
        <v>447</v>
      </c>
      <c r="K117" s="84">
        <f>SUM(K100:K116)</f>
        <v>0.59643949929769646</v>
      </c>
      <c r="L117" s="125" t="s">
        <v>447</v>
      </c>
      <c r="M117" s="125"/>
    </row>
    <row r="118" spans="2:13" ht="87" x14ac:dyDescent="0.35">
      <c r="B118" s="32" t="s">
        <v>183</v>
      </c>
      <c r="C118" s="32" t="s">
        <v>185</v>
      </c>
      <c r="D118" s="74">
        <v>0.45</v>
      </c>
      <c r="E118" s="11" t="s">
        <v>292</v>
      </c>
      <c r="F118" s="74">
        <v>0.02</v>
      </c>
      <c r="G118" s="11" t="s">
        <v>292</v>
      </c>
      <c r="H118" s="85" t="s">
        <v>292</v>
      </c>
      <c r="I118" s="74">
        <v>0.09</v>
      </c>
      <c r="J118" s="11" t="s">
        <v>292</v>
      </c>
      <c r="K118" s="76">
        <f>D118*F118*(1-I118)</f>
        <v>8.1900000000000011E-3</v>
      </c>
      <c r="L118" s="77" t="s">
        <v>862</v>
      </c>
      <c r="M118" s="10" t="s">
        <v>823</v>
      </c>
    </row>
    <row r="119" spans="2:13" ht="87" x14ac:dyDescent="0.35">
      <c r="B119" s="32" t="s">
        <v>183</v>
      </c>
      <c r="C119" s="32" t="s">
        <v>187</v>
      </c>
      <c r="D119" s="74">
        <v>0.45</v>
      </c>
      <c r="E119" s="11" t="s">
        <v>292</v>
      </c>
      <c r="F119" s="74">
        <v>5.2999999999999999E-2</v>
      </c>
      <c r="G119" s="11" t="s">
        <v>292</v>
      </c>
      <c r="H119" s="85" t="s">
        <v>292</v>
      </c>
      <c r="I119" s="74">
        <v>0.09</v>
      </c>
      <c r="J119" s="11" t="s">
        <v>292</v>
      </c>
      <c r="K119" s="76">
        <f>D119*F119*(1-I119)</f>
        <v>2.1703500000000001E-2</v>
      </c>
      <c r="L119" s="77" t="s">
        <v>862</v>
      </c>
      <c r="M119" s="10" t="s">
        <v>823</v>
      </c>
    </row>
    <row r="120" spans="2:13" ht="87" x14ac:dyDescent="0.35">
      <c r="B120" s="32" t="s">
        <v>183</v>
      </c>
      <c r="C120" s="32" t="s">
        <v>189</v>
      </c>
      <c r="D120" s="74">
        <v>0.45</v>
      </c>
      <c r="E120" s="11" t="s">
        <v>292</v>
      </c>
      <c r="F120" s="74">
        <v>0.83</v>
      </c>
      <c r="G120" s="11" t="s">
        <v>292</v>
      </c>
      <c r="H120" s="85" t="s">
        <v>292</v>
      </c>
      <c r="I120" s="74">
        <v>0.09</v>
      </c>
      <c r="J120" s="11" t="s">
        <v>292</v>
      </c>
      <c r="K120" s="76">
        <f>D120*F120*(1-I120)</f>
        <v>0.33988499999999999</v>
      </c>
      <c r="L120" s="77" t="s">
        <v>862</v>
      </c>
      <c r="M120" s="10" t="s">
        <v>823</v>
      </c>
    </row>
    <row r="121" spans="2:13" ht="72.5" x14ac:dyDescent="0.35">
      <c r="B121" s="32" t="s">
        <v>183</v>
      </c>
      <c r="C121" s="32" t="s">
        <v>191</v>
      </c>
      <c r="D121" s="74">
        <v>0.08</v>
      </c>
      <c r="E121" s="11" t="s">
        <v>292</v>
      </c>
      <c r="F121" s="85" t="s">
        <v>292</v>
      </c>
      <c r="G121" s="11" t="s">
        <v>292</v>
      </c>
      <c r="H121" s="85" t="s">
        <v>292</v>
      </c>
      <c r="I121" s="74">
        <v>0.09</v>
      </c>
      <c r="J121" s="11" t="s">
        <v>292</v>
      </c>
      <c r="K121" s="76">
        <f>D121*(1-I121)</f>
        <v>7.2800000000000004E-2</v>
      </c>
      <c r="L121" s="77" t="s">
        <v>863</v>
      </c>
      <c r="M121" s="10" t="s">
        <v>778</v>
      </c>
    </row>
    <row r="122" spans="2:13" ht="43.5" x14ac:dyDescent="0.35">
      <c r="B122" s="32" t="s">
        <v>183</v>
      </c>
      <c r="C122" s="32" t="s">
        <v>1030</v>
      </c>
      <c r="D122" s="74">
        <v>1.7999999999999999E-2</v>
      </c>
      <c r="E122" s="11" t="s">
        <v>292</v>
      </c>
      <c r="F122" s="85" t="s">
        <v>292</v>
      </c>
      <c r="G122" s="11" t="s">
        <v>292</v>
      </c>
      <c r="H122" s="85" t="s">
        <v>292</v>
      </c>
      <c r="I122" s="85">
        <v>0</v>
      </c>
      <c r="J122" s="74">
        <v>0.08</v>
      </c>
      <c r="K122" s="76">
        <f>D122*J122</f>
        <v>1.4399999999999999E-3</v>
      </c>
      <c r="L122" s="77" t="s">
        <v>864</v>
      </c>
      <c r="M122" s="10" t="s">
        <v>776</v>
      </c>
    </row>
    <row r="123" spans="2:13" x14ac:dyDescent="0.35">
      <c r="B123" s="83" t="s">
        <v>183</v>
      </c>
      <c r="C123" s="83" t="s">
        <v>865</v>
      </c>
      <c r="D123" s="126" t="s">
        <v>447</v>
      </c>
      <c r="E123" s="126" t="s">
        <v>447</v>
      </c>
      <c r="F123" s="126" t="s">
        <v>447</v>
      </c>
      <c r="G123" s="126" t="s">
        <v>447</v>
      </c>
      <c r="H123" s="126" t="s">
        <v>447</v>
      </c>
      <c r="I123" s="126" t="s">
        <v>447</v>
      </c>
      <c r="J123" s="126" t="s">
        <v>447</v>
      </c>
      <c r="K123" s="84">
        <f>SUM(K118:K122)</f>
        <v>0.44401849999999998</v>
      </c>
      <c r="L123" s="125" t="s">
        <v>447</v>
      </c>
      <c r="M123" s="125"/>
    </row>
    <row r="124" spans="2:13" ht="72.5" x14ac:dyDescent="0.35">
      <c r="B124" s="32" t="s">
        <v>192</v>
      </c>
      <c r="C124" s="32" t="s">
        <v>193</v>
      </c>
      <c r="D124" s="74">
        <v>1.4084507042253521E-2</v>
      </c>
      <c r="E124" s="11" t="s">
        <v>292</v>
      </c>
      <c r="F124" s="11" t="s">
        <v>292</v>
      </c>
      <c r="G124" s="11" t="s">
        <v>292</v>
      </c>
      <c r="H124" s="85" t="s">
        <v>292</v>
      </c>
      <c r="I124" s="74">
        <v>0.02</v>
      </c>
      <c r="J124" s="85" t="s">
        <v>292</v>
      </c>
      <c r="K124" s="76">
        <f>D124*(1-I124)</f>
        <v>1.380281690140845E-2</v>
      </c>
      <c r="L124" s="77" t="s">
        <v>866</v>
      </c>
      <c r="M124" s="10" t="s">
        <v>778</v>
      </c>
    </row>
    <row r="125" spans="2:13" x14ac:dyDescent="0.35">
      <c r="B125" s="83" t="s">
        <v>192</v>
      </c>
      <c r="C125" s="83" t="s">
        <v>867</v>
      </c>
      <c r="D125" s="126" t="s">
        <v>447</v>
      </c>
      <c r="E125" s="126" t="s">
        <v>447</v>
      </c>
      <c r="F125" s="126" t="s">
        <v>447</v>
      </c>
      <c r="G125" s="126" t="s">
        <v>447</v>
      </c>
      <c r="H125" s="126" t="s">
        <v>447</v>
      </c>
      <c r="I125" s="126" t="s">
        <v>447</v>
      </c>
      <c r="J125" s="126" t="s">
        <v>447</v>
      </c>
      <c r="K125" s="84">
        <f>K124</f>
        <v>1.380281690140845E-2</v>
      </c>
      <c r="L125" s="125" t="s">
        <v>447</v>
      </c>
      <c r="M125" s="125"/>
    </row>
    <row r="126" spans="2:13" ht="72.5" x14ac:dyDescent="0.35">
      <c r="B126" s="32" t="s">
        <v>194</v>
      </c>
      <c r="C126" s="32" t="s">
        <v>195</v>
      </c>
      <c r="D126" s="75">
        <v>1</v>
      </c>
      <c r="E126" s="11" t="s">
        <v>292</v>
      </c>
      <c r="F126" s="11" t="s">
        <v>292</v>
      </c>
      <c r="G126" s="74">
        <v>0.4</v>
      </c>
      <c r="H126" s="85" t="s">
        <v>292</v>
      </c>
      <c r="I126" s="85">
        <v>0</v>
      </c>
      <c r="J126" s="85" t="s">
        <v>292</v>
      </c>
      <c r="K126" s="76">
        <f>G126*D126</f>
        <v>0.4</v>
      </c>
      <c r="L126" s="77" t="s">
        <v>868</v>
      </c>
      <c r="M126" s="10" t="s">
        <v>292</v>
      </c>
    </row>
    <row r="127" spans="2:13" x14ac:dyDescent="0.35">
      <c r="B127" s="83" t="s">
        <v>194</v>
      </c>
      <c r="C127" s="83" t="s">
        <v>869</v>
      </c>
      <c r="D127" s="126" t="s">
        <v>447</v>
      </c>
      <c r="E127" s="126" t="s">
        <v>447</v>
      </c>
      <c r="F127" s="126" t="s">
        <v>447</v>
      </c>
      <c r="G127" s="126" t="s">
        <v>447</v>
      </c>
      <c r="H127" s="126" t="s">
        <v>447</v>
      </c>
      <c r="I127" s="126" t="s">
        <v>447</v>
      </c>
      <c r="J127" s="126" t="s">
        <v>447</v>
      </c>
      <c r="K127" s="84">
        <f>K126</f>
        <v>0.4</v>
      </c>
      <c r="L127" s="125" t="s">
        <v>447</v>
      </c>
      <c r="M127" s="125"/>
    </row>
    <row r="128" spans="2:13" ht="87" x14ac:dyDescent="0.35">
      <c r="B128" s="32" t="s">
        <v>196</v>
      </c>
      <c r="C128" s="32" t="s">
        <v>200</v>
      </c>
      <c r="D128" s="74">
        <v>0.37740000000000001</v>
      </c>
      <c r="E128" s="11" t="s">
        <v>292</v>
      </c>
      <c r="F128" s="11" t="s">
        <v>292</v>
      </c>
      <c r="G128" s="74">
        <v>0.9</v>
      </c>
      <c r="H128" s="85" t="s">
        <v>292</v>
      </c>
      <c r="I128" s="74">
        <v>0.05</v>
      </c>
      <c r="J128" s="85" t="s">
        <v>292</v>
      </c>
      <c r="K128" s="76">
        <f>D128*G128*(1-I128)</f>
        <v>0.32267699999999999</v>
      </c>
      <c r="L128" s="77" t="s">
        <v>870</v>
      </c>
      <c r="M128" s="10" t="s">
        <v>776</v>
      </c>
    </row>
    <row r="129" spans="2:13" ht="87" x14ac:dyDescent="0.35">
      <c r="B129" s="32" t="s">
        <v>196</v>
      </c>
      <c r="C129" s="32" t="s">
        <v>198</v>
      </c>
      <c r="D129" s="74">
        <v>1.8867924528301886E-2</v>
      </c>
      <c r="E129" s="11" t="s">
        <v>292</v>
      </c>
      <c r="F129" s="11" t="s">
        <v>292</v>
      </c>
      <c r="G129" s="74">
        <v>0.9</v>
      </c>
      <c r="H129" s="85" t="s">
        <v>292</v>
      </c>
      <c r="I129" s="74">
        <v>0.05</v>
      </c>
      <c r="J129" s="85" t="s">
        <v>292</v>
      </c>
      <c r="K129" s="76">
        <f>D129*G129*(1-I129)</f>
        <v>1.6132075471698114E-2</v>
      </c>
      <c r="L129" s="77" t="s">
        <v>871</v>
      </c>
      <c r="M129" s="10" t="s">
        <v>776</v>
      </c>
    </row>
    <row r="130" spans="2:13" ht="87" x14ac:dyDescent="0.35">
      <c r="B130" s="32" t="s">
        <v>196</v>
      </c>
      <c r="C130" s="32" t="s">
        <v>201</v>
      </c>
      <c r="D130" s="74">
        <v>1.8867924528301886E-2</v>
      </c>
      <c r="E130" s="11" t="s">
        <v>292</v>
      </c>
      <c r="F130" s="11" t="s">
        <v>292</v>
      </c>
      <c r="G130" s="74">
        <v>0.9</v>
      </c>
      <c r="H130" s="85" t="s">
        <v>292</v>
      </c>
      <c r="I130" s="74">
        <v>0.05</v>
      </c>
      <c r="J130" s="85" t="s">
        <v>292</v>
      </c>
      <c r="K130" s="76">
        <f t="shared" ref="K130" si="1">D130*G130*(1-I130)</f>
        <v>1.6132075471698114E-2</v>
      </c>
      <c r="L130" s="77" t="s">
        <v>872</v>
      </c>
      <c r="M130" s="10" t="s">
        <v>776</v>
      </c>
    </row>
    <row r="131" spans="2:13" x14ac:dyDescent="0.35">
      <c r="B131" s="83" t="s">
        <v>196</v>
      </c>
      <c r="C131" s="83" t="s">
        <v>873</v>
      </c>
      <c r="D131" s="126" t="s">
        <v>447</v>
      </c>
      <c r="E131" s="126" t="s">
        <v>447</v>
      </c>
      <c r="F131" s="126" t="s">
        <v>447</v>
      </c>
      <c r="G131" s="126" t="s">
        <v>447</v>
      </c>
      <c r="H131" s="126" t="s">
        <v>447</v>
      </c>
      <c r="I131" s="126" t="s">
        <v>447</v>
      </c>
      <c r="J131" s="126" t="s">
        <v>447</v>
      </c>
      <c r="K131" s="84">
        <f>SUM(K128:K130)</f>
        <v>0.35494115094339618</v>
      </c>
      <c r="L131" s="125" t="s">
        <v>447</v>
      </c>
      <c r="M131" s="125"/>
    </row>
    <row r="132" spans="2:13" ht="58" x14ac:dyDescent="0.35">
      <c r="B132" s="32" t="s">
        <v>202</v>
      </c>
      <c r="C132" s="32" t="s">
        <v>203</v>
      </c>
      <c r="D132" s="75">
        <v>1</v>
      </c>
      <c r="E132" s="11" t="s">
        <v>292</v>
      </c>
      <c r="F132" s="11" t="s">
        <v>292</v>
      </c>
      <c r="G132" s="11" t="s">
        <v>292</v>
      </c>
      <c r="H132" s="85" t="s">
        <v>292</v>
      </c>
      <c r="I132" s="85">
        <v>0</v>
      </c>
      <c r="J132" s="74">
        <v>0.4</v>
      </c>
      <c r="K132" s="76">
        <f>J132</f>
        <v>0.4</v>
      </c>
      <c r="L132" s="77" t="s">
        <v>874</v>
      </c>
      <c r="M132" s="10" t="s">
        <v>292</v>
      </c>
    </row>
    <row r="133" spans="2:13" x14ac:dyDescent="0.35">
      <c r="B133" s="83" t="s">
        <v>202</v>
      </c>
      <c r="C133" s="83" t="s">
        <v>875</v>
      </c>
      <c r="D133" s="126" t="s">
        <v>447</v>
      </c>
      <c r="E133" s="126" t="s">
        <v>447</v>
      </c>
      <c r="F133" s="126" t="s">
        <v>447</v>
      </c>
      <c r="G133" s="126" t="s">
        <v>447</v>
      </c>
      <c r="H133" s="126" t="s">
        <v>447</v>
      </c>
      <c r="I133" s="126" t="s">
        <v>447</v>
      </c>
      <c r="J133" s="126" t="s">
        <v>447</v>
      </c>
      <c r="K133" s="84">
        <f>K132</f>
        <v>0.4</v>
      </c>
      <c r="L133" s="125" t="s">
        <v>447</v>
      </c>
      <c r="M133" s="125"/>
    </row>
    <row r="134" spans="2:13" ht="43.5" x14ac:dyDescent="0.35">
      <c r="B134" s="32" t="s">
        <v>204</v>
      </c>
      <c r="C134" s="32" t="s">
        <v>205</v>
      </c>
      <c r="D134" s="74">
        <v>0.70044372958112511</v>
      </c>
      <c r="E134" s="11" t="s">
        <v>292</v>
      </c>
      <c r="F134" s="11" t="s">
        <v>292</v>
      </c>
      <c r="G134" s="85" t="s">
        <v>292</v>
      </c>
      <c r="H134" s="85" t="s">
        <v>292</v>
      </c>
      <c r="I134" s="85">
        <v>0</v>
      </c>
      <c r="J134" s="85" t="s">
        <v>292</v>
      </c>
      <c r="K134" s="76">
        <f>D134</f>
        <v>0.70044372958112511</v>
      </c>
      <c r="L134" s="77" t="s">
        <v>876</v>
      </c>
      <c r="M134" s="10" t="s">
        <v>778</v>
      </c>
    </row>
    <row r="135" spans="2:13" x14ac:dyDescent="0.35">
      <c r="B135" s="83" t="s">
        <v>204</v>
      </c>
      <c r="C135" s="83" t="s">
        <v>877</v>
      </c>
      <c r="D135" s="126" t="s">
        <v>447</v>
      </c>
      <c r="E135" s="126" t="s">
        <v>447</v>
      </c>
      <c r="F135" s="126" t="s">
        <v>447</v>
      </c>
      <c r="G135" s="126" t="s">
        <v>447</v>
      </c>
      <c r="H135" s="126" t="s">
        <v>447</v>
      </c>
      <c r="I135" s="126" t="s">
        <v>447</v>
      </c>
      <c r="J135" s="126" t="s">
        <v>447</v>
      </c>
      <c r="K135" s="84">
        <f>K134</f>
        <v>0.70044372958112511</v>
      </c>
      <c r="L135" s="125" t="s">
        <v>447</v>
      </c>
      <c r="M135" s="125"/>
    </row>
    <row r="136" spans="2:13" ht="87" x14ac:dyDescent="0.35">
      <c r="B136" s="32" t="s">
        <v>206</v>
      </c>
      <c r="C136" s="32" t="s">
        <v>208</v>
      </c>
      <c r="D136" s="74">
        <v>0.88800000000000001</v>
      </c>
      <c r="E136" s="11" t="s">
        <v>292</v>
      </c>
      <c r="F136" s="11" t="s">
        <v>292</v>
      </c>
      <c r="G136" s="85" t="s">
        <v>292</v>
      </c>
      <c r="H136" s="85" t="s">
        <v>292</v>
      </c>
      <c r="I136" s="74">
        <v>0.11</v>
      </c>
      <c r="J136" s="74">
        <v>0.9</v>
      </c>
      <c r="K136" s="76">
        <f>D136*J136*(1-I136)</f>
        <v>0.71128800000000003</v>
      </c>
      <c r="L136" s="77" t="s">
        <v>878</v>
      </c>
      <c r="M136" s="10" t="s">
        <v>776</v>
      </c>
    </row>
    <row r="137" spans="2:13" ht="87" x14ac:dyDescent="0.35">
      <c r="B137" s="32" t="s">
        <v>206</v>
      </c>
      <c r="C137" s="32" t="s">
        <v>209</v>
      </c>
      <c r="D137" s="74">
        <v>0.88800000000000001</v>
      </c>
      <c r="E137" s="11" t="s">
        <v>292</v>
      </c>
      <c r="F137" s="11" t="s">
        <v>292</v>
      </c>
      <c r="G137" s="85" t="s">
        <v>292</v>
      </c>
      <c r="H137" s="85" t="s">
        <v>292</v>
      </c>
      <c r="I137" s="74">
        <v>0.11</v>
      </c>
      <c r="J137" s="74">
        <v>0.1</v>
      </c>
      <c r="K137" s="76">
        <f>D137*J137*(1-I137)</f>
        <v>7.9032000000000005E-2</v>
      </c>
      <c r="L137" s="77" t="s">
        <v>878</v>
      </c>
      <c r="M137" s="10" t="s">
        <v>776</v>
      </c>
    </row>
    <row r="138" spans="2:13" x14ac:dyDescent="0.35">
      <c r="B138" s="83" t="s">
        <v>206</v>
      </c>
      <c r="C138" s="83" t="s">
        <v>879</v>
      </c>
      <c r="D138" s="126" t="s">
        <v>447</v>
      </c>
      <c r="E138" s="126" t="s">
        <v>447</v>
      </c>
      <c r="F138" s="126" t="s">
        <v>447</v>
      </c>
      <c r="G138" s="126" t="s">
        <v>447</v>
      </c>
      <c r="H138" s="126" t="s">
        <v>447</v>
      </c>
      <c r="I138" s="126" t="s">
        <v>447</v>
      </c>
      <c r="J138" s="126" t="s">
        <v>447</v>
      </c>
      <c r="K138" s="84">
        <f>SUM(K136:K137)</f>
        <v>0.79032000000000002</v>
      </c>
      <c r="L138" s="125" t="s">
        <v>447</v>
      </c>
      <c r="M138" s="125"/>
    </row>
    <row r="139" spans="2:13" ht="101.5" x14ac:dyDescent="0.35">
      <c r="B139" s="32" t="s">
        <v>210</v>
      </c>
      <c r="C139" s="32" t="s">
        <v>212</v>
      </c>
      <c r="D139" s="74">
        <v>0.38323049110277746</v>
      </c>
      <c r="E139" s="11" t="s">
        <v>292</v>
      </c>
      <c r="F139" s="11" t="s">
        <v>292</v>
      </c>
      <c r="G139" s="74">
        <v>0.5</v>
      </c>
      <c r="H139" s="85" t="s">
        <v>292</v>
      </c>
      <c r="I139" s="74">
        <v>0.17</v>
      </c>
      <c r="J139" s="74">
        <v>0.4</v>
      </c>
      <c r="K139" s="76">
        <f>D139*J139*G139*(1-I139)</f>
        <v>6.361626152306106E-2</v>
      </c>
      <c r="L139" s="77" t="s">
        <v>880</v>
      </c>
      <c r="M139" s="10" t="s">
        <v>776</v>
      </c>
    </row>
    <row r="140" spans="2:13" ht="101.5" x14ac:dyDescent="0.35">
      <c r="B140" s="32" t="s">
        <v>210</v>
      </c>
      <c r="C140" s="32" t="s">
        <v>211</v>
      </c>
      <c r="D140" s="74">
        <v>0.15351630783941672</v>
      </c>
      <c r="E140" s="11" t="s">
        <v>292</v>
      </c>
      <c r="F140" s="11" t="s">
        <v>292</v>
      </c>
      <c r="G140" s="74">
        <v>0.5</v>
      </c>
      <c r="H140" s="85" t="s">
        <v>292</v>
      </c>
      <c r="I140" s="74">
        <v>0.17</v>
      </c>
      <c r="J140" s="74">
        <v>0.4</v>
      </c>
      <c r="K140" s="76">
        <f>D140*G140*J140*(1-I140)</f>
        <v>2.5483707101343178E-2</v>
      </c>
      <c r="L140" s="77" t="s">
        <v>880</v>
      </c>
      <c r="M140" s="10" t="s">
        <v>776</v>
      </c>
    </row>
    <row r="141" spans="2:13" ht="101.5" x14ac:dyDescent="0.35">
      <c r="B141" s="32" t="s">
        <v>210</v>
      </c>
      <c r="C141" s="32" t="s">
        <v>213</v>
      </c>
      <c r="D141" s="74">
        <v>0.15351630783941672</v>
      </c>
      <c r="E141" s="11" t="s">
        <v>292</v>
      </c>
      <c r="F141" s="11" t="s">
        <v>292</v>
      </c>
      <c r="G141" s="74">
        <v>0.5</v>
      </c>
      <c r="H141" s="85" t="s">
        <v>292</v>
      </c>
      <c r="I141" s="74">
        <v>0.17</v>
      </c>
      <c r="J141" s="74">
        <v>0.4</v>
      </c>
      <c r="K141" s="76">
        <f>D141*G141*J141*(1-I141)</f>
        <v>2.5483707101343178E-2</v>
      </c>
      <c r="L141" s="77" t="s">
        <v>880</v>
      </c>
      <c r="M141" s="10" t="s">
        <v>776</v>
      </c>
    </row>
    <row r="142" spans="2:13" x14ac:dyDescent="0.35">
      <c r="B142" s="83" t="s">
        <v>210</v>
      </c>
      <c r="C142" s="83" t="s">
        <v>881</v>
      </c>
      <c r="D142" s="126" t="s">
        <v>447</v>
      </c>
      <c r="E142" s="126" t="s">
        <v>447</v>
      </c>
      <c r="F142" s="126" t="s">
        <v>447</v>
      </c>
      <c r="G142" s="126" t="s">
        <v>447</v>
      </c>
      <c r="H142" s="126" t="s">
        <v>447</v>
      </c>
      <c r="I142" s="126" t="s">
        <v>447</v>
      </c>
      <c r="J142" s="126" t="s">
        <v>447</v>
      </c>
      <c r="K142" s="84">
        <f>SUM(K139:K141)</f>
        <v>0.11458367572574742</v>
      </c>
      <c r="L142" s="125" t="s">
        <v>447</v>
      </c>
      <c r="M142" s="125"/>
    </row>
    <row r="143" spans="2:13" ht="72.5" x14ac:dyDescent="0.35">
      <c r="B143" s="32" t="s">
        <v>214</v>
      </c>
      <c r="C143" s="32" t="s">
        <v>215</v>
      </c>
      <c r="D143" s="74">
        <v>0.23270000000000002</v>
      </c>
      <c r="E143" s="11" t="s">
        <v>292</v>
      </c>
      <c r="F143" s="11" t="s">
        <v>292</v>
      </c>
      <c r="G143" s="11" t="s">
        <v>292</v>
      </c>
      <c r="H143" s="85" t="s">
        <v>292</v>
      </c>
      <c r="I143" s="74">
        <v>0.21</v>
      </c>
      <c r="J143" s="85" t="s">
        <v>292</v>
      </c>
      <c r="K143" s="76">
        <f>D143*(1-I143)</f>
        <v>0.18383300000000002</v>
      </c>
      <c r="L143" s="77" t="s">
        <v>882</v>
      </c>
      <c r="M143" s="10" t="s">
        <v>778</v>
      </c>
    </row>
    <row r="144" spans="2:13" ht="72.5" x14ac:dyDescent="0.35">
      <c r="B144" s="32" t="s">
        <v>214</v>
      </c>
      <c r="C144" s="32" t="s">
        <v>217</v>
      </c>
      <c r="D144" s="74">
        <v>0.13539999999999999</v>
      </c>
      <c r="E144" s="11" t="s">
        <v>292</v>
      </c>
      <c r="F144" s="11" t="s">
        <v>292</v>
      </c>
      <c r="G144" s="11" t="s">
        <v>292</v>
      </c>
      <c r="H144" s="85" t="s">
        <v>292</v>
      </c>
      <c r="I144" s="74">
        <v>0.21</v>
      </c>
      <c r="J144" s="85" t="s">
        <v>292</v>
      </c>
      <c r="K144" s="76">
        <f>D144*(1-I144)</f>
        <v>0.10696600000000001</v>
      </c>
      <c r="L144" s="77" t="s">
        <v>883</v>
      </c>
      <c r="M144" s="10" t="s">
        <v>778</v>
      </c>
    </row>
    <row r="145" spans="2:13" ht="72.5" x14ac:dyDescent="0.35">
      <c r="B145" s="32" t="s">
        <v>214</v>
      </c>
      <c r="C145" s="32" t="s">
        <v>216</v>
      </c>
      <c r="D145" s="74">
        <v>5.1299999999999998E-2</v>
      </c>
      <c r="E145" s="11" t="s">
        <v>292</v>
      </c>
      <c r="F145" s="11" t="s">
        <v>292</v>
      </c>
      <c r="G145" s="11" t="s">
        <v>292</v>
      </c>
      <c r="H145" s="85" t="s">
        <v>292</v>
      </c>
      <c r="I145" s="74">
        <v>0.21</v>
      </c>
      <c r="J145" s="85" t="s">
        <v>292</v>
      </c>
      <c r="K145" s="76">
        <f t="shared" ref="K145:K146" si="2">D145*(1-I145)</f>
        <v>4.0527000000000001E-2</v>
      </c>
      <c r="L145" s="77" t="s">
        <v>884</v>
      </c>
      <c r="M145" s="10" t="s">
        <v>778</v>
      </c>
    </row>
    <row r="146" spans="2:13" ht="72.5" x14ac:dyDescent="0.35">
      <c r="B146" s="32" t="s">
        <v>214</v>
      </c>
      <c r="C146" s="32" t="s">
        <v>218</v>
      </c>
      <c r="D146" s="74">
        <v>1.6500000000000001E-2</v>
      </c>
      <c r="E146" s="11" t="s">
        <v>292</v>
      </c>
      <c r="F146" s="11" t="s">
        <v>292</v>
      </c>
      <c r="G146" s="11" t="s">
        <v>292</v>
      </c>
      <c r="H146" s="85" t="s">
        <v>292</v>
      </c>
      <c r="I146" s="74">
        <v>0.21</v>
      </c>
      <c r="J146" s="85" t="s">
        <v>292</v>
      </c>
      <c r="K146" s="76">
        <f t="shared" si="2"/>
        <v>1.3035000000000001E-2</v>
      </c>
      <c r="L146" s="77" t="s">
        <v>885</v>
      </c>
      <c r="M146" s="10" t="s">
        <v>778</v>
      </c>
    </row>
    <row r="147" spans="2:13" x14ac:dyDescent="0.35">
      <c r="B147" s="83" t="s">
        <v>214</v>
      </c>
      <c r="C147" s="83" t="s">
        <v>886</v>
      </c>
      <c r="D147" s="126" t="s">
        <v>447</v>
      </c>
      <c r="E147" s="126" t="s">
        <v>447</v>
      </c>
      <c r="F147" s="126" t="s">
        <v>447</v>
      </c>
      <c r="G147" s="126" t="s">
        <v>447</v>
      </c>
      <c r="H147" s="126" t="s">
        <v>447</v>
      </c>
      <c r="I147" s="126" t="s">
        <v>447</v>
      </c>
      <c r="J147" s="126" t="s">
        <v>447</v>
      </c>
      <c r="K147" s="84">
        <f>SUM(K143:K146)</f>
        <v>0.34436100000000003</v>
      </c>
      <c r="L147" s="125" t="s">
        <v>447</v>
      </c>
      <c r="M147" s="125"/>
    </row>
    <row r="148" spans="2:13" ht="43.5" x14ac:dyDescent="0.35">
      <c r="B148" s="32" t="s">
        <v>219</v>
      </c>
      <c r="C148" s="32" t="s">
        <v>222</v>
      </c>
      <c r="D148" s="74">
        <v>0.40371417036737989</v>
      </c>
      <c r="E148" s="11" t="s">
        <v>292</v>
      </c>
      <c r="F148" s="11" t="s">
        <v>292</v>
      </c>
      <c r="G148" s="85" t="s">
        <v>292</v>
      </c>
      <c r="H148" s="85" t="s">
        <v>292</v>
      </c>
      <c r="I148" s="85">
        <v>0</v>
      </c>
      <c r="J148" s="85" t="s">
        <v>292</v>
      </c>
      <c r="K148" s="76">
        <f>D148</f>
        <v>0.40371417036737989</v>
      </c>
      <c r="L148" s="77" t="s">
        <v>887</v>
      </c>
      <c r="M148" s="10" t="s">
        <v>778</v>
      </c>
    </row>
    <row r="149" spans="2:13" ht="43.5" x14ac:dyDescent="0.35">
      <c r="B149" s="32" t="s">
        <v>219</v>
      </c>
      <c r="C149" s="32" t="s">
        <v>220</v>
      </c>
      <c r="D149" s="74">
        <v>7.2668550666128387E-2</v>
      </c>
      <c r="E149" s="11" t="s">
        <v>292</v>
      </c>
      <c r="F149" s="11" t="s">
        <v>292</v>
      </c>
      <c r="G149" s="85" t="s">
        <v>292</v>
      </c>
      <c r="H149" s="85" t="s">
        <v>292</v>
      </c>
      <c r="I149" s="85">
        <v>0</v>
      </c>
      <c r="J149" s="85" t="s">
        <v>292</v>
      </c>
      <c r="K149" s="76">
        <f>D149</f>
        <v>7.2668550666128387E-2</v>
      </c>
      <c r="L149" s="77" t="s">
        <v>888</v>
      </c>
      <c r="M149" s="10" t="s">
        <v>778</v>
      </c>
    </row>
    <row r="150" spans="2:13" x14ac:dyDescent="0.35">
      <c r="B150" s="83" t="s">
        <v>219</v>
      </c>
      <c r="C150" s="83" t="s">
        <v>889</v>
      </c>
      <c r="D150" s="126" t="s">
        <v>447</v>
      </c>
      <c r="E150" s="126" t="s">
        <v>447</v>
      </c>
      <c r="F150" s="126" t="s">
        <v>447</v>
      </c>
      <c r="G150" s="126" t="s">
        <v>447</v>
      </c>
      <c r="H150" s="126" t="s">
        <v>447</v>
      </c>
      <c r="I150" s="126" t="s">
        <v>447</v>
      </c>
      <c r="J150" s="126" t="s">
        <v>447</v>
      </c>
      <c r="K150" s="84">
        <f>SUM(K148:K149)</f>
        <v>0.47638272103350826</v>
      </c>
      <c r="L150" s="125" t="s">
        <v>447</v>
      </c>
      <c r="M150" s="125"/>
    </row>
    <row r="151" spans="2:13" ht="72.5" x14ac:dyDescent="0.35">
      <c r="B151" s="32" t="s">
        <v>223</v>
      </c>
      <c r="C151" s="32" t="s">
        <v>225</v>
      </c>
      <c r="D151" s="74">
        <v>0.58887677208287892</v>
      </c>
      <c r="E151" s="11" t="s">
        <v>292</v>
      </c>
      <c r="F151" s="85" t="s">
        <v>292</v>
      </c>
      <c r="G151" s="74">
        <v>0.95</v>
      </c>
      <c r="H151" s="85" t="s">
        <v>292</v>
      </c>
      <c r="I151" s="85">
        <v>0</v>
      </c>
      <c r="J151" s="85" t="s">
        <v>292</v>
      </c>
      <c r="K151" s="76">
        <f>D151*G151</f>
        <v>0.55943293347873491</v>
      </c>
      <c r="L151" s="77" t="s">
        <v>890</v>
      </c>
      <c r="M151" s="10" t="s">
        <v>776</v>
      </c>
    </row>
    <row r="152" spans="2:13" ht="58" x14ac:dyDescent="0.35">
      <c r="B152" s="32" t="s">
        <v>223</v>
      </c>
      <c r="C152" s="32" t="s">
        <v>226</v>
      </c>
      <c r="D152" s="74">
        <v>5.5616139585605233E-2</v>
      </c>
      <c r="E152" s="74">
        <v>0.86</v>
      </c>
      <c r="F152" s="85" t="s">
        <v>292</v>
      </c>
      <c r="G152" s="85" t="s">
        <v>292</v>
      </c>
      <c r="H152" s="85" t="s">
        <v>292</v>
      </c>
      <c r="I152" s="85">
        <v>0</v>
      </c>
      <c r="J152" s="85" t="s">
        <v>292</v>
      </c>
      <c r="K152" s="76">
        <f>D152*E152</f>
        <v>4.7829880043620501E-2</v>
      </c>
      <c r="L152" s="77" t="s">
        <v>891</v>
      </c>
      <c r="M152" s="10" t="s">
        <v>774</v>
      </c>
    </row>
    <row r="153" spans="2:13" ht="58" x14ac:dyDescent="0.35">
      <c r="B153" s="32" t="s">
        <v>223</v>
      </c>
      <c r="C153" s="32" t="s">
        <v>224</v>
      </c>
      <c r="D153" s="74">
        <v>4.7982551799345692E-2</v>
      </c>
      <c r="E153" s="74">
        <v>0.14000000000000001</v>
      </c>
      <c r="F153" s="85" t="s">
        <v>292</v>
      </c>
      <c r="G153" s="85" t="s">
        <v>292</v>
      </c>
      <c r="H153" s="85" t="s">
        <v>292</v>
      </c>
      <c r="I153" s="85">
        <v>0</v>
      </c>
      <c r="J153" s="85" t="s">
        <v>292</v>
      </c>
      <c r="K153" s="76">
        <f>D153*E153</f>
        <v>6.7175572519083977E-3</v>
      </c>
      <c r="L153" s="77" t="s">
        <v>892</v>
      </c>
      <c r="M153" s="10" t="s">
        <v>774</v>
      </c>
    </row>
    <row r="154" spans="2:13" x14ac:dyDescent="0.35">
      <c r="B154" s="83" t="s">
        <v>223</v>
      </c>
      <c r="C154" s="83" t="s">
        <v>893</v>
      </c>
      <c r="D154" s="126" t="s">
        <v>447</v>
      </c>
      <c r="E154" s="126" t="s">
        <v>447</v>
      </c>
      <c r="F154" s="126" t="s">
        <v>447</v>
      </c>
      <c r="G154" s="126" t="s">
        <v>447</v>
      </c>
      <c r="H154" s="126" t="s">
        <v>447</v>
      </c>
      <c r="I154" s="126" t="s">
        <v>447</v>
      </c>
      <c r="J154" s="126" t="s">
        <v>447</v>
      </c>
      <c r="K154" s="84">
        <f>SUM(K151:K153)</f>
        <v>0.61398037077426382</v>
      </c>
      <c r="L154" s="125" t="s">
        <v>447</v>
      </c>
      <c r="M154" s="125"/>
    </row>
    <row r="155" spans="2:13" ht="101.5" x14ac:dyDescent="0.35">
      <c r="B155" s="32" t="s">
        <v>227</v>
      </c>
      <c r="C155" s="32" t="s">
        <v>229</v>
      </c>
      <c r="D155" s="74">
        <v>0.51800000000000002</v>
      </c>
      <c r="E155" s="11" t="s">
        <v>292</v>
      </c>
      <c r="F155" s="11" t="s">
        <v>292</v>
      </c>
      <c r="G155" s="74">
        <v>0.8</v>
      </c>
      <c r="H155" s="85" t="s">
        <v>292</v>
      </c>
      <c r="I155" s="74">
        <v>7.0000000000000007E-2</v>
      </c>
      <c r="J155" s="85" t="s">
        <v>292</v>
      </c>
      <c r="K155" s="76">
        <f>D155*G155*(1-I155)</f>
        <v>0.38539200000000001</v>
      </c>
      <c r="L155" s="77" t="s">
        <v>894</v>
      </c>
      <c r="M155" s="10" t="s">
        <v>776</v>
      </c>
    </row>
    <row r="156" spans="2:13" x14ac:dyDescent="0.35">
      <c r="B156" s="83" t="s">
        <v>227</v>
      </c>
      <c r="C156" s="83" t="s">
        <v>895</v>
      </c>
      <c r="D156" s="126" t="s">
        <v>447</v>
      </c>
      <c r="E156" s="126" t="s">
        <v>447</v>
      </c>
      <c r="F156" s="126" t="s">
        <v>447</v>
      </c>
      <c r="G156" s="126" t="s">
        <v>447</v>
      </c>
      <c r="H156" s="126" t="s">
        <v>447</v>
      </c>
      <c r="I156" s="126" t="s">
        <v>447</v>
      </c>
      <c r="J156" s="126" t="s">
        <v>447</v>
      </c>
      <c r="K156" s="84">
        <f>K155</f>
        <v>0.38539200000000001</v>
      </c>
      <c r="L156" s="125" t="s">
        <v>447</v>
      </c>
      <c r="M156" s="125"/>
    </row>
    <row r="157" spans="2:13" ht="72.5" x14ac:dyDescent="0.35">
      <c r="B157" s="32" t="s">
        <v>230</v>
      </c>
      <c r="C157" s="32" t="s">
        <v>231</v>
      </c>
      <c r="D157" s="74">
        <v>0.72207084468664851</v>
      </c>
      <c r="E157" s="11" t="s">
        <v>292</v>
      </c>
      <c r="F157" s="11" t="s">
        <v>292</v>
      </c>
      <c r="G157" s="74">
        <v>0.9</v>
      </c>
      <c r="H157" s="85" t="s">
        <v>292</v>
      </c>
      <c r="I157" s="85">
        <v>0</v>
      </c>
      <c r="J157" s="85" t="s">
        <v>292</v>
      </c>
      <c r="K157" s="76">
        <f>D157*G157</f>
        <v>0.64986376021798364</v>
      </c>
      <c r="L157" s="77" t="s">
        <v>896</v>
      </c>
      <c r="M157" s="10" t="s">
        <v>776</v>
      </c>
    </row>
    <row r="158" spans="2:13" ht="72.5" x14ac:dyDescent="0.35">
      <c r="B158" s="32" t="s">
        <v>230</v>
      </c>
      <c r="C158" s="32" t="s">
        <v>232</v>
      </c>
      <c r="D158" s="74">
        <v>5.5858310626702996E-2</v>
      </c>
      <c r="E158" s="11" t="s">
        <v>292</v>
      </c>
      <c r="F158" s="11" t="s">
        <v>292</v>
      </c>
      <c r="G158" s="74">
        <v>0.9</v>
      </c>
      <c r="H158" s="85" t="s">
        <v>292</v>
      </c>
      <c r="I158" s="85">
        <v>0</v>
      </c>
      <c r="J158" s="85" t="s">
        <v>292</v>
      </c>
      <c r="K158" s="76">
        <f>D158*G158</f>
        <v>5.0272479564032697E-2</v>
      </c>
      <c r="L158" s="77" t="s">
        <v>896</v>
      </c>
      <c r="M158" s="10" t="s">
        <v>776</v>
      </c>
    </row>
    <row r="159" spans="2:13" x14ac:dyDescent="0.35">
      <c r="B159" s="83" t="s">
        <v>230</v>
      </c>
      <c r="C159" s="83" t="s">
        <v>897</v>
      </c>
      <c r="D159" s="126" t="s">
        <v>447</v>
      </c>
      <c r="E159" s="126" t="s">
        <v>447</v>
      </c>
      <c r="F159" s="126" t="s">
        <v>447</v>
      </c>
      <c r="G159" s="126" t="s">
        <v>447</v>
      </c>
      <c r="H159" s="126" t="s">
        <v>447</v>
      </c>
      <c r="I159" s="126" t="s">
        <v>447</v>
      </c>
      <c r="J159" s="126" t="s">
        <v>447</v>
      </c>
      <c r="K159" s="84">
        <f>SUM(K157:K158)</f>
        <v>0.70013623978201633</v>
      </c>
      <c r="L159" s="125" t="s">
        <v>447</v>
      </c>
      <c r="M159" s="125"/>
    </row>
    <row r="160" spans="2:13" ht="72.5" x14ac:dyDescent="0.35">
      <c r="B160" s="32" t="s">
        <v>233</v>
      </c>
      <c r="C160" s="32" t="s">
        <v>235</v>
      </c>
      <c r="D160" s="74">
        <v>0.85599999999999998</v>
      </c>
      <c r="E160" s="11" t="s">
        <v>292</v>
      </c>
      <c r="F160" s="11" t="s">
        <v>292</v>
      </c>
      <c r="G160" s="11" t="s">
        <v>292</v>
      </c>
      <c r="H160" s="85" t="s">
        <v>292</v>
      </c>
      <c r="I160" s="74">
        <v>0.27</v>
      </c>
      <c r="J160" s="74">
        <v>0.65</v>
      </c>
      <c r="K160" s="76">
        <f>D160*J160*(1-I160)</f>
        <v>0.40617199999999998</v>
      </c>
      <c r="L160" s="77" t="s">
        <v>898</v>
      </c>
      <c r="M160" s="10" t="s">
        <v>776</v>
      </c>
    </row>
    <row r="161" spans="2:13" ht="72.5" x14ac:dyDescent="0.35">
      <c r="B161" s="32" t="s">
        <v>233</v>
      </c>
      <c r="C161" s="32" t="s">
        <v>239</v>
      </c>
      <c r="D161" s="74">
        <v>5.1000000000000004E-2</v>
      </c>
      <c r="E161" s="11" t="s">
        <v>292</v>
      </c>
      <c r="F161" s="11" t="s">
        <v>292</v>
      </c>
      <c r="G161" s="11" t="s">
        <v>292</v>
      </c>
      <c r="H161" s="85" t="s">
        <v>292</v>
      </c>
      <c r="I161" s="74">
        <v>0.27</v>
      </c>
      <c r="J161" s="74">
        <v>0.65</v>
      </c>
      <c r="K161" s="76">
        <f>D161*J161*(1-I161)</f>
        <v>2.4199500000000002E-2</v>
      </c>
      <c r="L161" s="77" t="s">
        <v>899</v>
      </c>
      <c r="M161" s="10" t="s">
        <v>776</v>
      </c>
    </row>
    <row r="162" spans="2:13" ht="101.5" x14ac:dyDescent="0.35">
      <c r="B162" s="32" t="s">
        <v>233</v>
      </c>
      <c r="C162" s="32" t="s">
        <v>240</v>
      </c>
      <c r="D162" s="74">
        <v>5.1000000000000004E-2</v>
      </c>
      <c r="E162" s="11" t="s">
        <v>292</v>
      </c>
      <c r="F162" s="11" t="s">
        <v>292</v>
      </c>
      <c r="G162" s="11" t="s">
        <v>292</v>
      </c>
      <c r="H162" s="74">
        <v>0.5</v>
      </c>
      <c r="I162" s="74">
        <v>0.27</v>
      </c>
      <c r="J162" s="11" t="s">
        <v>292</v>
      </c>
      <c r="K162" s="76">
        <f>D162*I162*H162</f>
        <v>6.8850000000000014E-3</v>
      </c>
      <c r="L162" s="77" t="s">
        <v>989</v>
      </c>
      <c r="M162" s="10" t="s">
        <v>825</v>
      </c>
    </row>
    <row r="163" spans="2:13" ht="72.5" x14ac:dyDescent="0.35">
      <c r="B163" s="32" t="s">
        <v>233</v>
      </c>
      <c r="C163" s="32" t="s">
        <v>237</v>
      </c>
      <c r="D163" s="74">
        <v>4.3999999999999997E-2</v>
      </c>
      <c r="E163" s="11" t="s">
        <v>292</v>
      </c>
      <c r="F163" s="11" t="s">
        <v>292</v>
      </c>
      <c r="G163" s="11" t="s">
        <v>292</v>
      </c>
      <c r="H163" s="85" t="s">
        <v>292</v>
      </c>
      <c r="I163" s="74">
        <v>0.27</v>
      </c>
      <c r="J163" s="74">
        <v>0.65</v>
      </c>
      <c r="K163" s="76">
        <f>D163*J163*(1-I163)</f>
        <v>2.0878000000000001E-2</v>
      </c>
      <c r="L163" s="77" t="s">
        <v>900</v>
      </c>
      <c r="M163" s="10" t="s">
        <v>776</v>
      </c>
    </row>
    <row r="164" spans="2:13" x14ac:dyDescent="0.35">
      <c r="B164" s="83" t="s">
        <v>233</v>
      </c>
      <c r="C164" s="83" t="s">
        <v>901</v>
      </c>
      <c r="D164" s="126" t="s">
        <v>447</v>
      </c>
      <c r="E164" s="126" t="s">
        <v>447</v>
      </c>
      <c r="F164" s="126" t="s">
        <v>447</v>
      </c>
      <c r="G164" s="126" t="s">
        <v>447</v>
      </c>
      <c r="H164" s="126" t="s">
        <v>447</v>
      </c>
      <c r="I164" s="126" t="s">
        <v>447</v>
      </c>
      <c r="J164" s="126" t="s">
        <v>447</v>
      </c>
      <c r="K164" s="84">
        <f>SUM(K160:K163)</f>
        <v>0.45813449999999994</v>
      </c>
      <c r="L164" s="125" t="s">
        <v>447</v>
      </c>
      <c r="M164" s="125"/>
    </row>
    <row r="165" spans="2:13" ht="101.5" x14ac:dyDescent="0.35">
      <c r="B165" s="32" t="s">
        <v>241</v>
      </c>
      <c r="C165" s="32" t="s">
        <v>243</v>
      </c>
      <c r="D165" s="74">
        <v>0.10168821980085825</v>
      </c>
      <c r="E165" s="11" t="s">
        <v>292</v>
      </c>
      <c r="F165" s="11" t="s">
        <v>292</v>
      </c>
      <c r="G165" s="74">
        <v>0.86</v>
      </c>
      <c r="H165" s="85" t="s">
        <v>292</v>
      </c>
      <c r="I165" s="74">
        <v>0.23</v>
      </c>
      <c r="J165" s="11" t="s">
        <v>292</v>
      </c>
      <c r="K165" s="76">
        <f>D165*G165*(1-I165)</f>
        <v>6.7337939152128337E-2</v>
      </c>
      <c r="L165" s="77" t="s">
        <v>902</v>
      </c>
      <c r="M165" s="10" t="s">
        <v>776</v>
      </c>
    </row>
    <row r="166" spans="2:13" ht="87" x14ac:dyDescent="0.35">
      <c r="B166" s="32" t="s">
        <v>241</v>
      </c>
      <c r="C166" s="32" t="s">
        <v>258</v>
      </c>
      <c r="D166" s="74">
        <v>0.10168821980085825</v>
      </c>
      <c r="E166" s="11" t="s">
        <v>292</v>
      </c>
      <c r="F166" s="11" t="s">
        <v>292</v>
      </c>
      <c r="G166" s="74">
        <v>0.12</v>
      </c>
      <c r="H166" s="85" t="s">
        <v>292</v>
      </c>
      <c r="I166" s="74">
        <v>0.23</v>
      </c>
      <c r="J166" s="11" t="s">
        <v>292</v>
      </c>
      <c r="K166" s="76">
        <f>D166*G166*(1-I166)</f>
        <v>9.3959915095993031E-3</v>
      </c>
      <c r="L166" s="77" t="s">
        <v>903</v>
      </c>
      <c r="M166" s="10" t="s">
        <v>776</v>
      </c>
    </row>
    <row r="167" spans="2:13" ht="72.5" x14ac:dyDescent="0.35">
      <c r="B167" s="32" t="s">
        <v>241</v>
      </c>
      <c r="C167" s="32" t="s">
        <v>259</v>
      </c>
      <c r="D167" s="74">
        <v>9.7005331692210303E-2</v>
      </c>
      <c r="E167" s="11" t="s">
        <v>292</v>
      </c>
      <c r="F167" s="11" t="s">
        <v>292</v>
      </c>
      <c r="G167" s="74">
        <v>0.1</v>
      </c>
      <c r="H167" s="85" t="s">
        <v>292</v>
      </c>
      <c r="I167" s="74">
        <v>0.23</v>
      </c>
      <c r="J167" s="11" t="s">
        <v>292</v>
      </c>
      <c r="K167" s="76">
        <f>D167*G167*I167</f>
        <v>2.2311226289208372E-3</v>
      </c>
      <c r="L167" s="77" t="s">
        <v>904</v>
      </c>
      <c r="M167" s="10" t="s">
        <v>825</v>
      </c>
    </row>
    <row r="168" spans="2:13" ht="72.5" x14ac:dyDescent="0.35">
      <c r="B168" s="32" t="s">
        <v>241</v>
      </c>
      <c r="C168" s="32" t="s">
        <v>256</v>
      </c>
      <c r="D168" s="74">
        <v>9.4946715533557144E-2</v>
      </c>
      <c r="E168" s="11" t="s">
        <v>292</v>
      </c>
      <c r="F168" s="11" t="s">
        <v>292</v>
      </c>
      <c r="G168" s="11" t="s">
        <v>292</v>
      </c>
      <c r="H168" s="85" t="s">
        <v>292</v>
      </c>
      <c r="I168" s="74">
        <v>0.23</v>
      </c>
      <c r="J168" s="11" t="s">
        <v>292</v>
      </c>
      <c r="K168" s="76">
        <f>D168*(1-I168)</f>
        <v>7.3108970960839001E-2</v>
      </c>
      <c r="L168" s="77" t="s">
        <v>905</v>
      </c>
      <c r="M168" s="10" t="s">
        <v>778</v>
      </c>
    </row>
    <row r="169" spans="2:13" ht="72.5" x14ac:dyDescent="0.35">
      <c r="B169" s="32" t="s">
        <v>241</v>
      </c>
      <c r="C169" s="32" t="s">
        <v>257</v>
      </c>
      <c r="D169" s="74">
        <v>3.2466787813857825E-2</v>
      </c>
      <c r="E169" s="11" t="s">
        <v>292</v>
      </c>
      <c r="F169" s="11" t="s">
        <v>292</v>
      </c>
      <c r="G169" s="11" t="s">
        <v>292</v>
      </c>
      <c r="H169" s="85" t="s">
        <v>292</v>
      </c>
      <c r="I169" s="74">
        <v>0.23</v>
      </c>
      <c r="J169" s="11" t="s">
        <v>292</v>
      </c>
      <c r="K169" s="76">
        <f>D169*(1-I169)</f>
        <v>2.4999426616670525E-2</v>
      </c>
      <c r="L169" s="77" t="s">
        <v>906</v>
      </c>
      <c r="M169" s="10" t="s">
        <v>778</v>
      </c>
    </row>
    <row r="170" spans="2:13" ht="87" x14ac:dyDescent="0.35">
      <c r="B170" s="32" t="s">
        <v>241</v>
      </c>
      <c r="C170" s="32" t="s">
        <v>255</v>
      </c>
      <c r="D170" s="74">
        <v>3.0087633373444406E-2</v>
      </c>
      <c r="E170" s="11" t="s">
        <v>292</v>
      </c>
      <c r="F170" s="11" t="s">
        <v>292</v>
      </c>
      <c r="G170" s="74">
        <v>0.86004514672686228</v>
      </c>
      <c r="H170" s="85" t="s">
        <v>292</v>
      </c>
      <c r="I170" s="74">
        <v>0.23</v>
      </c>
      <c r="J170" s="11" t="s">
        <v>292</v>
      </c>
      <c r="K170" s="76">
        <f>D170*G170*(1-I170)</f>
        <v>1.9925076755682586E-2</v>
      </c>
      <c r="L170" s="77" t="s">
        <v>907</v>
      </c>
      <c r="M170" s="10" t="s">
        <v>776</v>
      </c>
    </row>
    <row r="171" spans="2:13" ht="116" x14ac:dyDescent="0.35">
      <c r="B171" s="32" t="s">
        <v>241</v>
      </c>
      <c r="C171" s="32" t="s">
        <v>248</v>
      </c>
      <c r="D171" s="74">
        <v>3.0087633373444406E-2</v>
      </c>
      <c r="E171" s="11" t="s">
        <v>292</v>
      </c>
      <c r="F171" s="11" t="s">
        <v>292</v>
      </c>
      <c r="G171" s="74">
        <v>0.13995485327313772</v>
      </c>
      <c r="H171" s="74">
        <v>0.16666666666666666</v>
      </c>
      <c r="I171" s="74">
        <v>0.23</v>
      </c>
      <c r="J171" s="11" t="s">
        <v>292</v>
      </c>
      <c r="K171" s="76">
        <f>D171*G171*H171*(1-I171)</f>
        <v>5.4040015697826786E-4</v>
      </c>
      <c r="L171" s="77" t="s">
        <v>908</v>
      </c>
      <c r="M171" s="10" t="s">
        <v>909</v>
      </c>
    </row>
    <row r="172" spans="2:13" ht="116" x14ac:dyDescent="0.35">
      <c r="B172" s="32" t="s">
        <v>241</v>
      </c>
      <c r="C172" s="32" t="s">
        <v>249</v>
      </c>
      <c r="D172" s="74">
        <v>3.0087633373444406E-2</v>
      </c>
      <c r="E172" s="11" t="s">
        <v>292</v>
      </c>
      <c r="F172" s="11" t="s">
        <v>292</v>
      </c>
      <c r="G172" s="74">
        <v>0.13995485327313772</v>
      </c>
      <c r="H172" s="74">
        <v>0.16666666666666666</v>
      </c>
      <c r="I172" s="74">
        <v>0.23</v>
      </c>
      <c r="J172" s="11" t="s">
        <v>292</v>
      </c>
      <c r="K172" s="76">
        <f t="shared" ref="K172:K176" si="3">D172*G172*H172*(1-I172)</f>
        <v>5.4040015697826786E-4</v>
      </c>
      <c r="L172" s="77" t="s">
        <v>908</v>
      </c>
      <c r="M172" s="10" t="s">
        <v>909</v>
      </c>
    </row>
    <row r="173" spans="2:13" ht="116" x14ac:dyDescent="0.35">
      <c r="B173" s="32" t="s">
        <v>241</v>
      </c>
      <c r="C173" s="32" t="s">
        <v>250</v>
      </c>
      <c r="D173" s="74">
        <v>3.0087633373444406E-2</v>
      </c>
      <c r="E173" s="11" t="s">
        <v>292</v>
      </c>
      <c r="F173" s="11" t="s">
        <v>292</v>
      </c>
      <c r="G173" s="74">
        <v>0.13995485327313772</v>
      </c>
      <c r="H173" s="74">
        <v>0.16666666666666666</v>
      </c>
      <c r="I173" s="74">
        <v>0.23</v>
      </c>
      <c r="J173" s="11" t="s">
        <v>292</v>
      </c>
      <c r="K173" s="76">
        <f t="shared" si="3"/>
        <v>5.4040015697826786E-4</v>
      </c>
      <c r="L173" s="77" t="s">
        <v>908</v>
      </c>
      <c r="M173" s="10" t="s">
        <v>909</v>
      </c>
    </row>
    <row r="174" spans="2:13" ht="116" x14ac:dyDescent="0.35">
      <c r="B174" s="32" t="s">
        <v>241</v>
      </c>
      <c r="C174" s="32" t="s">
        <v>251</v>
      </c>
      <c r="D174" s="74">
        <v>3.0087633373444406E-2</v>
      </c>
      <c r="E174" s="11" t="s">
        <v>292</v>
      </c>
      <c r="F174" s="11" t="s">
        <v>292</v>
      </c>
      <c r="G174" s="74">
        <v>0.13995485327313772</v>
      </c>
      <c r="H174" s="74">
        <v>0.16666666666666666</v>
      </c>
      <c r="I174" s="74">
        <v>0.23</v>
      </c>
      <c r="J174" s="11" t="s">
        <v>292</v>
      </c>
      <c r="K174" s="76">
        <f t="shared" si="3"/>
        <v>5.4040015697826786E-4</v>
      </c>
      <c r="L174" s="77" t="s">
        <v>908</v>
      </c>
      <c r="M174" s="10" t="s">
        <v>909</v>
      </c>
    </row>
    <row r="175" spans="2:13" ht="116" x14ac:dyDescent="0.35">
      <c r="B175" s="32" t="s">
        <v>241</v>
      </c>
      <c r="C175" s="32" t="s">
        <v>252</v>
      </c>
      <c r="D175" s="74">
        <v>3.0087633373444406E-2</v>
      </c>
      <c r="E175" s="11" t="s">
        <v>292</v>
      </c>
      <c r="F175" s="11" t="s">
        <v>292</v>
      </c>
      <c r="G175" s="74">
        <v>0.13995485327313772</v>
      </c>
      <c r="H175" s="74">
        <v>0.16666666666666666</v>
      </c>
      <c r="I175" s="74">
        <v>0.23</v>
      </c>
      <c r="J175" s="11" t="s">
        <v>292</v>
      </c>
      <c r="K175" s="76">
        <f t="shared" si="3"/>
        <v>5.4040015697826786E-4</v>
      </c>
      <c r="L175" s="77" t="s">
        <v>908</v>
      </c>
      <c r="M175" s="10" t="s">
        <v>909</v>
      </c>
    </row>
    <row r="176" spans="2:13" ht="116" x14ac:dyDescent="0.35">
      <c r="B176" s="32" t="s">
        <v>241</v>
      </c>
      <c r="C176" s="32" t="s">
        <v>253</v>
      </c>
      <c r="D176" s="74">
        <v>3.0087633373444406E-2</v>
      </c>
      <c r="E176" s="11" t="s">
        <v>292</v>
      </c>
      <c r="F176" s="11" t="s">
        <v>292</v>
      </c>
      <c r="G176" s="74">
        <v>0.13995485327313772</v>
      </c>
      <c r="H176" s="74">
        <v>0.16666666666666666</v>
      </c>
      <c r="I176" s="74">
        <v>0.23</v>
      </c>
      <c r="J176" s="11" t="s">
        <v>292</v>
      </c>
      <c r="K176" s="76">
        <f t="shared" si="3"/>
        <v>5.4040015697826786E-4</v>
      </c>
      <c r="L176" s="77" t="s">
        <v>908</v>
      </c>
      <c r="M176" s="10" t="s">
        <v>909</v>
      </c>
    </row>
    <row r="177" spans="2:13" ht="87" x14ac:dyDescent="0.35">
      <c r="B177" s="32" t="s">
        <v>241</v>
      </c>
      <c r="C177" s="32" t="s">
        <v>245</v>
      </c>
      <c r="D177" s="74">
        <v>1.7165644107303975E-2</v>
      </c>
      <c r="E177" s="11" t="s">
        <v>292</v>
      </c>
      <c r="F177" s="11" t="s">
        <v>292</v>
      </c>
      <c r="G177" s="74">
        <v>0.86004514672686228</v>
      </c>
      <c r="H177" s="85" t="s">
        <v>292</v>
      </c>
      <c r="I177" s="74">
        <v>0.23</v>
      </c>
      <c r="J177" s="11" t="s">
        <v>292</v>
      </c>
      <c r="K177" s="76">
        <f>D177*G177*(1-I177)</f>
        <v>1.1367686256794057E-2</v>
      </c>
      <c r="L177" s="77" t="s">
        <v>910</v>
      </c>
      <c r="M177" s="10" t="s">
        <v>776</v>
      </c>
    </row>
    <row r="178" spans="2:13" ht="87" x14ac:dyDescent="0.35">
      <c r="B178" s="32" t="s">
        <v>241</v>
      </c>
      <c r="C178" s="32" t="s">
        <v>246</v>
      </c>
      <c r="D178" s="74">
        <v>1.7165644107303975E-2</v>
      </c>
      <c r="E178" s="11" t="s">
        <v>292</v>
      </c>
      <c r="F178" s="11" t="s">
        <v>292</v>
      </c>
      <c r="G178" s="74">
        <v>0.13995485327313772</v>
      </c>
      <c r="H178" s="85" t="s">
        <v>292</v>
      </c>
      <c r="I178" s="74">
        <v>0.23</v>
      </c>
      <c r="J178" s="11" t="s">
        <v>292</v>
      </c>
      <c r="K178" s="76">
        <f>D178*G178*(1-I178)</f>
        <v>1.8498597058300044E-3</v>
      </c>
      <c r="L178" s="77" t="s">
        <v>911</v>
      </c>
      <c r="M178" s="10" t="s">
        <v>776</v>
      </c>
    </row>
    <row r="179" spans="2:13" x14ac:dyDescent="0.35">
      <c r="B179" s="83" t="s">
        <v>241</v>
      </c>
      <c r="C179" s="83" t="s">
        <v>912</v>
      </c>
      <c r="D179" s="126" t="s">
        <v>447</v>
      </c>
      <c r="E179" s="126" t="s">
        <v>447</v>
      </c>
      <c r="F179" s="126" t="s">
        <v>447</v>
      </c>
      <c r="G179" s="126" t="s">
        <v>447</v>
      </c>
      <c r="H179" s="126" t="s">
        <v>447</v>
      </c>
      <c r="I179" s="126" t="s">
        <v>447</v>
      </c>
      <c r="J179" s="126" t="s">
        <v>447</v>
      </c>
      <c r="K179" s="84">
        <f>SUM(K165:K178)</f>
        <v>0.21345847452833422</v>
      </c>
      <c r="L179" s="125" t="s">
        <v>447</v>
      </c>
      <c r="M179" s="125"/>
    </row>
    <row r="180" spans="2:13" ht="72.5" x14ac:dyDescent="0.35">
      <c r="B180" s="32" t="s">
        <v>260</v>
      </c>
      <c r="C180" s="32" t="s">
        <v>261</v>
      </c>
      <c r="D180" s="11" t="s">
        <v>292</v>
      </c>
      <c r="E180" s="11" t="s">
        <v>292</v>
      </c>
      <c r="F180" s="11" t="s">
        <v>292</v>
      </c>
      <c r="G180" s="74">
        <v>0.33</v>
      </c>
      <c r="H180" s="85" t="s">
        <v>292</v>
      </c>
      <c r="I180" s="85" t="s">
        <v>292</v>
      </c>
      <c r="J180" s="85" t="s">
        <v>292</v>
      </c>
      <c r="K180" s="76">
        <f>G180</f>
        <v>0.33</v>
      </c>
      <c r="L180" s="77" t="s">
        <v>913</v>
      </c>
      <c r="M180" s="10" t="s">
        <v>292</v>
      </c>
    </row>
    <row r="181" spans="2:13" x14ac:dyDescent="0.35">
      <c r="B181" s="83" t="s">
        <v>260</v>
      </c>
      <c r="C181" s="83" t="s">
        <v>914</v>
      </c>
      <c r="D181" s="126" t="s">
        <v>447</v>
      </c>
      <c r="E181" s="126" t="s">
        <v>447</v>
      </c>
      <c r="F181" s="126" t="s">
        <v>447</v>
      </c>
      <c r="G181" s="126" t="s">
        <v>447</v>
      </c>
      <c r="H181" s="126" t="s">
        <v>447</v>
      </c>
      <c r="I181" s="126" t="s">
        <v>447</v>
      </c>
      <c r="J181" s="126" t="s">
        <v>447</v>
      </c>
      <c r="K181" s="84">
        <f>K180</f>
        <v>0.33</v>
      </c>
      <c r="L181" s="125" t="s">
        <v>447</v>
      </c>
      <c r="M181" s="125"/>
    </row>
    <row r="182" spans="2:13" ht="87" x14ac:dyDescent="0.35">
      <c r="B182" s="32" t="s">
        <v>262</v>
      </c>
      <c r="C182" s="32" t="s">
        <v>271</v>
      </c>
      <c r="D182" s="74">
        <v>0.43200000000000005</v>
      </c>
      <c r="E182" s="11" t="s">
        <v>292</v>
      </c>
      <c r="F182" s="74">
        <v>0.92558589459145968</v>
      </c>
      <c r="G182" s="11" t="s">
        <v>292</v>
      </c>
      <c r="H182" s="85" t="s">
        <v>292</v>
      </c>
      <c r="I182" s="74">
        <v>0.5</v>
      </c>
      <c r="J182" s="85" t="s">
        <v>292</v>
      </c>
      <c r="K182" s="76">
        <f>D182*F182*(1-I182)</f>
        <v>0.19992655323175532</v>
      </c>
      <c r="L182" s="77" t="s">
        <v>915</v>
      </c>
      <c r="M182" s="10" t="s">
        <v>823</v>
      </c>
    </row>
    <row r="183" spans="2:13" ht="87" x14ac:dyDescent="0.35">
      <c r="B183" s="32" t="s">
        <v>262</v>
      </c>
      <c r="C183" s="32" t="s">
        <v>266</v>
      </c>
      <c r="D183" s="74">
        <v>0.43200000000000005</v>
      </c>
      <c r="E183" s="11" t="s">
        <v>292</v>
      </c>
      <c r="F183" s="74">
        <v>2.4988153142378983E-2</v>
      </c>
      <c r="G183" s="11" t="s">
        <v>292</v>
      </c>
      <c r="H183" s="85" t="s">
        <v>292</v>
      </c>
      <c r="I183" s="74">
        <v>0.5</v>
      </c>
      <c r="J183" s="85" t="s">
        <v>292</v>
      </c>
      <c r="K183" s="76">
        <f>D183*F183*(1-I183)</f>
        <v>5.3974410787538613E-3</v>
      </c>
      <c r="L183" s="77" t="s">
        <v>915</v>
      </c>
      <c r="M183" s="10" t="s">
        <v>823</v>
      </c>
    </row>
    <row r="184" spans="2:13" ht="87" x14ac:dyDescent="0.35">
      <c r="B184" s="32" t="s">
        <v>262</v>
      </c>
      <c r="C184" s="32" t="s">
        <v>268</v>
      </c>
      <c r="D184" s="74">
        <v>0.43200000000000005</v>
      </c>
      <c r="E184" s="11" t="s">
        <v>292</v>
      </c>
      <c r="F184" s="74">
        <v>2.4988153142378983E-2</v>
      </c>
      <c r="G184" s="11" t="s">
        <v>292</v>
      </c>
      <c r="H184" s="85" t="s">
        <v>292</v>
      </c>
      <c r="I184" s="74">
        <v>0.5</v>
      </c>
      <c r="J184" s="85" t="s">
        <v>292</v>
      </c>
      <c r="K184" s="76">
        <f>D184*F184*(1-I184)</f>
        <v>5.3974410787538613E-3</v>
      </c>
      <c r="L184" s="77" t="s">
        <v>915</v>
      </c>
      <c r="M184" s="10" t="s">
        <v>823</v>
      </c>
    </row>
    <row r="185" spans="2:13" ht="87" x14ac:dyDescent="0.35">
      <c r="B185" s="32" t="s">
        <v>262</v>
      </c>
      <c r="C185" s="32" t="s">
        <v>270</v>
      </c>
      <c r="D185" s="74">
        <v>0.43200000000000005</v>
      </c>
      <c r="E185" s="11" t="s">
        <v>292</v>
      </c>
      <c r="F185" s="74">
        <v>2.4437799123782418E-2</v>
      </c>
      <c r="G185" s="11" t="s">
        <v>292</v>
      </c>
      <c r="H185" s="85" t="s">
        <v>292</v>
      </c>
      <c r="I185" s="74">
        <v>0.5</v>
      </c>
      <c r="J185" s="85" t="s">
        <v>292</v>
      </c>
      <c r="K185" s="76">
        <f>D185*F185*(1-I185)</f>
        <v>5.278564610737003E-3</v>
      </c>
      <c r="L185" s="77" t="s">
        <v>915</v>
      </c>
      <c r="M185" s="10" t="s">
        <v>823</v>
      </c>
    </row>
    <row r="186" spans="2:13" ht="58" x14ac:dyDescent="0.35">
      <c r="B186" s="32" t="s">
        <v>262</v>
      </c>
      <c r="C186" s="32" t="s">
        <v>264</v>
      </c>
      <c r="D186" s="74">
        <v>0.43200000000000005</v>
      </c>
      <c r="E186" s="11" t="s">
        <v>292</v>
      </c>
      <c r="F186" s="11" t="s">
        <v>292</v>
      </c>
      <c r="G186" s="11" t="s">
        <v>292</v>
      </c>
      <c r="H186" s="85" t="s">
        <v>292</v>
      </c>
      <c r="I186" s="74">
        <v>0.5</v>
      </c>
      <c r="J186" s="85" t="s">
        <v>292</v>
      </c>
      <c r="K186" s="76">
        <f>D186*I186</f>
        <v>0.21600000000000003</v>
      </c>
      <c r="L186" s="77" t="s">
        <v>916</v>
      </c>
      <c r="M186" s="10" t="s">
        <v>794</v>
      </c>
    </row>
    <row r="187" spans="2:13" ht="72.5" x14ac:dyDescent="0.35">
      <c r="B187" s="32" t="s">
        <v>262</v>
      </c>
      <c r="C187" s="32" t="s">
        <v>191</v>
      </c>
      <c r="D187" s="74">
        <v>0.114</v>
      </c>
      <c r="E187" s="11" t="s">
        <v>292</v>
      </c>
      <c r="F187" s="11" t="s">
        <v>292</v>
      </c>
      <c r="G187" s="11" t="s">
        <v>292</v>
      </c>
      <c r="H187" s="85" t="s">
        <v>292</v>
      </c>
      <c r="I187" s="74">
        <v>0.5</v>
      </c>
      <c r="J187" s="85" t="s">
        <v>292</v>
      </c>
      <c r="K187" s="76">
        <f>D187*(1-I187)</f>
        <v>5.7000000000000002E-2</v>
      </c>
      <c r="L187" s="77" t="s">
        <v>917</v>
      </c>
      <c r="M187" s="10" t="s">
        <v>778</v>
      </c>
    </row>
    <row r="188" spans="2:13" ht="87" x14ac:dyDescent="0.35">
      <c r="B188" s="32" t="s">
        <v>262</v>
      </c>
      <c r="C188" s="32" t="s">
        <v>272</v>
      </c>
      <c r="D188" s="74">
        <v>6.0000000000000001E-3</v>
      </c>
      <c r="E188" s="11" t="s">
        <v>292</v>
      </c>
      <c r="F188" s="11" t="s">
        <v>292</v>
      </c>
      <c r="G188" s="74">
        <v>0.05</v>
      </c>
      <c r="H188" s="85" t="s">
        <v>292</v>
      </c>
      <c r="I188" s="74">
        <v>0.5</v>
      </c>
      <c r="J188" s="85" t="s">
        <v>292</v>
      </c>
      <c r="K188" s="78">
        <f>D188*G188*(1-I188)</f>
        <v>1.5000000000000001E-4</v>
      </c>
      <c r="L188" s="77" t="s">
        <v>918</v>
      </c>
      <c r="M188" s="10" t="s">
        <v>776</v>
      </c>
    </row>
    <row r="189" spans="2:13" x14ac:dyDescent="0.35">
      <c r="B189" s="83" t="s">
        <v>262</v>
      </c>
      <c r="C189" s="83" t="s">
        <v>919</v>
      </c>
      <c r="D189" s="126" t="s">
        <v>447</v>
      </c>
      <c r="E189" s="126" t="s">
        <v>447</v>
      </c>
      <c r="F189" s="126" t="s">
        <v>447</v>
      </c>
      <c r="G189" s="126" t="s">
        <v>447</v>
      </c>
      <c r="H189" s="126" t="s">
        <v>447</v>
      </c>
      <c r="I189" s="126" t="s">
        <v>447</v>
      </c>
      <c r="J189" s="126" t="s">
        <v>447</v>
      </c>
      <c r="K189" s="84">
        <f>SUM(K182:K188)</f>
        <v>0.48915000000000003</v>
      </c>
      <c r="L189" s="125" t="s">
        <v>447</v>
      </c>
      <c r="M189" s="125"/>
    </row>
    <row r="190" spans="2:13" ht="87" x14ac:dyDescent="0.35">
      <c r="B190" s="32" t="s">
        <v>273</v>
      </c>
      <c r="C190" s="32" t="s">
        <v>274</v>
      </c>
      <c r="D190" s="74">
        <v>2.2615094678273356E-2</v>
      </c>
      <c r="E190" s="11" t="s">
        <v>292</v>
      </c>
      <c r="F190" s="11" t="s">
        <v>292</v>
      </c>
      <c r="G190" s="74">
        <v>0.54</v>
      </c>
      <c r="H190" s="85" t="s">
        <v>292</v>
      </c>
      <c r="I190" s="74">
        <v>0.01</v>
      </c>
      <c r="J190" s="11" t="s">
        <v>292</v>
      </c>
      <c r="K190" s="76">
        <f>D190*G190*(1-I190)</f>
        <v>1.2090029615004938E-2</v>
      </c>
      <c r="L190" s="77" t="s">
        <v>920</v>
      </c>
      <c r="M190" s="10" t="s">
        <v>776</v>
      </c>
    </row>
    <row r="191" spans="2:13" x14ac:dyDescent="0.35">
      <c r="B191" s="83" t="s">
        <v>273</v>
      </c>
      <c r="C191" s="83" t="s">
        <v>921</v>
      </c>
      <c r="D191" s="126" t="s">
        <v>447</v>
      </c>
      <c r="E191" s="126" t="s">
        <v>447</v>
      </c>
      <c r="F191" s="126" t="s">
        <v>447</v>
      </c>
      <c r="G191" s="126" t="s">
        <v>447</v>
      </c>
      <c r="H191" s="126" t="s">
        <v>447</v>
      </c>
      <c r="I191" s="126" t="s">
        <v>447</v>
      </c>
      <c r="J191" s="126" t="s">
        <v>447</v>
      </c>
      <c r="K191" s="84">
        <f>K190</f>
        <v>1.2090029615004938E-2</v>
      </c>
      <c r="L191" s="125" t="s">
        <v>447</v>
      </c>
      <c r="M191" s="125"/>
    </row>
    <row r="192" spans="2:13" ht="72.5" x14ac:dyDescent="0.35">
      <c r="B192" s="32" t="s">
        <v>275</v>
      </c>
      <c r="C192" s="32" t="s">
        <v>277</v>
      </c>
      <c r="D192" s="74">
        <v>0.95</v>
      </c>
      <c r="E192" s="11" t="s">
        <v>292</v>
      </c>
      <c r="F192" s="11" t="s">
        <v>292</v>
      </c>
      <c r="G192" s="85" t="s">
        <v>292</v>
      </c>
      <c r="H192" s="85" t="s">
        <v>292</v>
      </c>
      <c r="I192" s="74">
        <v>0.10800000000000001</v>
      </c>
      <c r="J192" s="85" t="s">
        <v>292</v>
      </c>
      <c r="K192" s="76">
        <f>D192*(1-I192)</f>
        <v>0.84739999999999993</v>
      </c>
      <c r="L192" s="77" t="s">
        <v>922</v>
      </c>
      <c r="M192" s="10" t="s">
        <v>778</v>
      </c>
    </row>
    <row r="193" spans="2:13" ht="58" x14ac:dyDescent="0.35">
      <c r="B193" s="32" t="s">
        <v>275</v>
      </c>
      <c r="C193" s="32" t="s">
        <v>278</v>
      </c>
      <c r="D193" s="74">
        <v>0.7</v>
      </c>
      <c r="E193" s="11" t="s">
        <v>292</v>
      </c>
      <c r="F193" s="11" t="s">
        <v>292</v>
      </c>
      <c r="G193" s="85" t="s">
        <v>292</v>
      </c>
      <c r="H193" s="85" t="s">
        <v>292</v>
      </c>
      <c r="I193" s="74">
        <v>0.10800000000000001</v>
      </c>
      <c r="J193" s="85" t="s">
        <v>292</v>
      </c>
      <c r="K193" s="76">
        <f>D193*I193</f>
        <v>7.5600000000000001E-2</v>
      </c>
      <c r="L193" s="77" t="s">
        <v>923</v>
      </c>
      <c r="M193" s="10" t="s">
        <v>794</v>
      </c>
    </row>
    <row r="194" spans="2:13" ht="29" x14ac:dyDescent="0.35">
      <c r="B194" s="83" t="s">
        <v>275</v>
      </c>
      <c r="C194" s="83" t="s">
        <v>924</v>
      </c>
      <c r="D194" s="126" t="s">
        <v>447</v>
      </c>
      <c r="E194" s="126" t="s">
        <v>447</v>
      </c>
      <c r="F194" s="126" t="s">
        <v>447</v>
      </c>
      <c r="G194" s="126" t="s">
        <v>447</v>
      </c>
      <c r="H194" s="126" t="s">
        <v>447</v>
      </c>
      <c r="I194" s="126" t="s">
        <v>447</v>
      </c>
      <c r="J194" s="126" t="s">
        <v>447</v>
      </c>
      <c r="K194" s="84">
        <f>SUM(K192:K193)</f>
        <v>0.92299999999999993</v>
      </c>
      <c r="L194" s="125" t="s">
        <v>447</v>
      </c>
      <c r="M194" s="125"/>
    </row>
    <row r="195" spans="2:13" ht="87" x14ac:dyDescent="0.35">
      <c r="B195" s="32" t="s">
        <v>279</v>
      </c>
      <c r="C195" s="32" t="s">
        <v>285</v>
      </c>
      <c r="D195" s="74">
        <v>0.62409999999999999</v>
      </c>
      <c r="E195" s="74">
        <v>0.32</v>
      </c>
      <c r="F195" s="11" t="s">
        <v>292</v>
      </c>
      <c r="G195" s="85" t="s">
        <v>292</v>
      </c>
      <c r="H195" s="85" t="s">
        <v>292</v>
      </c>
      <c r="I195" s="74">
        <v>0.01</v>
      </c>
      <c r="J195" s="85" t="s">
        <v>292</v>
      </c>
      <c r="K195" s="76">
        <f>(E195/SUM(E196,E195,E197))*D195*(1-I195)</f>
        <v>0.31679999999999997</v>
      </c>
      <c r="L195" s="77" t="s">
        <v>925</v>
      </c>
      <c r="M195" s="10" t="s">
        <v>774</v>
      </c>
    </row>
    <row r="196" spans="2:13" ht="87" x14ac:dyDescent="0.35">
      <c r="B196" s="32" t="s">
        <v>279</v>
      </c>
      <c r="C196" s="32" t="s">
        <v>281</v>
      </c>
      <c r="D196" s="74">
        <v>0.62409999999999999</v>
      </c>
      <c r="E196" s="74">
        <v>0.23409999999999997</v>
      </c>
      <c r="F196" s="11" t="s">
        <v>292</v>
      </c>
      <c r="G196" s="85" t="s">
        <v>292</v>
      </c>
      <c r="H196" s="85" t="s">
        <v>292</v>
      </c>
      <c r="I196" s="74">
        <v>0.01</v>
      </c>
      <c r="J196" s="85" t="s">
        <v>292</v>
      </c>
      <c r="K196" s="76">
        <f>(E196/SUM(E196,E195,E197))*D196*(1-I196)</f>
        <v>0.23175899999999991</v>
      </c>
      <c r="L196" s="77" t="s">
        <v>925</v>
      </c>
      <c r="M196" s="10" t="s">
        <v>774</v>
      </c>
    </row>
    <row r="197" spans="2:13" ht="87" x14ac:dyDescent="0.35">
      <c r="B197" s="32" t="s">
        <v>279</v>
      </c>
      <c r="C197" s="32" t="s">
        <v>287</v>
      </c>
      <c r="D197" s="74">
        <v>0.62409999999999999</v>
      </c>
      <c r="E197" s="74">
        <v>7.0000000000000007E-2</v>
      </c>
      <c r="F197" s="11" t="s">
        <v>292</v>
      </c>
      <c r="G197" s="85" t="s">
        <v>292</v>
      </c>
      <c r="H197" s="85" t="s">
        <v>292</v>
      </c>
      <c r="I197" s="74">
        <v>0.01</v>
      </c>
      <c r="J197" s="85" t="s">
        <v>292</v>
      </c>
      <c r="K197" s="76">
        <f>(E197/SUM(E196,E195,E197))*D197*(1-I197)</f>
        <v>6.9299999999999987E-2</v>
      </c>
      <c r="L197" s="77" t="s">
        <v>925</v>
      </c>
      <c r="M197" s="10" t="s">
        <v>774</v>
      </c>
    </row>
    <row r="198" spans="2:13" ht="72.5" x14ac:dyDescent="0.35">
      <c r="B198" s="32" t="s">
        <v>279</v>
      </c>
      <c r="C198" s="32" t="s">
        <v>283</v>
      </c>
      <c r="D198" s="74">
        <v>0.15759999999999999</v>
      </c>
      <c r="E198" s="85" t="s">
        <v>292</v>
      </c>
      <c r="F198" s="11" t="s">
        <v>292</v>
      </c>
      <c r="G198" s="85" t="s">
        <v>292</v>
      </c>
      <c r="H198" s="85" t="s">
        <v>292</v>
      </c>
      <c r="I198" s="74">
        <v>0.01</v>
      </c>
      <c r="J198" s="85" t="s">
        <v>292</v>
      </c>
      <c r="K198" s="76">
        <f>D198*(1-I198)</f>
        <v>0.156024</v>
      </c>
      <c r="L198" s="77" t="s">
        <v>926</v>
      </c>
      <c r="M198" s="10" t="s">
        <v>778</v>
      </c>
    </row>
    <row r="199" spans="2:13" ht="72.5" x14ac:dyDescent="0.35">
      <c r="B199" s="32" t="s">
        <v>279</v>
      </c>
      <c r="C199" s="32" t="s">
        <v>289</v>
      </c>
      <c r="D199" s="74">
        <v>8.1600000000000006E-2</v>
      </c>
      <c r="E199" s="85" t="s">
        <v>292</v>
      </c>
      <c r="F199" s="11" t="s">
        <v>292</v>
      </c>
      <c r="G199" s="85" t="s">
        <v>292</v>
      </c>
      <c r="H199" s="85" t="s">
        <v>292</v>
      </c>
      <c r="I199" s="74">
        <v>0.01</v>
      </c>
      <c r="J199" s="85" t="s">
        <v>292</v>
      </c>
      <c r="K199" s="76">
        <f>D199*(1-I199)</f>
        <v>8.0784000000000009E-2</v>
      </c>
      <c r="L199" s="77" t="s">
        <v>927</v>
      </c>
      <c r="M199" s="10" t="s">
        <v>778</v>
      </c>
    </row>
    <row r="200" spans="2:13" x14ac:dyDescent="0.35">
      <c r="B200" s="83" t="s">
        <v>279</v>
      </c>
      <c r="C200" s="83" t="s">
        <v>928</v>
      </c>
      <c r="D200" s="126" t="s">
        <v>447</v>
      </c>
      <c r="E200" s="126" t="s">
        <v>447</v>
      </c>
      <c r="F200" s="126" t="s">
        <v>447</v>
      </c>
      <c r="G200" s="126" t="s">
        <v>447</v>
      </c>
      <c r="H200" s="126" t="s">
        <v>447</v>
      </c>
      <c r="I200" s="126" t="s">
        <v>447</v>
      </c>
      <c r="J200" s="126" t="s">
        <v>447</v>
      </c>
      <c r="K200" s="84">
        <f>SUM(K195:K199)</f>
        <v>0.85466699999999984</v>
      </c>
      <c r="L200" s="125" t="s">
        <v>447</v>
      </c>
      <c r="M200" s="125"/>
    </row>
  </sheetData>
  <mergeCells count="70">
    <mergeCell ref="D200:J200"/>
    <mergeCell ref="L200:M200"/>
    <mergeCell ref="D189:J189"/>
    <mergeCell ref="L189:M189"/>
    <mergeCell ref="D191:J191"/>
    <mergeCell ref="L191:M191"/>
    <mergeCell ref="D194:J194"/>
    <mergeCell ref="L194:M194"/>
    <mergeCell ref="D164:J164"/>
    <mergeCell ref="L164:M164"/>
    <mergeCell ref="D179:J179"/>
    <mergeCell ref="L179:M179"/>
    <mergeCell ref="D181:J181"/>
    <mergeCell ref="L181:M181"/>
    <mergeCell ref="D154:J154"/>
    <mergeCell ref="L154:M154"/>
    <mergeCell ref="D156:J156"/>
    <mergeCell ref="L156:M156"/>
    <mergeCell ref="D159:J159"/>
    <mergeCell ref="L159:M159"/>
    <mergeCell ref="D142:J142"/>
    <mergeCell ref="L142:M142"/>
    <mergeCell ref="D147:J147"/>
    <mergeCell ref="L147:M147"/>
    <mergeCell ref="D150:J150"/>
    <mergeCell ref="L150:M150"/>
    <mergeCell ref="D133:J133"/>
    <mergeCell ref="L133:M133"/>
    <mergeCell ref="D135:J135"/>
    <mergeCell ref="L135:M135"/>
    <mergeCell ref="D138:J138"/>
    <mergeCell ref="L138:M138"/>
    <mergeCell ref="D125:J125"/>
    <mergeCell ref="L125:M125"/>
    <mergeCell ref="D127:J127"/>
    <mergeCell ref="L127:M127"/>
    <mergeCell ref="D131:J131"/>
    <mergeCell ref="L131:M131"/>
    <mergeCell ref="L99:M99"/>
    <mergeCell ref="D117:J117"/>
    <mergeCell ref="L117:M117"/>
    <mergeCell ref="D123:J123"/>
    <mergeCell ref="L123:M123"/>
    <mergeCell ref="D99:J99"/>
    <mergeCell ref="L65:M65"/>
    <mergeCell ref="D79:J79"/>
    <mergeCell ref="L79:M79"/>
    <mergeCell ref="D87:J87"/>
    <mergeCell ref="L87:M87"/>
    <mergeCell ref="D65:J65"/>
    <mergeCell ref="L51:M51"/>
    <mergeCell ref="D56:J56"/>
    <mergeCell ref="L56:M56"/>
    <mergeCell ref="D61:J61"/>
    <mergeCell ref="L61:M61"/>
    <mergeCell ref="D51:J51"/>
    <mergeCell ref="L27:M27"/>
    <mergeCell ref="D40:J40"/>
    <mergeCell ref="L40:M40"/>
    <mergeCell ref="D46:J46"/>
    <mergeCell ref="L46:M46"/>
    <mergeCell ref="D27:J27"/>
    <mergeCell ref="L12:M12"/>
    <mergeCell ref="L14:M14"/>
    <mergeCell ref="D21:J21"/>
    <mergeCell ref="L21:M21"/>
    <mergeCell ref="D24:J24"/>
    <mergeCell ref="L24:M24"/>
    <mergeCell ref="D12:J12"/>
    <mergeCell ref="D14:J14"/>
  </mergeCells>
  <conditionalFormatting sqref="K3:K12">
    <cfRule type="dataBar" priority="102">
      <dataBar>
        <cfvo type="min"/>
        <cfvo type="max"/>
        <color rgb="FFFF555A"/>
      </dataBar>
      <extLst>
        <ext xmlns:x14="http://schemas.microsoft.com/office/spreadsheetml/2009/9/main" uri="{B025F937-C7B1-47D3-B67F-A62EFF666E3E}">
          <x14:id>{7E23E7D8-8FE6-4F08-AFFD-7CCE916DBD72}</x14:id>
        </ext>
      </extLst>
    </cfRule>
  </conditionalFormatting>
  <conditionalFormatting sqref="K3:K87">
    <cfRule type="dataBar" priority="103">
      <dataBar>
        <cfvo type="min"/>
        <cfvo type="max"/>
        <color rgb="FFFF555A"/>
      </dataBar>
      <extLst>
        <ext xmlns:x14="http://schemas.microsoft.com/office/spreadsheetml/2009/9/main" uri="{B025F937-C7B1-47D3-B67F-A62EFF666E3E}">
          <x14:id>{CF7E9ADC-D9BE-4613-80E5-87864A44F096}</x14:id>
        </ext>
      </extLst>
    </cfRule>
  </conditionalFormatting>
  <conditionalFormatting sqref="K3:K99">
    <cfRule type="dataBar" priority="104">
      <dataBar>
        <cfvo type="min"/>
        <cfvo type="max"/>
        <color rgb="FFFF555A"/>
      </dataBar>
      <extLst>
        <ext xmlns:x14="http://schemas.microsoft.com/office/spreadsheetml/2009/9/main" uri="{B025F937-C7B1-47D3-B67F-A62EFF666E3E}">
          <x14:id>{81B7248F-A305-4058-8136-CE93E47974A1}</x14:id>
        </ext>
      </extLst>
    </cfRule>
  </conditionalFormatting>
  <conditionalFormatting sqref="K3:K200">
    <cfRule type="dataBar" priority="1">
      <dataBar>
        <cfvo type="min"/>
        <cfvo type="max"/>
        <color rgb="FFFF555A"/>
      </dataBar>
      <extLst>
        <ext xmlns:x14="http://schemas.microsoft.com/office/spreadsheetml/2009/9/main" uri="{B025F937-C7B1-47D3-B67F-A62EFF666E3E}">
          <x14:id>{F3CB212B-3654-4566-AEEC-6F8121AB2773}</x14:id>
        </ext>
      </extLst>
    </cfRule>
  </conditionalFormatting>
  <conditionalFormatting sqref="K14">
    <cfRule type="dataBar" priority="96">
      <dataBar>
        <cfvo type="min"/>
        <cfvo type="max"/>
        <color rgb="FFFF555A"/>
      </dataBar>
      <extLst>
        <ext xmlns:x14="http://schemas.microsoft.com/office/spreadsheetml/2009/9/main" uri="{B025F937-C7B1-47D3-B67F-A62EFF666E3E}">
          <x14:id>{EC919CBC-BD7B-4A9C-B72A-28167DA97D45}</x14:id>
        </ext>
      </extLst>
    </cfRule>
  </conditionalFormatting>
  <conditionalFormatting sqref="K21">
    <cfRule type="dataBar" priority="95">
      <dataBar>
        <cfvo type="min"/>
        <cfvo type="max"/>
        <color rgb="FFFF555A"/>
      </dataBar>
      <extLst>
        <ext xmlns:x14="http://schemas.microsoft.com/office/spreadsheetml/2009/9/main" uri="{B025F937-C7B1-47D3-B67F-A62EFF666E3E}">
          <x14:id>{02427DAC-4D06-4A85-AA90-D34541D4E758}</x14:id>
        </ext>
      </extLst>
    </cfRule>
  </conditionalFormatting>
  <conditionalFormatting sqref="K24">
    <cfRule type="dataBar" priority="94">
      <dataBar>
        <cfvo type="min"/>
        <cfvo type="max"/>
        <color rgb="FFFF555A"/>
      </dataBar>
      <extLst>
        <ext xmlns:x14="http://schemas.microsoft.com/office/spreadsheetml/2009/9/main" uri="{B025F937-C7B1-47D3-B67F-A62EFF666E3E}">
          <x14:id>{D3C8FE45-7DD0-4636-949E-5686C599810E}</x14:id>
        </ext>
      </extLst>
    </cfRule>
  </conditionalFormatting>
  <conditionalFormatting sqref="K27">
    <cfRule type="dataBar" priority="93">
      <dataBar>
        <cfvo type="min"/>
        <cfvo type="max"/>
        <color rgb="FFFF555A"/>
      </dataBar>
      <extLst>
        <ext xmlns:x14="http://schemas.microsoft.com/office/spreadsheetml/2009/9/main" uri="{B025F937-C7B1-47D3-B67F-A62EFF666E3E}">
          <x14:id>{0EB61586-DF24-4298-89FE-CB2C5F763577}</x14:id>
        </ext>
      </extLst>
    </cfRule>
  </conditionalFormatting>
  <conditionalFormatting sqref="K40">
    <cfRule type="dataBar" priority="92">
      <dataBar>
        <cfvo type="min"/>
        <cfvo type="max"/>
        <color rgb="FFFF555A"/>
      </dataBar>
      <extLst>
        <ext xmlns:x14="http://schemas.microsoft.com/office/spreadsheetml/2009/9/main" uri="{B025F937-C7B1-47D3-B67F-A62EFF666E3E}">
          <x14:id>{12455A3C-17BA-4CEC-8E50-01C53793E929}</x14:id>
        </ext>
      </extLst>
    </cfRule>
  </conditionalFormatting>
  <conditionalFormatting sqref="K46">
    <cfRule type="dataBar" priority="91">
      <dataBar>
        <cfvo type="min"/>
        <cfvo type="max"/>
        <color rgb="FFFF555A"/>
      </dataBar>
      <extLst>
        <ext xmlns:x14="http://schemas.microsoft.com/office/spreadsheetml/2009/9/main" uri="{B025F937-C7B1-47D3-B67F-A62EFF666E3E}">
          <x14:id>{EACC8ECE-129A-4EDB-A14C-C5651242B453}</x14:id>
        </ext>
      </extLst>
    </cfRule>
  </conditionalFormatting>
  <conditionalFormatting sqref="K51">
    <cfRule type="dataBar" priority="90">
      <dataBar>
        <cfvo type="min"/>
        <cfvo type="max"/>
        <color rgb="FFFF555A"/>
      </dataBar>
      <extLst>
        <ext xmlns:x14="http://schemas.microsoft.com/office/spreadsheetml/2009/9/main" uri="{B025F937-C7B1-47D3-B67F-A62EFF666E3E}">
          <x14:id>{F0CD78A6-F6A7-4AF3-983B-2C9BA651C549}</x14:id>
        </ext>
      </extLst>
    </cfRule>
  </conditionalFormatting>
  <conditionalFormatting sqref="K56">
    <cfRule type="dataBar" priority="89">
      <dataBar>
        <cfvo type="min"/>
        <cfvo type="max"/>
        <color rgb="FFFF555A"/>
      </dataBar>
      <extLst>
        <ext xmlns:x14="http://schemas.microsoft.com/office/spreadsheetml/2009/9/main" uri="{B025F937-C7B1-47D3-B67F-A62EFF666E3E}">
          <x14:id>{F589E12C-9D1C-4420-98C8-52D3A5985267}</x14:id>
        </ext>
      </extLst>
    </cfRule>
  </conditionalFormatting>
  <conditionalFormatting sqref="K61">
    <cfRule type="dataBar" priority="88">
      <dataBar>
        <cfvo type="min"/>
        <cfvo type="max"/>
        <color rgb="FFFF555A"/>
      </dataBar>
      <extLst>
        <ext xmlns:x14="http://schemas.microsoft.com/office/spreadsheetml/2009/9/main" uri="{B025F937-C7B1-47D3-B67F-A62EFF666E3E}">
          <x14:id>{E581EA87-1FDB-4C4D-B483-B50F4BC1EC36}</x14:id>
        </ext>
      </extLst>
    </cfRule>
  </conditionalFormatting>
  <conditionalFormatting sqref="K65">
    <cfRule type="dataBar" priority="87">
      <dataBar>
        <cfvo type="min"/>
        <cfvo type="max"/>
        <color rgb="FFFF555A"/>
      </dataBar>
      <extLst>
        <ext xmlns:x14="http://schemas.microsoft.com/office/spreadsheetml/2009/9/main" uri="{B025F937-C7B1-47D3-B67F-A62EFF666E3E}">
          <x14:id>{4E386F41-FB6A-47CD-9B31-D95F0CE3C1EE}</x14:id>
        </ext>
      </extLst>
    </cfRule>
  </conditionalFormatting>
  <conditionalFormatting sqref="K79">
    <cfRule type="dataBar" priority="86">
      <dataBar>
        <cfvo type="min"/>
        <cfvo type="max"/>
        <color rgb="FFFF555A"/>
      </dataBar>
      <extLst>
        <ext xmlns:x14="http://schemas.microsoft.com/office/spreadsheetml/2009/9/main" uri="{B025F937-C7B1-47D3-B67F-A62EFF666E3E}">
          <x14:id>{CBA97B0C-1CDA-43E8-AE61-9303EC38FC1D}</x14:id>
        </ext>
      </extLst>
    </cfRule>
  </conditionalFormatting>
  <conditionalFormatting sqref="K80:K87">
    <cfRule type="dataBar" priority="100">
      <dataBar>
        <cfvo type="min"/>
        <cfvo type="max"/>
        <color rgb="FFFF555A"/>
      </dataBar>
      <extLst>
        <ext xmlns:x14="http://schemas.microsoft.com/office/spreadsheetml/2009/9/main" uri="{B025F937-C7B1-47D3-B67F-A62EFF666E3E}">
          <x14:id>{25BC3E49-F9C0-4533-A037-62188166A279}</x14:id>
        </ext>
      </extLst>
    </cfRule>
  </conditionalFormatting>
  <conditionalFormatting sqref="K87">
    <cfRule type="dataBar" priority="101">
      <dataBar>
        <cfvo type="min"/>
        <cfvo type="max"/>
        <color rgb="FFFF555A"/>
      </dataBar>
      <extLst>
        <ext xmlns:x14="http://schemas.microsoft.com/office/spreadsheetml/2009/9/main" uri="{B025F937-C7B1-47D3-B67F-A62EFF666E3E}">
          <x14:id>{9D39F58E-CB78-4C94-AA3E-B838A91200D3}</x14:id>
        </ext>
      </extLst>
    </cfRule>
  </conditionalFormatting>
  <conditionalFormatting sqref="K99">
    <cfRule type="dataBar" priority="97">
      <dataBar>
        <cfvo type="min"/>
        <cfvo type="max"/>
        <color rgb="FFFF555A"/>
      </dataBar>
      <extLst>
        <ext xmlns:x14="http://schemas.microsoft.com/office/spreadsheetml/2009/9/main" uri="{B025F937-C7B1-47D3-B67F-A62EFF666E3E}">
          <x14:id>{120CBC8D-DCC8-4C66-ACE7-8CF2587D325D}</x14:id>
        </ext>
      </extLst>
    </cfRule>
    <cfRule type="dataBar" priority="98">
      <dataBar>
        <cfvo type="min"/>
        <cfvo type="max"/>
        <color rgb="FFFF555A"/>
      </dataBar>
      <extLst>
        <ext xmlns:x14="http://schemas.microsoft.com/office/spreadsheetml/2009/9/main" uri="{B025F937-C7B1-47D3-B67F-A62EFF666E3E}">
          <x14:id>{C0F73638-C95B-4B17-9842-C2422A4B3063}</x14:id>
        </ext>
      </extLst>
    </cfRule>
    <cfRule type="dataBar" priority="99">
      <dataBar>
        <cfvo type="min"/>
        <cfvo type="max"/>
        <color rgb="FFFF555A"/>
      </dataBar>
      <extLst>
        <ext xmlns:x14="http://schemas.microsoft.com/office/spreadsheetml/2009/9/main" uri="{B025F937-C7B1-47D3-B67F-A62EFF666E3E}">
          <x14:id>{81E64ADB-1D58-48E0-B00A-068169AF670F}</x14:id>
        </ext>
      </extLst>
    </cfRule>
  </conditionalFormatting>
  <conditionalFormatting sqref="K117">
    <cfRule type="dataBar" priority="82">
      <dataBar>
        <cfvo type="min"/>
        <cfvo type="max"/>
        <color rgb="FFFF555A"/>
      </dataBar>
      <extLst>
        <ext xmlns:x14="http://schemas.microsoft.com/office/spreadsheetml/2009/9/main" uri="{B025F937-C7B1-47D3-B67F-A62EFF666E3E}">
          <x14:id>{C6A52505-2ABA-4FE1-AC4C-297DDF95DC85}</x14:id>
        </ext>
      </extLst>
    </cfRule>
    <cfRule type="dataBar" priority="83">
      <dataBar>
        <cfvo type="min"/>
        <cfvo type="max"/>
        <color rgb="FFFF555A"/>
      </dataBar>
      <extLst>
        <ext xmlns:x14="http://schemas.microsoft.com/office/spreadsheetml/2009/9/main" uri="{B025F937-C7B1-47D3-B67F-A62EFF666E3E}">
          <x14:id>{879C9325-8CFD-4C6F-8377-6F98E5B423ED}</x14:id>
        </ext>
      </extLst>
    </cfRule>
    <cfRule type="dataBar" priority="84">
      <dataBar>
        <cfvo type="min"/>
        <cfvo type="max"/>
        <color rgb="FFFF555A"/>
      </dataBar>
      <extLst>
        <ext xmlns:x14="http://schemas.microsoft.com/office/spreadsheetml/2009/9/main" uri="{B025F937-C7B1-47D3-B67F-A62EFF666E3E}">
          <x14:id>{EABB1D71-0590-426A-8546-FF3A959A8B6A}</x14:id>
        </ext>
      </extLst>
    </cfRule>
    <cfRule type="dataBar" priority="85">
      <dataBar>
        <cfvo type="min"/>
        <cfvo type="max"/>
        <color rgb="FFFF555A"/>
      </dataBar>
      <extLst>
        <ext xmlns:x14="http://schemas.microsoft.com/office/spreadsheetml/2009/9/main" uri="{B025F937-C7B1-47D3-B67F-A62EFF666E3E}">
          <x14:id>{F70EE5F4-7236-48FE-B0FF-FDBAA1C4936A}</x14:id>
        </ext>
      </extLst>
    </cfRule>
  </conditionalFormatting>
  <conditionalFormatting sqref="K123">
    <cfRule type="dataBar" priority="78">
      <dataBar>
        <cfvo type="min"/>
        <cfvo type="max"/>
        <color rgb="FFFF555A"/>
      </dataBar>
      <extLst>
        <ext xmlns:x14="http://schemas.microsoft.com/office/spreadsheetml/2009/9/main" uri="{B025F937-C7B1-47D3-B67F-A62EFF666E3E}">
          <x14:id>{2C96F90F-014C-43A9-9E69-8976904D4FBB}</x14:id>
        </ext>
      </extLst>
    </cfRule>
    <cfRule type="dataBar" priority="79">
      <dataBar>
        <cfvo type="min"/>
        <cfvo type="max"/>
        <color rgb="FFFF555A"/>
      </dataBar>
      <extLst>
        <ext xmlns:x14="http://schemas.microsoft.com/office/spreadsheetml/2009/9/main" uri="{B025F937-C7B1-47D3-B67F-A62EFF666E3E}">
          <x14:id>{8E3332EC-17D7-4F2D-8431-DE11B2D2522F}</x14:id>
        </ext>
      </extLst>
    </cfRule>
    <cfRule type="dataBar" priority="80">
      <dataBar>
        <cfvo type="min"/>
        <cfvo type="max"/>
        <color rgb="FFFF555A"/>
      </dataBar>
      <extLst>
        <ext xmlns:x14="http://schemas.microsoft.com/office/spreadsheetml/2009/9/main" uri="{B025F937-C7B1-47D3-B67F-A62EFF666E3E}">
          <x14:id>{45F9136C-6748-4A94-AFAC-545A365883AC}</x14:id>
        </ext>
      </extLst>
    </cfRule>
    <cfRule type="dataBar" priority="81">
      <dataBar>
        <cfvo type="min"/>
        <cfvo type="max"/>
        <color rgb="FFFF555A"/>
      </dataBar>
      <extLst>
        <ext xmlns:x14="http://schemas.microsoft.com/office/spreadsheetml/2009/9/main" uri="{B025F937-C7B1-47D3-B67F-A62EFF666E3E}">
          <x14:id>{A3591D4E-DF6D-4BE0-816E-2DDB2CED7B9E}</x14:id>
        </ext>
      </extLst>
    </cfRule>
  </conditionalFormatting>
  <conditionalFormatting sqref="K125">
    <cfRule type="dataBar" priority="74">
      <dataBar>
        <cfvo type="min"/>
        <cfvo type="max"/>
        <color rgb="FFFF555A"/>
      </dataBar>
      <extLst>
        <ext xmlns:x14="http://schemas.microsoft.com/office/spreadsheetml/2009/9/main" uri="{B025F937-C7B1-47D3-B67F-A62EFF666E3E}">
          <x14:id>{66E8EB83-F170-4DC9-B092-CC4A08187F8F}</x14:id>
        </ext>
      </extLst>
    </cfRule>
    <cfRule type="dataBar" priority="75">
      <dataBar>
        <cfvo type="min"/>
        <cfvo type="max"/>
        <color rgb="FFFF555A"/>
      </dataBar>
      <extLst>
        <ext xmlns:x14="http://schemas.microsoft.com/office/spreadsheetml/2009/9/main" uri="{B025F937-C7B1-47D3-B67F-A62EFF666E3E}">
          <x14:id>{02087BEE-09C3-485B-B722-CE1EBD4B072F}</x14:id>
        </ext>
      </extLst>
    </cfRule>
    <cfRule type="dataBar" priority="76">
      <dataBar>
        <cfvo type="min"/>
        <cfvo type="max"/>
        <color rgb="FFFF555A"/>
      </dataBar>
      <extLst>
        <ext xmlns:x14="http://schemas.microsoft.com/office/spreadsheetml/2009/9/main" uri="{B025F937-C7B1-47D3-B67F-A62EFF666E3E}">
          <x14:id>{53117235-A094-4CDF-8366-3E8EA2110BB5}</x14:id>
        </ext>
      </extLst>
    </cfRule>
    <cfRule type="dataBar" priority="77">
      <dataBar>
        <cfvo type="min"/>
        <cfvo type="max"/>
        <color rgb="FFFF555A"/>
      </dataBar>
      <extLst>
        <ext xmlns:x14="http://schemas.microsoft.com/office/spreadsheetml/2009/9/main" uri="{B025F937-C7B1-47D3-B67F-A62EFF666E3E}">
          <x14:id>{F68DC356-3F35-4D63-BD5A-A23D101E852D}</x14:id>
        </ext>
      </extLst>
    </cfRule>
  </conditionalFormatting>
  <conditionalFormatting sqref="K127">
    <cfRule type="dataBar" priority="70">
      <dataBar>
        <cfvo type="min"/>
        <cfvo type="max"/>
        <color rgb="FFFF555A"/>
      </dataBar>
      <extLst>
        <ext xmlns:x14="http://schemas.microsoft.com/office/spreadsheetml/2009/9/main" uri="{B025F937-C7B1-47D3-B67F-A62EFF666E3E}">
          <x14:id>{7C0D72E1-FE31-494D-887C-84899CB751DF}</x14:id>
        </ext>
      </extLst>
    </cfRule>
    <cfRule type="dataBar" priority="71">
      <dataBar>
        <cfvo type="min"/>
        <cfvo type="max"/>
        <color rgb="FFFF555A"/>
      </dataBar>
      <extLst>
        <ext xmlns:x14="http://schemas.microsoft.com/office/spreadsheetml/2009/9/main" uri="{B025F937-C7B1-47D3-B67F-A62EFF666E3E}">
          <x14:id>{56CBFCF5-854A-493F-B156-1BB876D08C50}</x14:id>
        </ext>
      </extLst>
    </cfRule>
    <cfRule type="dataBar" priority="72">
      <dataBar>
        <cfvo type="min"/>
        <cfvo type="max"/>
        <color rgb="FFFF555A"/>
      </dataBar>
      <extLst>
        <ext xmlns:x14="http://schemas.microsoft.com/office/spreadsheetml/2009/9/main" uri="{B025F937-C7B1-47D3-B67F-A62EFF666E3E}">
          <x14:id>{02785EFA-A2DF-443D-9297-F71242E687B7}</x14:id>
        </ext>
      </extLst>
    </cfRule>
    <cfRule type="dataBar" priority="73">
      <dataBar>
        <cfvo type="min"/>
        <cfvo type="max"/>
        <color rgb="FFFF555A"/>
      </dataBar>
      <extLst>
        <ext xmlns:x14="http://schemas.microsoft.com/office/spreadsheetml/2009/9/main" uri="{B025F937-C7B1-47D3-B67F-A62EFF666E3E}">
          <x14:id>{E4E30059-99DA-41FC-A35C-63E3BCCB2226}</x14:id>
        </ext>
      </extLst>
    </cfRule>
  </conditionalFormatting>
  <conditionalFormatting sqref="K131">
    <cfRule type="dataBar" priority="66">
      <dataBar>
        <cfvo type="min"/>
        <cfvo type="max"/>
        <color rgb="FFFF555A"/>
      </dataBar>
      <extLst>
        <ext xmlns:x14="http://schemas.microsoft.com/office/spreadsheetml/2009/9/main" uri="{B025F937-C7B1-47D3-B67F-A62EFF666E3E}">
          <x14:id>{9841E9A6-2171-4413-8492-E05E2655D819}</x14:id>
        </ext>
      </extLst>
    </cfRule>
    <cfRule type="dataBar" priority="67">
      <dataBar>
        <cfvo type="min"/>
        <cfvo type="max"/>
        <color rgb="FFFF555A"/>
      </dataBar>
      <extLst>
        <ext xmlns:x14="http://schemas.microsoft.com/office/spreadsheetml/2009/9/main" uri="{B025F937-C7B1-47D3-B67F-A62EFF666E3E}">
          <x14:id>{53E415D9-137E-40E9-A416-1400E108E14D}</x14:id>
        </ext>
      </extLst>
    </cfRule>
    <cfRule type="dataBar" priority="68">
      <dataBar>
        <cfvo type="min"/>
        <cfvo type="max"/>
        <color rgb="FFFF555A"/>
      </dataBar>
      <extLst>
        <ext xmlns:x14="http://schemas.microsoft.com/office/spreadsheetml/2009/9/main" uri="{B025F937-C7B1-47D3-B67F-A62EFF666E3E}">
          <x14:id>{7BE804C7-D4B7-45B4-8568-C3F00D4AA38C}</x14:id>
        </ext>
      </extLst>
    </cfRule>
    <cfRule type="dataBar" priority="69">
      <dataBar>
        <cfvo type="min"/>
        <cfvo type="max"/>
        <color rgb="FFFF555A"/>
      </dataBar>
      <extLst>
        <ext xmlns:x14="http://schemas.microsoft.com/office/spreadsheetml/2009/9/main" uri="{B025F937-C7B1-47D3-B67F-A62EFF666E3E}">
          <x14:id>{F6ED4781-24C5-48A8-B7A8-B8206F8C86CE}</x14:id>
        </ext>
      </extLst>
    </cfRule>
  </conditionalFormatting>
  <conditionalFormatting sqref="K133">
    <cfRule type="dataBar" priority="62">
      <dataBar>
        <cfvo type="min"/>
        <cfvo type="max"/>
        <color rgb="FFFF555A"/>
      </dataBar>
      <extLst>
        <ext xmlns:x14="http://schemas.microsoft.com/office/spreadsheetml/2009/9/main" uri="{B025F937-C7B1-47D3-B67F-A62EFF666E3E}">
          <x14:id>{5CADF2D9-0CCE-40C8-A48A-3016ABC7D96F}</x14:id>
        </ext>
      </extLst>
    </cfRule>
    <cfRule type="dataBar" priority="63">
      <dataBar>
        <cfvo type="min"/>
        <cfvo type="max"/>
        <color rgb="FFFF555A"/>
      </dataBar>
      <extLst>
        <ext xmlns:x14="http://schemas.microsoft.com/office/spreadsheetml/2009/9/main" uri="{B025F937-C7B1-47D3-B67F-A62EFF666E3E}">
          <x14:id>{4521DA01-A151-435F-A95B-D57F2A24669B}</x14:id>
        </ext>
      </extLst>
    </cfRule>
    <cfRule type="dataBar" priority="64">
      <dataBar>
        <cfvo type="min"/>
        <cfvo type="max"/>
        <color rgb="FFFF555A"/>
      </dataBar>
      <extLst>
        <ext xmlns:x14="http://schemas.microsoft.com/office/spreadsheetml/2009/9/main" uri="{B025F937-C7B1-47D3-B67F-A62EFF666E3E}">
          <x14:id>{0F25BC9E-F575-47E1-965D-51916B493AB0}</x14:id>
        </ext>
      </extLst>
    </cfRule>
    <cfRule type="dataBar" priority="65">
      <dataBar>
        <cfvo type="min"/>
        <cfvo type="max"/>
        <color rgb="FFFF555A"/>
      </dataBar>
      <extLst>
        <ext xmlns:x14="http://schemas.microsoft.com/office/spreadsheetml/2009/9/main" uri="{B025F937-C7B1-47D3-B67F-A62EFF666E3E}">
          <x14:id>{8B3A7B3B-15B7-4E35-8748-971B1335AD45}</x14:id>
        </ext>
      </extLst>
    </cfRule>
  </conditionalFormatting>
  <conditionalFormatting sqref="K135">
    <cfRule type="dataBar" priority="58">
      <dataBar>
        <cfvo type="min"/>
        <cfvo type="max"/>
        <color rgb="FFFF555A"/>
      </dataBar>
      <extLst>
        <ext xmlns:x14="http://schemas.microsoft.com/office/spreadsheetml/2009/9/main" uri="{B025F937-C7B1-47D3-B67F-A62EFF666E3E}">
          <x14:id>{34AA003D-2BDB-42E8-84D8-043BD9952170}</x14:id>
        </ext>
      </extLst>
    </cfRule>
    <cfRule type="dataBar" priority="59">
      <dataBar>
        <cfvo type="min"/>
        <cfvo type="max"/>
        <color rgb="FFFF555A"/>
      </dataBar>
      <extLst>
        <ext xmlns:x14="http://schemas.microsoft.com/office/spreadsheetml/2009/9/main" uri="{B025F937-C7B1-47D3-B67F-A62EFF666E3E}">
          <x14:id>{9613C7EB-D1DE-4D97-9366-EB4267F9E9A6}</x14:id>
        </ext>
      </extLst>
    </cfRule>
    <cfRule type="dataBar" priority="60">
      <dataBar>
        <cfvo type="min"/>
        <cfvo type="max"/>
        <color rgb="FFFF555A"/>
      </dataBar>
      <extLst>
        <ext xmlns:x14="http://schemas.microsoft.com/office/spreadsheetml/2009/9/main" uri="{B025F937-C7B1-47D3-B67F-A62EFF666E3E}">
          <x14:id>{E9EC9E47-288C-441E-81B2-0591D78DAC6A}</x14:id>
        </ext>
      </extLst>
    </cfRule>
    <cfRule type="dataBar" priority="61">
      <dataBar>
        <cfvo type="min"/>
        <cfvo type="max"/>
        <color rgb="FFFF555A"/>
      </dataBar>
      <extLst>
        <ext xmlns:x14="http://schemas.microsoft.com/office/spreadsheetml/2009/9/main" uri="{B025F937-C7B1-47D3-B67F-A62EFF666E3E}">
          <x14:id>{638A792C-38D2-4F08-A121-25194070DB6B}</x14:id>
        </ext>
      </extLst>
    </cfRule>
  </conditionalFormatting>
  <conditionalFormatting sqref="K138">
    <cfRule type="dataBar" priority="54">
      <dataBar>
        <cfvo type="min"/>
        <cfvo type="max"/>
        <color rgb="FFFF555A"/>
      </dataBar>
      <extLst>
        <ext xmlns:x14="http://schemas.microsoft.com/office/spreadsheetml/2009/9/main" uri="{B025F937-C7B1-47D3-B67F-A62EFF666E3E}">
          <x14:id>{408DFF0A-63C1-458E-870C-45F56266543B}</x14:id>
        </ext>
      </extLst>
    </cfRule>
    <cfRule type="dataBar" priority="55">
      <dataBar>
        <cfvo type="min"/>
        <cfvo type="max"/>
        <color rgb="FFFF555A"/>
      </dataBar>
      <extLst>
        <ext xmlns:x14="http://schemas.microsoft.com/office/spreadsheetml/2009/9/main" uri="{B025F937-C7B1-47D3-B67F-A62EFF666E3E}">
          <x14:id>{809A2B41-EB92-4809-A3CA-6D90820474E6}</x14:id>
        </ext>
      </extLst>
    </cfRule>
    <cfRule type="dataBar" priority="56">
      <dataBar>
        <cfvo type="min"/>
        <cfvo type="max"/>
        <color rgb="FFFF555A"/>
      </dataBar>
      <extLst>
        <ext xmlns:x14="http://schemas.microsoft.com/office/spreadsheetml/2009/9/main" uri="{B025F937-C7B1-47D3-B67F-A62EFF666E3E}">
          <x14:id>{E2E37CF7-7F00-4D65-9088-282EB961B4A6}</x14:id>
        </ext>
      </extLst>
    </cfRule>
    <cfRule type="dataBar" priority="57">
      <dataBar>
        <cfvo type="min"/>
        <cfvo type="max"/>
        <color rgb="FFFF555A"/>
      </dataBar>
      <extLst>
        <ext xmlns:x14="http://schemas.microsoft.com/office/spreadsheetml/2009/9/main" uri="{B025F937-C7B1-47D3-B67F-A62EFF666E3E}">
          <x14:id>{7024DB97-F08B-4E33-83D0-0F16DA77629E}</x14:id>
        </ext>
      </extLst>
    </cfRule>
  </conditionalFormatting>
  <conditionalFormatting sqref="K142">
    <cfRule type="dataBar" priority="50">
      <dataBar>
        <cfvo type="min"/>
        <cfvo type="max"/>
        <color rgb="FFFF555A"/>
      </dataBar>
      <extLst>
        <ext xmlns:x14="http://schemas.microsoft.com/office/spreadsheetml/2009/9/main" uri="{B025F937-C7B1-47D3-B67F-A62EFF666E3E}">
          <x14:id>{C59FCA09-7BB8-4395-85DC-805FC803E1F3}</x14:id>
        </ext>
      </extLst>
    </cfRule>
    <cfRule type="dataBar" priority="51">
      <dataBar>
        <cfvo type="min"/>
        <cfvo type="max"/>
        <color rgb="FFFF555A"/>
      </dataBar>
      <extLst>
        <ext xmlns:x14="http://schemas.microsoft.com/office/spreadsheetml/2009/9/main" uri="{B025F937-C7B1-47D3-B67F-A62EFF666E3E}">
          <x14:id>{D55574DF-A7FC-4FA6-B84E-3FE93242614F}</x14:id>
        </ext>
      </extLst>
    </cfRule>
    <cfRule type="dataBar" priority="52">
      <dataBar>
        <cfvo type="min"/>
        <cfvo type="max"/>
        <color rgb="FFFF555A"/>
      </dataBar>
      <extLst>
        <ext xmlns:x14="http://schemas.microsoft.com/office/spreadsheetml/2009/9/main" uri="{B025F937-C7B1-47D3-B67F-A62EFF666E3E}">
          <x14:id>{6CEE63CC-1225-40FF-A722-1E65DD7E7A35}</x14:id>
        </ext>
      </extLst>
    </cfRule>
    <cfRule type="dataBar" priority="53">
      <dataBar>
        <cfvo type="min"/>
        <cfvo type="max"/>
        <color rgb="FFFF555A"/>
      </dataBar>
      <extLst>
        <ext xmlns:x14="http://schemas.microsoft.com/office/spreadsheetml/2009/9/main" uri="{B025F937-C7B1-47D3-B67F-A62EFF666E3E}">
          <x14:id>{1552D50E-A3D0-4CA2-AD8C-2C3621893E8D}</x14:id>
        </ext>
      </extLst>
    </cfRule>
  </conditionalFormatting>
  <conditionalFormatting sqref="K147">
    <cfRule type="dataBar" priority="46">
      <dataBar>
        <cfvo type="min"/>
        <cfvo type="max"/>
        <color rgb="FFFF555A"/>
      </dataBar>
      <extLst>
        <ext xmlns:x14="http://schemas.microsoft.com/office/spreadsheetml/2009/9/main" uri="{B025F937-C7B1-47D3-B67F-A62EFF666E3E}">
          <x14:id>{A5CCDA93-8999-4560-9781-C12A289C3D78}</x14:id>
        </ext>
      </extLst>
    </cfRule>
    <cfRule type="dataBar" priority="47">
      <dataBar>
        <cfvo type="min"/>
        <cfvo type="max"/>
        <color rgb="FFFF555A"/>
      </dataBar>
      <extLst>
        <ext xmlns:x14="http://schemas.microsoft.com/office/spreadsheetml/2009/9/main" uri="{B025F937-C7B1-47D3-B67F-A62EFF666E3E}">
          <x14:id>{2C3A2393-89D3-4A2C-B3AC-5C04A2195D7E}</x14:id>
        </ext>
      </extLst>
    </cfRule>
    <cfRule type="dataBar" priority="48">
      <dataBar>
        <cfvo type="min"/>
        <cfvo type="max"/>
        <color rgb="FFFF555A"/>
      </dataBar>
      <extLst>
        <ext xmlns:x14="http://schemas.microsoft.com/office/spreadsheetml/2009/9/main" uri="{B025F937-C7B1-47D3-B67F-A62EFF666E3E}">
          <x14:id>{469AFEE7-A629-4C56-8A66-78302F0AAF49}</x14:id>
        </ext>
      </extLst>
    </cfRule>
    <cfRule type="dataBar" priority="49">
      <dataBar>
        <cfvo type="min"/>
        <cfvo type="max"/>
        <color rgb="FFFF555A"/>
      </dataBar>
      <extLst>
        <ext xmlns:x14="http://schemas.microsoft.com/office/spreadsheetml/2009/9/main" uri="{B025F937-C7B1-47D3-B67F-A62EFF666E3E}">
          <x14:id>{E04680B9-37B9-484A-80B2-C1173D364730}</x14:id>
        </ext>
      </extLst>
    </cfRule>
  </conditionalFormatting>
  <conditionalFormatting sqref="K150">
    <cfRule type="dataBar" priority="42">
      <dataBar>
        <cfvo type="min"/>
        <cfvo type="max"/>
        <color rgb="FFFF555A"/>
      </dataBar>
      <extLst>
        <ext xmlns:x14="http://schemas.microsoft.com/office/spreadsheetml/2009/9/main" uri="{B025F937-C7B1-47D3-B67F-A62EFF666E3E}">
          <x14:id>{AF23FF68-42C3-4BB7-A816-6F5B21AD4183}</x14:id>
        </ext>
      </extLst>
    </cfRule>
    <cfRule type="dataBar" priority="43">
      <dataBar>
        <cfvo type="min"/>
        <cfvo type="max"/>
        <color rgb="FFFF555A"/>
      </dataBar>
      <extLst>
        <ext xmlns:x14="http://schemas.microsoft.com/office/spreadsheetml/2009/9/main" uri="{B025F937-C7B1-47D3-B67F-A62EFF666E3E}">
          <x14:id>{1B4C0870-8CBE-4B21-A40D-D0F525A16CDF}</x14:id>
        </ext>
      </extLst>
    </cfRule>
    <cfRule type="dataBar" priority="44">
      <dataBar>
        <cfvo type="min"/>
        <cfvo type="max"/>
        <color rgb="FFFF555A"/>
      </dataBar>
      <extLst>
        <ext xmlns:x14="http://schemas.microsoft.com/office/spreadsheetml/2009/9/main" uri="{B025F937-C7B1-47D3-B67F-A62EFF666E3E}">
          <x14:id>{04300821-A916-439E-B922-57D8BAF48BF2}</x14:id>
        </ext>
      </extLst>
    </cfRule>
    <cfRule type="dataBar" priority="45">
      <dataBar>
        <cfvo type="min"/>
        <cfvo type="max"/>
        <color rgb="FFFF555A"/>
      </dataBar>
      <extLst>
        <ext xmlns:x14="http://schemas.microsoft.com/office/spreadsheetml/2009/9/main" uri="{B025F937-C7B1-47D3-B67F-A62EFF666E3E}">
          <x14:id>{A60789D6-BDFA-4BFA-B34B-D50B951CFF83}</x14:id>
        </ext>
      </extLst>
    </cfRule>
  </conditionalFormatting>
  <conditionalFormatting sqref="K154">
    <cfRule type="dataBar" priority="38">
      <dataBar>
        <cfvo type="min"/>
        <cfvo type="max"/>
        <color rgb="FFFF555A"/>
      </dataBar>
      <extLst>
        <ext xmlns:x14="http://schemas.microsoft.com/office/spreadsheetml/2009/9/main" uri="{B025F937-C7B1-47D3-B67F-A62EFF666E3E}">
          <x14:id>{75B94416-BA73-4975-A113-C53DFCF03667}</x14:id>
        </ext>
      </extLst>
    </cfRule>
    <cfRule type="dataBar" priority="39">
      <dataBar>
        <cfvo type="min"/>
        <cfvo type="max"/>
        <color rgb="FFFF555A"/>
      </dataBar>
      <extLst>
        <ext xmlns:x14="http://schemas.microsoft.com/office/spreadsheetml/2009/9/main" uri="{B025F937-C7B1-47D3-B67F-A62EFF666E3E}">
          <x14:id>{D1538F9A-C62D-46BA-B901-33245D43D8CD}</x14:id>
        </ext>
      </extLst>
    </cfRule>
    <cfRule type="dataBar" priority="40">
      <dataBar>
        <cfvo type="min"/>
        <cfvo type="max"/>
        <color rgb="FFFF555A"/>
      </dataBar>
      <extLst>
        <ext xmlns:x14="http://schemas.microsoft.com/office/spreadsheetml/2009/9/main" uri="{B025F937-C7B1-47D3-B67F-A62EFF666E3E}">
          <x14:id>{1204AFFF-7FEC-451A-9A90-D98138C86D4B}</x14:id>
        </ext>
      </extLst>
    </cfRule>
    <cfRule type="dataBar" priority="41">
      <dataBar>
        <cfvo type="min"/>
        <cfvo type="max"/>
        <color rgb="FFFF555A"/>
      </dataBar>
      <extLst>
        <ext xmlns:x14="http://schemas.microsoft.com/office/spreadsheetml/2009/9/main" uri="{B025F937-C7B1-47D3-B67F-A62EFF666E3E}">
          <x14:id>{F2D83DC5-A4DE-4A2E-9CD5-3CE788B4D297}</x14:id>
        </ext>
      </extLst>
    </cfRule>
  </conditionalFormatting>
  <conditionalFormatting sqref="K156">
    <cfRule type="dataBar" priority="34">
      <dataBar>
        <cfvo type="min"/>
        <cfvo type="max"/>
        <color rgb="FFFF555A"/>
      </dataBar>
      <extLst>
        <ext xmlns:x14="http://schemas.microsoft.com/office/spreadsheetml/2009/9/main" uri="{B025F937-C7B1-47D3-B67F-A62EFF666E3E}">
          <x14:id>{E91DD222-90EC-4C62-9368-84302E4364D2}</x14:id>
        </ext>
      </extLst>
    </cfRule>
    <cfRule type="dataBar" priority="35">
      <dataBar>
        <cfvo type="min"/>
        <cfvo type="max"/>
        <color rgb="FFFF555A"/>
      </dataBar>
      <extLst>
        <ext xmlns:x14="http://schemas.microsoft.com/office/spreadsheetml/2009/9/main" uri="{B025F937-C7B1-47D3-B67F-A62EFF666E3E}">
          <x14:id>{C29D529A-3FD7-40AE-8C19-A9C051AE5A93}</x14:id>
        </ext>
      </extLst>
    </cfRule>
    <cfRule type="dataBar" priority="36">
      <dataBar>
        <cfvo type="min"/>
        <cfvo type="max"/>
        <color rgb="FFFF555A"/>
      </dataBar>
      <extLst>
        <ext xmlns:x14="http://schemas.microsoft.com/office/spreadsheetml/2009/9/main" uri="{B025F937-C7B1-47D3-B67F-A62EFF666E3E}">
          <x14:id>{CD29C556-1C2F-4A13-A5F7-561B00FB9A89}</x14:id>
        </ext>
      </extLst>
    </cfRule>
    <cfRule type="dataBar" priority="37">
      <dataBar>
        <cfvo type="min"/>
        <cfvo type="max"/>
        <color rgb="FFFF555A"/>
      </dataBar>
      <extLst>
        <ext xmlns:x14="http://schemas.microsoft.com/office/spreadsheetml/2009/9/main" uri="{B025F937-C7B1-47D3-B67F-A62EFF666E3E}">
          <x14:id>{337E0002-D25A-44F4-8E8B-823AA869FBAF}</x14:id>
        </ext>
      </extLst>
    </cfRule>
  </conditionalFormatting>
  <conditionalFormatting sqref="K159">
    <cfRule type="dataBar" priority="30">
      <dataBar>
        <cfvo type="min"/>
        <cfvo type="max"/>
        <color rgb="FFFF555A"/>
      </dataBar>
      <extLst>
        <ext xmlns:x14="http://schemas.microsoft.com/office/spreadsheetml/2009/9/main" uri="{B025F937-C7B1-47D3-B67F-A62EFF666E3E}">
          <x14:id>{604165D2-AA5B-442A-AC56-5F696EABD92A}</x14:id>
        </ext>
      </extLst>
    </cfRule>
    <cfRule type="dataBar" priority="31">
      <dataBar>
        <cfvo type="min"/>
        <cfvo type="max"/>
        <color rgb="FFFF555A"/>
      </dataBar>
      <extLst>
        <ext xmlns:x14="http://schemas.microsoft.com/office/spreadsheetml/2009/9/main" uri="{B025F937-C7B1-47D3-B67F-A62EFF666E3E}">
          <x14:id>{01F47C82-A48E-4843-9299-ED1B889BD352}</x14:id>
        </ext>
      </extLst>
    </cfRule>
    <cfRule type="dataBar" priority="32">
      <dataBar>
        <cfvo type="min"/>
        <cfvo type="max"/>
        <color rgb="FFFF555A"/>
      </dataBar>
      <extLst>
        <ext xmlns:x14="http://schemas.microsoft.com/office/spreadsheetml/2009/9/main" uri="{B025F937-C7B1-47D3-B67F-A62EFF666E3E}">
          <x14:id>{36D90CC8-4D51-40A3-80D4-2BB9B8ED1EFF}</x14:id>
        </ext>
      </extLst>
    </cfRule>
    <cfRule type="dataBar" priority="33">
      <dataBar>
        <cfvo type="min"/>
        <cfvo type="max"/>
        <color rgb="FFFF555A"/>
      </dataBar>
      <extLst>
        <ext xmlns:x14="http://schemas.microsoft.com/office/spreadsheetml/2009/9/main" uri="{B025F937-C7B1-47D3-B67F-A62EFF666E3E}">
          <x14:id>{DCBB16A7-FC48-4128-BFA8-14F280E28F3A}</x14:id>
        </ext>
      </extLst>
    </cfRule>
  </conditionalFormatting>
  <conditionalFormatting sqref="K164">
    <cfRule type="dataBar" priority="26">
      <dataBar>
        <cfvo type="min"/>
        <cfvo type="max"/>
        <color rgb="FFFF555A"/>
      </dataBar>
      <extLst>
        <ext xmlns:x14="http://schemas.microsoft.com/office/spreadsheetml/2009/9/main" uri="{B025F937-C7B1-47D3-B67F-A62EFF666E3E}">
          <x14:id>{705147E2-19F8-4E73-B36D-2747309EDB42}</x14:id>
        </ext>
      </extLst>
    </cfRule>
    <cfRule type="dataBar" priority="27">
      <dataBar>
        <cfvo type="min"/>
        <cfvo type="max"/>
        <color rgb="FFFF555A"/>
      </dataBar>
      <extLst>
        <ext xmlns:x14="http://schemas.microsoft.com/office/spreadsheetml/2009/9/main" uri="{B025F937-C7B1-47D3-B67F-A62EFF666E3E}">
          <x14:id>{7DF49910-C492-465B-B616-FAF811119F8F}</x14:id>
        </ext>
      </extLst>
    </cfRule>
    <cfRule type="dataBar" priority="28">
      <dataBar>
        <cfvo type="min"/>
        <cfvo type="max"/>
        <color rgb="FFFF555A"/>
      </dataBar>
      <extLst>
        <ext xmlns:x14="http://schemas.microsoft.com/office/spreadsheetml/2009/9/main" uri="{B025F937-C7B1-47D3-B67F-A62EFF666E3E}">
          <x14:id>{893F0DC5-67A0-4260-8AC2-B8D81D601E97}</x14:id>
        </ext>
      </extLst>
    </cfRule>
    <cfRule type="dataBar" priority="29">
      <dataBar>
        <cfvo type="min"/>
        <cfvo type="max"/>
        <color rgb="FFFF555A"/>
      </dataBar>
      <extLst>
        <ext xmlns:x14="http://schemas.microsoft.com/office/spreadsheetml/2009/9/main" uri="{B025F937-C7B1-47D3-B67F-A62EFF666E3E}">
          <x14:id>{97527B70-91B4-4867-942F-B9580E44D6F5}</x14:id>
        </ext>
      </extLst>
    </cfRule>
  </conditionalFormatting>
  <conditionalFormatting sqref="K179">
    <cfRule type="dataBar" priority="22">
      <dataBar>
        <cfvo type="min"/>
        <cfvo type="max"/>
        <color rgb="FFFF555A"/>
      </dataBar>
      <extLst>
        <ext xmlns:x14="http://schemas.microsoft.com/office/spreadsheetml/2009/9/main" uri="{B025F937-C7B1-47D3-B67F-A62EFF666E3E}">
          <x14:id>{4E34EA12-1982-4EE4-B866-2CB241607EC5}</x14:id>
        </ext>
      </extLst>
    </cfRule>
    <cfRule type="dataBar" priority="23">
      <dataBar>
        <cfvo type="min"/>
        <cfvo type="max"/>
        <color rgb="FFFF555A"/>
      </dataBar>
      <extLst>
        <ext xmlns:x14="http://schemas.microsoft.com/office/spreadsheetml/2009/9/main" uri="{B025F937-C7B1-47D3-B67F-A62EFF666E3E}">
          <x14:id>{C6FA38F0-1F8F-4F7A-838A-21713BC75BDC}</x14:id>
        </ext>
      </extLst>
    </cfRule>
    <cfRule type="dataBar" priority="24">
      <dataBar>
        <cfvo type="min"/>
        <cfvo type="max"/>
        <color rgb="FFFF555A"/>
      </dataBar>
      <extLst>
        <ext xmlns:x14="http://schemas.microsoft.com/office/spreadsheetml/2009/9/main" uri="{B025F937-C7B1-47D3-B67F-A62EFF666E3E}">
          <x14:id>{80532266-AAF7-4128-89DA-E91E29ED241A}</x14:id>
        </ext>
      </extLst>
    </cfRule>
    <cfRule type="dataBar" priority="25">
      <dataBar>
        <cfvo type="min"/>
        <cfvo type="max"/>
        <color rgb="FFFF555A"/>
      </dataBar>
      <extLst>
        <ext xmlns:x14="http://schemas.microsoft.com/office/spreadsheetml/2009/9/main" uri="{B025F937-C7B1-47D3-B67F-A62EFF666E3E}">
          <x14:id>{C15B861D-DBC4-4EE9-B582-C006C7E293D3}</x14:id>
        </ext>
      </extLst>
    </cfRule>
  </conditionalFormatting>
  <conditionalFormatting sqref="K181">
    <cfRule type="dataBar" priority="18">
      <dataBar>
        <cfvo type="min"/>
        <cfvo type="max"/>
        <color rgb="FFFF555A"/>
      </dataBar>
      <extLst>
        <ext xmlns:x14="http://schemas.microsoft.com/office/spreadsheetml/2009/9/main" uri="{B025F937-C7B1-47D3-B67F-A62EFF666E3E}">
          <x14:id>{EA906BAB-0280-4848-9D5E-1D2C9DEAA08D}</x14:id>
        </ext>
      </extLst>
    </cfRule>
    <cfRule type="dataBar" priority="19">
      <dataBar>
        <cfvo type="min"/>
        <cfvo type="max"/>
        <color rgb="FFFF555A"/>
      </dataBar>
      <extLst>
        <ext xmlns:x14="http://schemas.microsoft.com/office/spreadsheetml/2009/9/main" uri="{B025F937-C7B1-47D3-B67F-A62EFF666E3E}">
          <x14:id>{7FF12377-41DE-400C-9C60-AA6C26C4C129}</x14:id>
        </ext>
      </extLst>
    </cfRule>
    <cfRule type="dataBar" priority="20">
      <dataBar>
        <cfvo type="min"/>
        <cfvo type="max"/>
        <color rgb="FFFF555A"/>
      </dataBar>
      <extLst>
        <ext xmlns:x14="http://schemas.microsoft.com/office/spreadsheetml/2009/9/main" uri="{B025F937-C7B1-47D3-B67F-A62EFF666E3E}">
          <x14:id>{18D88E09-9767-4FC2-B68A-09898EB6A643}</x14:id>
        </ext>
      </extLst>
    </cfRule>
    <cfRule type="dataBar" priority="21">
      <dataBar>
        <cfvo type="min"/>
        <cfvo type="max"/>
        <color rgb="FFFF555A"/>
      </dataBar>
      <extLst>
        <ext xmlns:x14="http://schemas.microsoft.com/office/spreadsheetml/2009/9/main" uri="{B025F937-C7B1-47D3-B67F-A62EFF666E3E}">
          <x14:id>{608A7593-2F51-4E69-A885-2578838A5226}</x14:id>
        </ext>
      </extLst>
    </cfRule>
  </conditionalFormatting>
  <conditionalFormatting sqref="K189">
    <cfRule type="dataBar" priority="14">
      <dataBar>
        <cfvo type="min"/>
        <cfvo type="max"/>
        <color rgb="FFFF555A"/>
      </dataBar>
      <extLst>
        <ext xmlns:x14="http://schemas.microsoft.com/office/spreadsheetml/2009/9/main" uri="{B025F937-C7B1-47D3-B67F-A62EFF666E3E}">
          <x14:id>{200C6397-3F21-4F2E-B49E-8D46A16E49B1}</x14:id>
        </ext>
      </extLst>
    </cfRule>
    <cfRule type="dataBar" priority="15">
      <dataBar>
        <cfvo type="min"/>
        <cfvo type="max"/>
        <color rgb="FFFF555A"/>
      </dataBar>
      <extLst>
        <ext xmlns:x14="http://schemas.microsoft.com/office/spreadsheetml/2009/9/main" uri="{B025F937-C7B1-47D3-B67F-A62EFF666E3E}">
          <x14:id>{56F8CD62-C059-4923-BE0E-C5E4221941E1}</x14:id>
        </ext>
      </extLst>
    </cfRule>
    <cfRule type="dataBar" priority="16">
      <dataBar>
        <cfvo type="min"/>
        <cfvo type="max"/>
        <color rgb="FFFF555A"/>
      </dataBar>
      <extLst>
        <ext xmlns:x14="http://schemas.microsoft.com/office/spreadsheetml/2009/9/main" uri="{B025F937-C7B1-47D3-B67F-A62EFF666E3E}">
          <x14:id>{E81CB4DE-BDF9-49E3-81B6-B29A3D4644CE}</x14:id>
        </ext>
      </extLst>
    </cfRule>
    <cfRule type="dataBar" priority="17">
      <dataBar>
        <cfvo type="min"/>
        <cfvo type="max"/>
        <color rgb="FFFF555A"/>
      </dataBar>
      <extLst>
        <ext xmlns:x14="http://schemas.microsoft.com/office/spreadsheetml/2009/9/main" uri="{B025F937-C7B1-47D3-B67F-A62EFF666E3E}">
          <x14:id>{E346BCC8-5028-43C5-895D-1A04733D96DD}</x14:id>
        </ext>
      </extLst>
    </cfRule>
  </conditionalFormatting>
  <conditionalFormatting sqref="K191">
    <cfRule type="dataBar" priority="10">
      <dataBar>
        <cfvo type="min"/>
        <cfvo type="max"/>
        <color rgb="FFFF555A"/>
      </dataBar>
      <extLst>
        <ext xmlns:x14="http://schemas.microsoft.com/office/spreadsheetml/2009/9/main" uri="{B025F937-C7B1-47D3-B67F-A62EFF666E3E}">
          <x14:id>{00541628-AAC4-4D4E-8F2A-435CDFDCB91E}</x14:id>
        </ext>
      </extLst>
    </cfRule>
    <cfRule type="dataBar" priority="11">
      <dataBar>
        <cfvo type="min"/>
        <cfvo type="max"/>
        <color rgb="FFFF555A"/>
      </dataBar>
      <extLst>
        <ext xmlns:x14="http://schemas.microsoft.com/office/spreadsheetml/2009/9/main" uri="{B025F937-C7B1-47D3-B67F-A62EFF666E3E}">
          <x14:id>{2296DA24-4699-4AD5-805B-F709ACC57001}</x14:id>
        </ext>
      </extLst>
    </cfRule>
    <cfRule type="dataBar" priority="12">
      <dataBar>
        <cfvo type="min"/>
        <cfvo type="max"/>
        <color rgb="FFFF555A"/>
      </dataBar>
      <extLst>
        <ext xmlns:x14="http://schemas.microsoft.com/office/spreadsheetml/2009/9/main" uri="{B025F937-C7B1-47D3-B67F-A62EFF666E3E}">
          <x14:id>{0FB24EBF-7600-4889-AFB7-4E219683F4DA}</x14:id>
        </ext>
      </extLst>
    </cfRule>
    <cfRule type="dataBar" priority="13">
      <dataBar>
        <cfvo type="min"/>
        <cfvo type="max"/>
        <color rgb="FFFF555A"/>
      </dataBar>
      <extLst>
        <ext xmlns:x14="http://schemas.microsoft.com/office/spreadsheetml/2009/9/main" uri="{B025F937-C7B1-47D3-B67F-A62EFF666E3E}">
          <x14:id>{70445B4D-8E8A-4D10-A614-29A479A7CE7D}</x14:id>
        </ext>
      </extLst>
    </cfRule>
  </conditionalFormatting>
  <conditionalFormatting sqref="K194">
    <cfRule type="dataBar" priority="6">
      <dataBar>
        <cfvo type="min"/>
        <cfvo type="max"/>
        <color rgb="FFFF555A"/>
      </dataBar>
      <extLst>
        <ext xmlns:x14="http://schemas.microsoft.com/office/spreadsheetml/2009/9/main" uri="{B025F937-C7B1-47D3-B67F-A62EFF666E3E}">
          <x14:id>{F86E120D-DE3A-4167-A9AA-75821D244A59}</x14:id>
        </ext>
      </extLst>
    </cfRule>
    <cfRule type="dataBar" priority="7">
      <dataBar>
        <cfvo type="min"/>
        <cfvo type="max"/>
        <color rgb="FFFF555A"/>
      </dataBar>
      <extLst>
        <ext xmlns:x14="http://schemas.microsoft.com/office/spreadsheetml/2009/9/main" uri="{B025F937-C7B1-47D3-B67F-A62EFF666E3E}">
          <x14:id>{02A7FD78-88DA-4F6D-94EF-6EF07034620A}</x14:id>
        </ext>
      </extLst>
    </cfRule>
    <cfRule type="dataBar" priority="8">
      <dataBar>
        <cfvo type="min"/>
        <cfvo type="max"/>
        <color rgb="FFFF555A"/>
      </dataBar>
      <extLst>
        <ext xmlns:x14="http://schemas.microsoft.com/office/spreadsheetml/2009/9/main" uri="{B025F937-C7B1-47D3-B67F-A62EFF666E3E}">
          <x14:id>{2BD369BC-D038-40B9-9227-ABBB42619FED}</x14:id>
        </ext>
      </extLst>
    </cfRule>
    <cfRule type="dataBar" priority="9">
      <dataBar>
        <cfvo type="min"/>
        <cfvo type="max"/>
        <color rgb="FFFF555A"/>
      </dataBar>
      <extLst>
        <ext xmlns:x14="http://schemas.microsoft.com/office/spreadsheetml/2009/9/main" uri="{B025F937-C7B1-47D3-B67F-A62EFF666E3E}">
          <x14:id>{344AA585-37BA-4C1C-8B73-682CAF82DEBC}</x14:id>
        </ext>
      </extLst>
    </cfRule>
  </conditionalFormatting>
  <conditionalFormatting sqref="K200">
    <cfRule type="dataBar" priority="2">
      <dataBar>
        <cfvo type="min"/>
        <cfvo type="max"/>
        <color rgb="FFFF555A"/>
      </dataBar>
      <extLst>
        <ext xmlns:x14="http://schemas.microsoft.com/office/spreadsheetml/2009/9/main" uri="{B025F937-C7B1-47D3-B67F-A62EFF666E3E}">
          <x14:id>{F378DC7D-CD7B-43A1-95B1-23FBDFBC8390}</x14:id>
        </ext>
      </extLst>
    </cfRule>
    <cfRule type="dataBar" priority="3">
      <dataBar>
        <cfvo type="min"/>
        <cfvo type="max"/>
        <color rgb="FFFF555A"/>
      </dataBar>
      <extLst>
        <ext xmlns:x14="http://schemas.microsoft.com/office/spreadsheetml/2009/9/main" uri="{B025F937-C7B1-47D3-B67F-A62EFF666E3E}">
          <x14:id>{7B4F22E4-CFE0-453B-9F96-4CA4BA20194D}</x14:id>
        </ext>
      </extLst>
    </cfRule>
    <cfRule type="dataBar" priority="4">
      <dataBar>
        <cfvo type="min"/>
        <cfvo type="max"/>
        <color rgb="FFFF555A"/>
      </dataBar>
      <extLst>
        <ext xmlns:x14="http://schemas.microsoft.com/office/spreadsheetml/2009/9/main" uri="{B025F937-C7B1-47D3-B67F-A62EFF666E3E}">
          <x14:id>{D0422EAF-168C-42F0-9E44-492A6B50B935}</x14:id>
        </ext>
      </extLst>
    </cfRule>
    <cfRule type="dataBar" priority="5">
      <dataBar>
        <cfvo type="min"/>
        <cfvo type="max"/>
        <color rgb="FFFF555A"/>
      </dataBar>
      <extLst>
        <ext xmlns:x14="http://schemas.microsoft.com/office/spreadsheetml/2009/9/main" uri="{B025F937-C7B1-47D3-B67F-A62EFF666E3E}">
          <x14:id>{820AA7D2-D614-492A-A9EE-C32C88ECAFE5}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E23E7D8-8FE6-4F08-AFFD-7CCE916DBD72}">
            <x14:dataBar minLength="0" maxLength="100" border="1" negativeBarBorderColorSameAsPositive="0">
              <x14:cfvo type="autoMin"/>
              <x14:cfvo type="autoMax"/>
              <x14:borderColor rgb="FFFF555A"/>
              <x14:negativeFillColor rgb="FFFF0000"/>
              <x14:negativeBorderColor rgb="FFFF0000"/>
              <x14:axisColor rgb="FF000000"/>
            </x14:dataBar>
          </x14:cfRule>
          <xm:sqref>K3:K12</xm:sqref>
        </x14:conditionalFormatting>
        <x14:conditionalFormatting xmlns:xm="http://schemas.microsoft.com/office/excel/2006/main">
          <x14:cfRule type="dataBar" id="{CF7E9ADC-D9BE-4613-80E5-87864A44F096}">
            <x14:dataBar minLength="0" maxLength="100" border="1" negativeBarBorderColorSameAsPositive="0">
              <x14:cfvo type="autoMin"/>
              <x14:cfvo type="autoMax"/>
              <x14:borderColor rgb="FFFF555A"/>
              <x14:negativeFillColor rgb="FFFF0000"/>
              <x14:negativeBorderColor rgb="FFFF0000"/>
              <x14:axisColor rgb="FF000000"/>
            </x14:dataBar>
          </x14:cfRule>
          <xm:sqref>K3:K87</xm:sqref>
        </x14:conditionalFormatting>
        <x14:conditionalFormatting xmlns:xm="http://schemas.microsoft.com/office/excel/2006/main">
          <x14:cfRule type="dataBar" id="{81B7248F-A305-4058-8136-CE93E47974A1}">
            <x14:dataBar minLength="0" maxLength="100" border="1" negativeBarBorderColorSameAsPositive="0">
              <x14:cfvo type="autoMin"/>
              <x14:cfvo type="autoMax"/>
              <x14:borderColor rgb="FFFF555A"/>
              <x14:negativeFillColor rgb="FFFF0000"/>
              <x14:negativeBorderColor rgb="FFFF0000"/>
              <x14:axisColor rgb="FF000000"/>
            </x14:dataBar>
          </x14:cfRule>
          <xm:sqref>K3:K99</xm:sqref>
        </x14:conditionalFormatting>
        <x14:conditionalFormatting xmlns:xm="http://schemas.microsoft.com/office/excel/2006/main">
          <x14:cfRule type="dataBar" id="{F3CB212B-3654-4566-AEEC-6F8121AB2773}">
            <x14:dataBar minLength="0" maxLength="100" border="1" negativeBarBorderColorSameAsPositive="0">
              <x14:cfvo type="autoMin"/>
              <x14:cfvo type="autoMax"/>
              <x14:borderColor rgb="FFFF555A"/>
              <x14:negativeFillColor rgb="FFFF0000"/>
              <x14:negativeBorderColor rgb="FFFF0000"/>
              <x14:axisColor rgb="FF000000"/>
            </x14:dataBar>
          </x14:cfRule>
          <xm:sqref>K3:K200</xm:sqref>
        </x14:conditionalFormatting>
        <x14:conditionalFormatting xmlns:xm="http://schemas.microsoft.com/office/excel/2006/main">
          <x14:cfRule type="dataBar" id="{EC919CBC-BD7B-4A9C-B72A-28167DA97D45}">
            <x14:dataBar minLength="0" maxLength="100" border="1" negativeBarBorderColorSameAsPositive="0">
              <x14:cfvo type="autoMin"/>
              <x14:cfvo type="autoMax"/>
              <x14:borderColor rgb="FFFF555A"/>
              <x14:negativeFillColor rgb="FFFF0000"/>
              <x14:negativeBorderColor rgb="FFFF0000"/>
              <x14:axisColor rgb="FF000000"/>
            </x14:dataBar>
          </x14:cfRule>
          <xm:sqref>K14</xm:sqref>
        </x14:conditionalFormatting>
        <x14:conditionalFormatting xmlns:xm="http://schemas.microsoft.com/office/excel/2006/main">
          <x14:cfRule type="dataBar" id="{02427DAC-4D06-4A85-AA90-D34541D4E758}">
            <x14:dataBar minLength="0" maxLength="100" border="1" negativeBarBorderColorSameAsPositive="0">
              <x14:cfvo type="autoMin"/>
              <x14:cfvo type="autoMax"/>
              <x14:borderColor rgb="FFFF555A"/>
              <x14:negativeFillColor rgb="FFFF0000"/>
              <x14:negativeBorderColor rgb="FFFF0000"/>
              <x14:axisColor rgb="FF000000"/>
            </x14:dataBar>
          </x14:cfRule>
          <xm:sqref>K21</xm:sqref>
        </x14:conditionalFormatting>
        <x14:conditionalFormatting xmlns:xm="http://schemas.microsoft.com/office/excel/2006/main">
          <x14:cfRule type="dataBar" id="{D3C8FE45-7DD0-4636-949E-5686C599810E}">
            <x14:dataBar minLength="0" maxLength="100" border="1" negativeBarBorderColorSameAsPositive="0">
              <x14:cfvo type="autoMin"/>
              <x14:cfvo type="autoMax"/>
              <x14:borderColor rgb="FFFF555A"/>
              <x14:negativeFillColor rgb="FFFF0000"/>
              <x14:negativeBorderColor rgb="FFFF0000"/>
              <x14:axisColor rgb="FF000000"/>
            </x14:dataBar>
          </x14:cfRule>
          <xm:sqref>K24</xm:sqref>
        </x14:conditionalFormatting>
        <x14:conditionalFormatting xmlns:xm="http://schemas.microsoft.com/office/excel/2006/main">
          <x14:cfRule type="dataBar" id="{0EB61586-DF24-4298-89FE-CB2C5F763577}">
            <x14:dataBar minLength="0" maxLength="100" border="1" negativeBarBorderColorSameAsPositive="0">
              <x14:cfvo type="autoMin"/>
              <x14:cfvo type="autoMax"/>
              <x14:borderColor rgb="FFFF555A"/>
              <x14:negativeFillColor rgb="FFFF0000"/>
              <x14:negativeBorderColor rgb="FFFF0000"/>
              <x14:axisColor rgb="FF000000"/>
            </x14:dataBar>
          </x14:cfRule>
          <xm:sqref>K27</xm:sqref>
        </x14:conditionalFormatting>
        <x14:conditionalFormatting xmlns:xm="http://schemas.microsoft.com/office/excel/2006/main">
          <x14:cfRule type="dataBar" id="{12455A3C-17BA-4CEC-8E50-01C53793E929}">
            <x14:dataBar minLength="0" maxLength="100" border="1" negativeBarBorderColorSameAsPositive="0">
              <x14:cfvo type="autoMin"/>
              <x14:cfvo type="autoMax"/>
              <x14:borderColor rgb="FFFF555A"/>
              <x14:negativeFillColor rgb="FFFF0000"/>
              <x14:negativeBorderColor rgb="FFFF0000"/>
              <x14:axisColor rgb="FF000000"/>
            </x14:dataBar>
          </x14:cfRule>
          <xm:sqref>K40</xm:sqref>
        </x14:conditionalFormatting>
        <x14:conditionalFormatting xmlns:xm="http://schemas.microsoft.com/office/excel/2006/main">
          <x14:cfRule type="dataBar" id="{EACC8ECE-129A-4EDB-A14C-C5651242B453}">
            <x14:dataBar minLength="0" maxLength="100" border="1" negativeBarBorderColorSameAsPositive="0">
              <x14:cfvo type="autoMin"/>
              <x14:cfvo type="autoMax"/>
              <x14:borderColor rgb="FFFF555A"/>
              <x14:negativeFillColor rgb="FFFF0000"/>
              <x14:negativeBorderColor rgb="FFFF0000"/>
              <x14:axisColor rgb="FF000000"/>
            </x14:dataBar>
          </x14:cfRule>
          <xm:sqref>K46</xm:sqref>
        </x14:conditionalFormatting>
        <x14:conditionalFormatting xmlns:xm="http://schemas.microsoft.com/office/excel/2006/main">
          <x14:cfRule type="dataBar" id="{F0CD78A6-F6A7-4AF3-983B-2C9BA651C549}">
            <x14:dataBar minLength="0" maxLength="100" border="1" negativeBarBorderColorSameAsPositive="0">
              <x14:cfvo type="autoMin"/>
              <x14:cfvo type="autoMax"/>
              <x14:borderColor rgb="FFFF555A"/>
              <x14:negativeFillColor rgb="FFFF0000"/>
              <x14:negativeBorderColor rgb="FFFF0000"/>
              <x14:axisColor rgb="FF000000"/>
            </x14:dataBar>
          </x14:cfRule>
          <xm:sqref>K51</xm:sqref>
        </x14:conditionalFormatting>
        <x14:conditionalFormatting xmlns:xm="http://schemas.microsoft.com/office/excel/2006/main">
          <x14:cfRule type="dataBar" id="{F589E12C-9D1C-4420-98C8-52D3A5985267}">
            <x14:dataBar minLength="0" maxLength="100" border="1" negativeBarBorderColorSameAsPositive="0">
              <x14:cfvo type="autoMin"/>
              <x14:cfvo type="autoMax"/>
              <x14:borderColor rgb="FFFF555A"/>
              <x14:negativeFillColor rgb="FFFF0000"/>
              <x14:negativeBorderColor rgb="FFFF0000"/>
              <x14:axisColor rgb="FF000000"/>
            </x14:dataBar>
          </x14:cfRule>
          <xm:sqref>K56</xm:sqref>
        </x14:conditionalFormatting>
        <x14:conditionalFormatting xmlns:xm="http://schemas.microsoft.com/office/excel/2006/main">
          <x14:cfRule type="dataBar" id="{E581EA87-1FDB-4C4D-B483-B50F4BC1EC36}">
            <x14:dataBar minLength="0" maxLength="100" border="1" negativeBarBorderColorSameAsPositive="0">
              <x14:cfvo type="autoMin"/>
              <x14:cfvo type="autoMax"/>
              <x14:borderColor rgb="FFFF555A"/>
              <x14:negativeFillColor rgb="FFFF0000"/>
              <x14:negativeBorderColor rgb="FFFF0000"/>
              <x14:axisColor rgb="FF000000"/>
            </x14:dataBar>
          </x14:cfRule>
          <xm:sqref>K61</xm:sqref>
        </x14:conditionalFormatting>
        <x14:conditionalFormatting xmlns:xm="http://schemas.microsoft.com/office/excel/2006/main">
          <x14:cfRule type="dataBar" id="{4E386F41-FB6A-47CD-9B31-D95F0CE3C1EE}">
            <x14:dataBar minLength="0" maxLength="100" border="1" negativeBarBorderColorSameAsPositive="0">
              <x14:cfvo type="autoMin"/>
              <x14:cfvo type="autoMax"/>
              <x14:borderColor rgb="FFFF555A"/>
              <x14:negativeFillColor rgb="FFFF0000"/>
              <x14:negativeBorderColor rgb="FFFF0000"/>
              <x14:axisColor rgb="FF000000"/>
            </x14:dataBar>
          </x14:cfRule>
          <xm:sqref>K65</xm:sqref>
        </x14:conditionalFormatting>
        <x14:conditionalFormatting xmlns:xm="http://schemas.microsoft.com/office/excel/2006/main">
          <x14:cfRule type="dataBar" id="{CBA97B0C-1CDA-43E8-AE61-9303EC38FC1D}">
            <x14:dataBar minLength="0" maxLength="100" border="1" negativeBarBorderColorSameAsPositive="0">
              <x14:cfvo type="autoMin"/>
              <x14:cfvo type="autoMax"/>
              <x14:borderColor rgb="FFFF555A"/>
              <x14:negativeFillColor rgb="FFFF0000"/>
              <x14:negativeBorderColor rgb="FFFF0000"/>
              <x14:axisColor rgb="FF000000"/>
            </x14:dataBar>
          </x14:cfRule>
          <xm:sqref>K79</xm:sqref>
        </x14:conditionalFormatting>
        <x14:conditionalFormatting xmlns:xm="http://schemas.microsoft.com/office/excel/2006/main">
          <x14:cfRule type="dataBar" id="{25BC3E49-F9C0-4533-A037-62188166A279}">
            <x14:dataBar minLength="0" maxLength="100" border="1" negativeBarBorderColorSameAsPositive="0">
              <x14:cfvo type="autoMin"/>
              <x14:cfvo type="autoMax"/>
              <x14:borderColor rgb="FFFF555A"/>
              <x14:negativeFillColor rgb="FFFF0000"/>
              <x14:negativeBorderColor rgb="FFFF0000"/>
              <x14:axisColor rgb="FF000000"/>
            </x14:dataBar>
          </x14:cfRule>
          <xm:sqref>K80:K87</xm:sqref>
        </x14:conditionalFormatting>
        <x14:conditionalFormatting xmlns:xm="http://schemas.microsoft.com/office/excel/2006/main">
          <x14:cfRule type="dataBar" id="{9D39F58E-CB78-4C94-AA3E-B838A91200D3}">
            <x14:dataBar minLength="0" maxLength="100" border="1" negativeBarBorderColorSameAsPositive="0">
              <x14:cfvo type="autoMin"/>
              <x14:cfvo type="autoMax"/>
              <x14:borderColor rgb="FFFF555A"/>
              <x14:negativeFillColor rgb="FFFF0000"/>
              <x14:negativeBorderColor rgb="FFFF0000"/>
              <x14:axisColor rgb="FF000000"/>
            </x14:dataBar>
          </x14:cfRule>
          <xm:sqref>K87</xm:sqref>
        </x14:conditionalFormatting>
        <x14:conditionalFormatting xmlns:xm="http://schemas.microsoft.com/office/excel/2006/main">
          <x14:cfRule type="dataBar" id="{120CBC8D-DCC8-4C66-ACE7-8CF2587D325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0F73638-C95B-4B17-9842-C2422A4B3063}">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1E64ADB-1D58-48E0-B00A-068169AF670F}">
            <x14:dataBar minLength="0" maxLength="100" border="1" negativeBarBorderColorSameAsPositive="0">
              <x14:cfvo type="autoMin"/>
              <x14:cfvo type="autoMax"/>
              <x14:borderColor rgb="FFFF555A"/>
              <x14:negativeFillColor rgb="FFFF0000"/>
              <x14:negativeBorderColor rgb="FFFF0000"/>
              <x14:axisColor rgb="FF000000"/>
            </x14:dataBar>
          </x14:cfRule>
          <xm:sqref>K99</xm:sqref>
        </x14:conditionalFormatting>
        <x14:conditionalFormatting xmlns:xm="http://schemas.microsoft.com/office/excel/2006/main">
          <x14:cfRule type="dataBar" id="{C6A52505-2ABA-4FE1-AC4C-297DDF95DC8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79C9325-8CFD-4C6F-8377-6F98E5B423E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ABB1D71-0590-426A-8546-FF3A959A8B6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F70EE5F4-7236-48FE-B0FF-FDBAA1C4936A}">
            <x14:dataBar minLength="0" maxLength="100" border="1" negativeBarBorderColorSameAsPositive="0">
              <x14:cfvo type="autoMin"/>
              <x14:cfvo type="autoMax"/>
              <x14:borderColor rgb="FFFF555A"/>
              <x14:negativeFillColor rgb="FFFF0000"/>
              <x14:negativeBorderColor rgb="FFFF0000"/>
              <x14:axisColor rgb="FF000000"/>
            </x14:dataBar>
          </x14:cfRule>
          <xm:sqref>K117</xm:sqref>
        </x14:conditionalFormatting>
        <x14:conditionalFormatting xmlns:xm="http://schemas.microsoft.com/office/excel/2006/main">
          <x14:cfRule type="dataBar" id="{2C96F90F-014C-43A9-9E69-8976904D4FBB}">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E3332EC-17D7-4F2D-8431-DE11B2D2522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45F9136C-6748-4A94-AFAC-545A365883AC}">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A3591D4E-DF6D-4BE0-816E-2DDB2CED7B9E}">
            <x14:dataBar minLength="0" maxLength="100" border="1" negativeBarBorderColorSameAsPositive="0">
              <x14:cfvo type="autoMin"/>
              <x14:cfvo type="autoMax"/>
              <x14:borderColor rgb="FFFF555A"/>
              <x14:negativeFillColor rgb="FFFF0000"/>
              <x14:negativeBorderColor rgb="FFFF0000"/>
              <x14:axisColor rgb="FF000000"/>
            </x14:dataBar>
          </x14:cfRule>
          <xm:sqref>K123</xm:sqref>
        </x14:conditionalFormatting>
        <x14:conditionalFormatting xmlns:xm="http://schemas.microsoft.com/office/excel/2006/main">
          <x14:cfRule type="dataBar" id="{66E8EB83-F170-4DC9-B092-CC4A08187F8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2087BEE-09C3-485B-B722-CE1EBD4B072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3117235-A094-4CDF-8366-3E8EA2110BB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F68DC356-3F35-4D63-BD5A-A23D101E852D}">
            <x14:dataBar minLength="0" maxLength="100" border="1" negativeBarBorderColorSameAsPositive="0">
              <x14:cfvo type="autoMin"/>
              <x14:cfvo type="autoMax"/>
              <x14:borderColor rgb="FFFF555A"/>
              <x14:negativeFillColor rgb="FFFF0000"/>
              <x14:negativeBorderColor rgb="FFFF0000"/>
              <x14:axisColor rgb="FF000000"/>
            </x14:dataBar>
          </x14:cfRule>
          <xm:sqref>K125</xm:sqref>
        </x14:conditionalFormatting>
        <x14:conditionalFormatting xmlns:xm="http://schemas.microsoft.com/office/excel/2006/main">
          <x14:cfRule type="dataBar" id="{7C0D72E1-FE31-494D-887C-84899CB751D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6CBFCF5-854A-493F-B156-1BB876D08C50}">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2785EFA-A2DF-443D-9297-F71242E687B7}">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4E30059-99DA-41FC-A35C-63E3BCCB2226}">
            <x14:dataBar minLength="0" maxLength="100" border="1" negativeBarBorderColorSameAsPositive="0">
              <x14:cfvo type="autoMin"/>
              <x14:cfvo type="autoMax"/>
              <x14:borderColor rgb="FFFF555A"/>
              <x14:negativeFillColor rgb="FFFF0000"/>
              <x14:negativeBorderColor rgb="FFFF0000"/>
              <x14:axisColor rgb="FF000000"/>
            </x14:dataBar>
          </x14:cfRule>
          <xm:sqref>K127</xm:sqref>
        </x14:conditionalFormatting>
        <x14:conditionalFormatting xmlns:xm="http://schemas.microsoft.com/office/excel/2006/main">
          <x14:cfRule type="dataBar" id="{9841E9A6-2171-4413-8492-E05E2655D81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3E415D9-137E-40E9-A416-1400E108E14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BE804C7-D4B7-45B4-8568-C3F00D4AA38C}">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F6ED4781-24C5-48A8-B7A8-B8206F8C86CE}">
            <x14:dataBar minLength="0" maxLength="100" border="1" negativeBarBorderColorSameAsPositive="0">
              <x14:cfvo type="autoMin"/>
              <x14:cfvo type="autoMax"/>
              <x14:borderColor rgb="FFFF555A"/>
              <x14:negativeFillColor rgb="FFFF0000"/>
              <x14:negativeBorderColor rgb="FFFF0000"/>
              <x14:axisColor rgb="FF000000"/>
            </x14:dataBar>
          </x14:cfRule>
          <xm:sqref>K131</xm:sqref>
        </x14:conditionalFormatting>
        <x14:conditionalFormatting xmlns:xm="http://schemas.microsoft.com/office/excel/2006/main">
          <x14:cfRule type="dataBar" id="{5CADF2D9-0CCE-40C8-A48A-3016ABC7D96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4521DA01-A151-435F-A95B-D57F2A24669B}">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F25BC9E-F575-47E1-965D-51916B493AB0}">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B3A7B3B-15B7-4E35-8748-971B1335AD45}">
            <x14:dataBar minLength="0" maxLength="100" border="1" negativeBarBorderColorSameAsPositive="0">
              <x14:cfvo type="autoMin"/>
              <x14:cfvo type="autoMax"/>
              <x14:borderColor rgb="FFFF555A"/>
              <x14:negativeFillColor rgb="FFFF0000"/>
              <x14:negativeBorderColor rgb="FFFF0000"/>
              <x14:axisColor rgb="FF000000"/>
            </x14:dataBar>
          </x14:cfRule>
          <xm:sqref>K133</xm:sqref>
        </x14:conditionalFormatting>
        <x14:conditionalFormatting xmlns:xm="http://schemas.microsoft.com/office/excel/2006/main">
          <x14:cfRule type="dataBar" id="{34AA003D-2BDB-42E8-84D8-043BD9952170}">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9613C7EB-D1DE-4D97-9366-EB4267F9E9A6}">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9EC9E47-288C-441E-81B2-0591D78DAC6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638A792C-38D2-4F08-A121-25194070DB6B}">
            <x14:dataBar minLength="0" maxLength="100" border="1" negativeBarBorderColorSameAsPositive="0">
              <x14:cfvo type="autoMin"/>
              <x14:cfvo type="autoMax"/>
              <x14:borderColor rgb="FFFF555A"/>
              <x14:negativeFillColor rgb="FFFF0000"/>
              <x14:negativeBorderColor rgb="FFFF0000"/>
              <x14:axisColor rgb="FF000000"/>
            </x14:dataBar>
          </x14:cfRule>
          <xm:sqref>K135</xm:sqref>
        </x14:conditionalFormatting>
        <x14:conditionalFormatting xmlns:xm="http://schemas.microsoft.com/office/excel/2006/main">
          <x14:cfRule type="dataBar" id="{408DFF0A-63C1-458E-870C-45F56266543B}">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09A2B41-EB92-4809-A3CA-6D90820474E6}">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2E37CF7-7F00-4D65-9088-282EB961B4A6}">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024DB97-F08B-4E33-83D0-0F16DA77629E}">
            <x14:dataBar minLength="0" maxLength="100" border="1" negativeBarBorderColorSameAsPositive="0">
              <x14:cfvo type="autoMin"/>
              <x14:cfvo type="autoMax"/>
              <x14:borderColor rgb="FFFF555A"/>
              <x14:negativeFillColor rgb="FFFF0000"/>
              <x14:negativeBorderColor rgb="FFFF0000"/>
              <x14:axisColor rgb="FF000000"/>
            </x14:dataBar>
          </x14:cfRule>
          <xm:sqref>K138</xm:sqref>
        </x14:conditionalFormatting>
        <x14:conditionalFormatting xmlns:xm="http://schemas.microsoft.com/office/excel/2006/main">
          <x14:cfRule type="dataBar" id="{C59FCA09-7BB8-4395-85DC-805FC803E1F3}">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D55574DF-A7FC-4FA6-B84E-3FE93242614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6CEE63CC-1225-40FF-A722-1E65DD7E7A3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1552D50E-A3D0-4CA2-AD8C-2C3621893E8D}">
            <x14:dataBar minLength="0" maxLength="100" border="1" negativeBarBorderColorSameAsPositive="0">
              <x14:cfvo type="autoMin"/>
              <x14:cfvo type="autoMax"/>
              <x14:borderColor rgb="FFFF555A"/>
              <x14:negativeFillColor rgb="FFFF0000"/>
              <x14:negativeBorderColor rgb="FFFF0000"/>
              <x14:axisColor rgb="FF000000"/>
            </x14:dataBar>
          </x14:cfRule>
          <xm:sqref>K142</xm:sqref>
        </x14:conditionalFormatting>
        <x14:conditionalFormatting xmlns:xm="http://schemas.microsoft.com/office/excel/2006/main">
          <x14:cfRule type="dataBar" id="{A5CCDA93-8999-4560-9781-C12A289C3D78}">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2C3A2393-89D3-4A2C-B3AC-5C04A2195D7E}">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469AFEE7-A629-4C56-8A66-78302F0AAF4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04680B9-37B9-484A-80B2-C1173D364730}">
            <x14:dataBar minLength="0" maxLength="100" border="1" negativeBarBorderColorSameAsPositive="0">
              <x14:cfvo type="autoMin"/>
              <x14:cfvo type="autoMax"/>
              <x14:borderColor rgb="FFFF555A"/>
              <x14:negativeFillColor rgb="FFFF0000"/>
              <x14:negativeBorderColor rgb="FFFF0000"/>
              <x14:axisColor rgb="FF000000"/>
            </x14:dataBar>
          </x14:cfRule>
          <xm:sqref>K147</xm:sqref>
        </x14:conditionalFormatting>
        <x14:conditionalFormatting xmlns:xm="http://schemas.microsoft.com/office/excel/2006/main">
          <x14:cfRule type="dataBar" id="{AF23FF68-42C3-4BB7-A816-6F5B21AD4183}">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1B4C0870-8CBE-4B21-A40D-D0F525A16CD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4300821-A916-439E-B922-57D8BAF48BF2}">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A60789D6-BDFA-4BFA-B34B-D50B951CFF83}">
            <x14:dataBar minLength="0" maxLength="100" border="1" negativeBarBorderColorSameAsPositive="0">
              <x14:cfvo type="autoMin"/>
              <x14:cfvo type="autoMax"/>
              <x14:borderColor rgb="FFFF555A"/>
              <x14:negativeFillColor rgb="FFFF0000"/>
              <x14:negativeBorderColor rgb="FFFF0000"/>
              <x14:axisColor rgb="FF000000"/>
            </x14:dataBar>
          </x14:cfRule>
          <xm:sqref>K150</xm:sqref>
        </x14:conditionalFormatting>
        <x14:conditionalFormatting xmlns:xm="http://schemas.microsoft.com/office/excel/2006/main">
          <x14:cfRule type="dataBar" id="{75B94416-BA73-4975-A113-C53DFCF03667}">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D1538F9A-C62D-46BA-B901-33245D43D8C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1204AFFF-7FEC-451A-9A90-D98138C86D4B}">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F2D83DC5-A4DE-4A2E-9CD5-3CE788B4D297}">
            <x14:dataBar minLength="0" maxLength="100" border="1" negativeBarBorderColorSameAsPositive="0">
              <x14:cfvo type="autoMin"/>
              <x14:cfvo type="autoMax"/>
              <x14:borderColor rgb="FFFF555A"/>
              <x14:negativeFillColor rgb="FFFF0000"/>
              <x14:negativeBorderColor rgb="FFFF0000"/>
              <x14:axisColor rgb="FF000000"/>
            </x14:dataBar>
          </x14:cfRule>
          <xm:sqref>K154</xm:sqref>
        </x14:conditionalFormatting>
        <x14:conditionalFormatting xmlns:xm="http://schemas.microsoft.com/office/excel/2006/main">
          <x14:cfRule type="dataBar" id="{E91DD222-90EC-4C62-9368-84302E4364D2}">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29D529A-3FD7-40AE-8C19-A9C051AE5A93}">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D29C556-1C2F-4A13-A5F7-561B00FB9A8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337E0002-D25A-44F4-8E8B-823AA869FBAF}">
            <x14:dataBar minLength="0" maxLength="100" border="1" negativeBarBorderColorSameAsPositive="0">
              <x14:cfvo type="autoMin"/>
              <x14:cfvo type="autoMax"/>
              <x14:borderColor rgb="FFFF555A"/>
              <x14:negativeFillColor rgb="FFFF0000"/>
              <x14:negativeBorderColor rgb="FFFF0000"/>
              <x14:axisColor rgb="FF000000"/>
            </x14:dataBar>
          </x14:cfRule>
          <xm:sqref>K156</xm:sqref>
        </x14:conditionalFormatting>
        <x14:conditionalFormatting xmlns:xm="http://schemas.microsoft.com/office/excel/2006/main">
          <x14:cfRule type="dataBar" id="{604165D2-AA5B-442A-AC56-5F696EABD92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1F47C82-A48E-4843-9299-ED1B889BD352}">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36D90CC8-4D51-40A3-80D4-2BB9B8ED1EF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DCBB16A7-FC48-4128-BFA8-14F280E28F3A}">
            <x14:dataBar minLength="0" maxLength="100" border="1" negativeBarBorderColorSameAsPositive="0">
              <x14:cfvo type="autoMin"/>
              <x14:cfvo type="autoMax"/>
              <x14:borderColor rgb="FFFF555A"/>
              <x14:negativeFillColor rgb="FFFF0000"/>
              <x14:negativeBorderColor rgb="FFFF0000"/>
              <x14:axisColor rgb="FF000000"/>
            </x14:dataBar>
          </x14:cfRule>
          <xm:sqref>K159</xm:sqref>
        </x14:conditionalFormatting>
        <x14:conditionalFormatting xmlns:xm="http://schemas.microsoft.com/office/excel/2006/main">
          <x14:cfRule type="dataBar" id="{705147E2-19F8-4E73-B36D-2747309EDB42}">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DF49910-C492-465B-B616-FAF811119F8F}">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93F0DC5-67A0-4260-8AC2-B8D81D601E97}">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97527B70-91B4-4867-942F-B9580E44D6F5}">
            <x14:dataBar minLength="0" maxLength="100" border="1" negativeBarBorderColorSameAsPositive="0">
              <x14:cfvo type="autoMin"/>
              <x14:cfvo type="autoMax"/>
              <x14:borderColor rgb="FFFF555A"/>
              <x14:negativeFillColor rgb="FFFF0000"/>
              <x14:negativeBorderColor rgb="FFFF0000"/>
              <x14:axisColor rgb="FF000000"/>
            </x14:dataBar>
          </x14:cfRule>
          <xm:sqref>K164</xm:sqref>
        </x14:conditionalFormatting>
        <x14:conditionalFormatting xmlns:xm="http://schemas.microsoft.com/office/excel/2006/main">
          <x14:cfRule type="dataBar" id="{4E34EA12-1982-4EE4-B866-2CB241607EC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6FA38F0-1F8F-4F7A-838A-21713BC75BDC}">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0532266-AAF7-4128-89DA-E91E29ED241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C15B861D-DBC4-4EE9-B582-C006C7E293D3}">
            <x14:dataBar minLength="0" maxLength="100" border="1" negativeBarBorderColorSameAsPositive="0">
              <x14:cfvo type="autoMin"/>
              <x14:cfvo type="autoMax"/>
              <x14:borderColor rgb="FFFF555A"/>
              <x14:negativeFillColor rgb="FFFF0000"/>
              <x14:negativeBorderColor rgb="FFFF0000"/>
              <x14:axisColor rgb="FF000000"/>
            </x14:dataBar>
          </x14:cfRule>
          <xm:sqref>K179</xm:sqref>
        </x14:conditionalFormatting>
        <x14:conditionalFormatting xmlns:xm="http://schemas.microsoft.com/office/excel/2006/main">
          <x14:cfRule type="dataBar" id="{EA906BAB-0280-4848-9D5E-1D2C9DEAA08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FF12377-41DE-400C-9C60-AA6C26C4C12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18D88E09-9767-4FC2-B68A-09898EB6A643}">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608A7593-2F51-4E69-A885-2578838A5226}">
            <x14:dataBar minLength="0" maxLength="100" border="1" negativeBarBorderColorSameAsPositive="0">
              <x14:cfvo type="autoMin"/>
              <x14:cfvo type="autoMax"/>
              <x14:borderColor rgb="FFFF555A"/>
              <x14:negativeFillColor rgb="FFFF0000"/>
              <x14:negativeBorderColor rgb="FFFF0000"/>
              <x14:axisColor rgb="FF000000"/>
            </x14:dataBar>
          </x14:cfRule>
          <xm:sqref>K181</xm:sqref>
        </x14:conditionalFormatting>
        <x14:conditionalFormatting xmlns:xm="http://schemas.microsoft.com/office/excel/2006/main">
          <x14:cfRule type="dataBar" id="{200C6397-3F21-4F2E-B49E-8D46A16E49B1}">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56F8CD62-C059-4923-BE0E-C5E4221941E1}">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81CB4DE-BDF9-49E3-81B6-B29A3D4644CE}">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E346BCC8-5028-43C5-895D-1A04733D96DD}">
            <x14:dataBar minLength="0" maxLength="100" border="1" negativeBarBorderColorSameAsPositive="0">
              <x14:cfvo type="autoMin"/>
              <x14:cfvo type="autoMax"/>
              <x14:borderColor rgb="FFFF555A"/>
              <x14:negativeFillColor rgb="FFFF0000"/>
              <x14:negativeBorderColor rgb="FFFF0000"/>
              <x14:axisColor rgb="FF000000"/>
            </x14:dataBar>
          </x14:cfRule>
          <xm:sqref>K189</xm:sqref>
        </x14:conditionalFormatting>
        <x14:conditionalFormatting xmlns:xm="http://schemas.microsoft.com/office/excel/2006/main">
          <x14:cfRule type="dataBar" id="{00541628-AAC4-4D4E-8F2A-435CDFDCB91E}">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2296DA24-4699-4AD5-805B-F709ACC57001}">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FB24EBF-7600-4889-AFB7-4E219683F4D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0445B4D-8E8A-4D10-A614-29A479A7CE7D}">
            <x14:dataBar minLength="0" maxLength="100" border="1" negativeBarBorderColorSameAsPositive="0">
              <x14:cfvo type="autoMin"/>
              <x14:cfvo type="autoMax"/>
              <x14:borderColor rgb="FFFF555A"/>
              <x14:negativeFillColor rgb="FFFF0000"/>
              <x14:negativeBorderColor rgb="FFFF0000"/>
              <x14:axisColor rgb="FF000000"/>
            </x14:dataBar>
          </x14:cfRule>
          <xm:sqref>K191</xm:sqref>
        </x14:conditionalFormatting>
        <x14:conditionalFormatting xmlns:xm="http://schemas.microsoft.com/office/excel/2006/main">
          <x14:cfRule type="dataBar" id="{F86E120D-DE3A-4167-A9AA-75821D244A59}">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2A7FD78-88DA-4F6D-94EF-6EF07034620A}">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2BD369BC-D038-40B9-9227-ABBB42619FE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344AA585-37BA-4C1C-8B73-682CAF82DEBC}">
            <x14:dataBar minLength="0" maxLength="100" border="1" negativeBarBorderColorSameAsPositive="0">
              <x14:cfvo type="autoMin"/>
              <x14:cfvo type="autoMax"/>
              <x14:borderColor rgb="FFFF555A"/>
              <x14:negativeFillColor rgb="FFFF0000"/>
              <x14:negativeBorderColor rgb="FFFF0000"/>
              <x14:axisColor rgb="FF000000"/>
            </x14:dataBar>
          </x14:cfRule>
          <xm:sqref>K194</xm:sqref>
        </x14:conditionalFormatting>
        <x14:conditionalFormatting xmlns:xm="http://schemas.microsoft.com/office/excel/2006/main">
          <x14:cfRule type="dataBar" id="{F378DC7D-CD7B-43A1-95B1-23FBDFBC8390}">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7B4F22E4-CFE0-453B-9F96-4CA4BA20194D}">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D0422EAF-168C-42F0-9E44-492A6B50B93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820AA7D2-D614-492A-A9EE-C32C88ECAFE5}">
            <x14:dataBar minLength="0" maxLength="100" border="1" negativeBarBorderColorSameAsPositive="0">
              <x14:cfvo type="autoMin"/>
              <x14:cfvo type="autoMax"/>
              <x14:borderColor rgb="FFFF555A"/>
              <x14:negativeFillColor rgb="FFFF0000"/>
              <x14:negativeBorderColor rgb="FFFF0000"/>
              <x14:axisColor rgb="FF000000"/>
            </x14:dataBar>
          </x14:cfRule>
          <xm:sqref>K200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772B-6DAE-43C6-8E73-F1AF1EE78B8A}">
  <sheetPr>
    <tabColor theme="9" tint="0.79998168889431442"/>
  </sheetPr>
  <dimension ref="B1:F63"/>
  <sheetViews>
    <sheetView showGridLines="0" workbookViewId="0">
      <selection activeCell="D60" sqref="D60"/>
    </sheetView>
  </sheetViews>
  <sheetFormatPr baseColWidth="10" defaultColWidth="11.453125" defaultRowHeight="14.5" x14ac:dyDescent="0.35"/>
  <cols>
    <col min="1" max="1" width="1.54296875" style="34" customWidth="1"/>
    <col min="2" max="2" width="24.453125" style="34" bestFit="1" customWidth="1"/>
    <col min="3" max="3" width="37.81640625" style="34" bestFit="1" customWidth="1"/>
    <col min="4" max="4" width="40" style="34" bestFit="1" customWidth="1"/>
    <col min="5" max="5" width="12.7265625" style="34" bestFit="1" customWidth="1"/>
    <col min="6" max="6" width="27.453125" style="34" bestFit="1" customWidth="1"/>
    <col min="7" max="16384" width="11.453125" style="34"/>
  </cols>
  <sheetData>
    <row r="1" spans="2:6" ht="8.25" customHeight="1" x14ac:dyDescent="0.35"/>
    <row r="2" spans="2:6" x14ac:dyDescent="0.35">
      <c r="B2" s="86" t="s">
        <v>929</v>
      </c>
      <c r="C2" s="87" t="s">
        <v>930</v>
      </c>
      <c r="D2" s="87" t="s">
        <v>931</v>
      </c>
      <c r="E2" s="88" t="s">
        <v>932</v>
      </c>
      <c r="F2" s="87" t="s">
        <v>933</v>
      </c>
    </row>
    <row r="3" spans="2:6" x14ac:dyDescent="0.35">
      <c r="B3" s="89" t="s">
        <v>934</v>
      </c>
      <c r="C3" s="90">
        <v>0.88489427231038542</v>
      </c>
      <c r="D3" s="91">
        <v>0</v>
      </c>
      <c r="E3" s="92">
        <v>0</v>
      </c>
      <c r="F3" s="90">
        <v>0.88489427231038542</v>
      </c>
    </row>
    <row r="4" spans="2:6" x14ac:dyDescent="0.35">
      <c r="B4" s="89" t="s">
        <v>935</v>
      </c>
      <c r="C4" s="90">
        <v>0.10310572768961468</v>
      </c>
      <c r="D4" s="91">
        <v>0</v>
      </c>
      <c r="E4" s="92">
        <v>0</v>
      </c>
      <c r="F4" s="90">
        <v>0.10310572768961468</v>
      </c>
    </row>
    <row r="5" spans="2:6" x14ac:dyDescent="0.35">
      <c r="B5" s="93" t="s">
        <v>936</v>
      </c>
      <c r="C5" s="94">
        <v>0.9880000000000001</v>
      </c>
      <c r="D5" s="95">
        <v>0</v>
      </c>
      <c r="E5" s="96">
        <v>0</v>
      </c>
      <c r="F5" s="94">
        <v>0.9880000000000001</v>
      </c>
    </row>
    <row r="6" spans="2:6" x14ac:dyDescent="0.35">
      <c r="B6" s="93" t="s">
        <v>937</v>
      </c>
      <c r="C6" s="94">
        <v>0.502</v>
      </c>
      <c r="D6" s="95">
        <v>0</v>
      </c>
      <c r="E6" s="97">
        <v>0.08</v>
      </c>
      <c r="F6" s="94">
        <v>0.46184000000000003</v>
      </c>
    </row>
    <row r="7" spans="2:6" x14ac:dyDescent="0.35">
      <c r="B7" s="89" t="s">
        <v>938</v>
      </c>
      <c r="C7" s="90">
        <v>0.31079852390852386</v>
      </c>
      <c r="D7" s="91">
        <v>0</v>
      </c>
      <c r="E7" s="98">
        <v>0.01</v>
      </c>
      <c r="F7" s="90">
        <v>0.30769053866943863</v>
      </c>
    </row>
    <row r="8" spans="2:6" x14ac:dyDescent="0.35">
      <c r="B8" s="89" t="s">
        <v>939</v>
      </c>
      <c r="C8" s="90">
        <v>0.17020147609147601</v>
      </c>
      <c r="D8" s="91">
        <v>0</v>
      </c>
      <c r="E8" s="98">
        <v>0.01</v>
      </c>
      <c r="F8" s="90">
        <v>0.16849946133056126</v>
      </c>
    </row>
    <row r="9" spans="2:6" x14ac:dyDescent="0.35">
      <c r="B9" s="93" t="s">
        <v>940</v>
      </c>
      <c r="C9" s="94">
        <v>0.48099999999999987</v>
      </c>
      <c r="D9" s="95">
        <v>0</v>
      </c>
      <c r="E9" s="97">
        <v>0.01</v>
      </c>
      <c r="F9" s="94">
        <v>0.47618999999999989</v>
      </c>
    </row>
    <row r="10" spans="2:6" x14ac:dyDescent="0.35">
      <c r="B10" s="89" t="s">
        <v>509</v>
      </c>
      <c r="C10" s="90">
        <v>0.25995338522969619</v>
      </c>
      <c r="D10" s="91">
        <v>0</v>
      </c>
      <c r="E10" s="92">
        <v>0</v>
      </c>
      <c r="F10" s="90">
        <v>0.25995338522969619</v>
      </c>
    </row>
    <row r="11" spans="2:6" x14ac:dyDescent="0.35">
      <c r="B11" s="89" t="s">
        <v>506</v>
      </c>
      <c r="C11" s="90">
        <v>0.58710560473645679</v>
      </c>
      <c r="D11" s="91">
        <v>0</v>
      </c>
      <c r="E11" s="92">
        <v>0</v>
      </c>
      <c r="F11" s="90">
        <v>0.58710560473645679</v>
      </c>
    </row>
    <row r="12" spans="2:6" s="99" customFormat="1" x14ac:dyDescent="0.35">
      <c r="B12" s="93" t="s">
        <v>941</v>
      </c>
      <c r="C12" s="94">
        <v>0.84705898996615292</v>
      </c>
      <c r="D12" s="95">
        <v>0</v>
      </c>
      <c r="E12" s="96">
        <v>0</v>
      </c>
      <c r="F12" s="94">
        <v>0.84705898996615292</v>
      </c>
    </row>
    <row r="13" spans="2:6" s="99" customFormat="1" x14ac:dyDescent="0.35">
      <c r="B13" s="93" t="s">
        <v>942</v>
      </c>
      <c r="C13" s="94">
        <v>0.92400000000000004</v>
      </c>
      <c r="D13" s="95">
        <v>0</v>
      </c>
      <c r="E13" s="97">
        <v>0.14000000000000001</v>
      </c>
      <c r="F13" s="94">
        <v>0.79464000000000001</v>
      </c>
    </row>
    <row r="14" spans="2:6" s="99" customFormat="1" x14ac:dyDescent="0.35">
      <c r="B14" s="93" t="s">
        <v>943</v>
      </c>
      <c r="C14" s="94">
        <v>1</v>
      </c>
      <c r="D14" s="94">
        <v>0.68200725172267651</v>
      </c>
      <c r="E14" s="97">
        <v>0.16</v>
      </c>
      <c r="F14" s="94">
        <v>0.94912116027562821</v>
      </c>
    </row>
    <row r="15" spans="2:6" s="99" customFormat="1" x14ac:dyDescent="0.35">
      <c r="B15" s="93" t="s">
        <v>944</v>
      </c>
      <c r="C15" s="94">
        <v>0.84</v>
      </c>
      <c r="D15" s="95">
        <v>0</v>
      </c>
      <c r="E15" s="96">
        <v>0</v>
      </c>
      <c r="F15" s="94">
        <v>0.84</v>
      </c>
    </row>
    <row r="16" spans="2:6" s="99" customFormat="1" x14ac:dyDescent="0.35">
      <c r="B16" s="93" t="s">
        <v>945</v>
      </c>
      <c r="C16" s="94">
        <v>0.59399999999999997</v>
      </c>
      <c r="D16" s="95">
        <v>0</v>
      </c>
      <c r="E16" s="97">
        <v>0.06</v>
      </c>
      <c r="F16" s="94">
        <v>0.55835999999999997</v>
      </c>
    </row>
    <row r="17" spans="2:6" s="99" customFormat="1" x14ac:dyDescent="0.35">
      <c r="B17" s="93" t="s">
        <v>946</v>
      </c>
      <c r="C17" s="94">
        <v>0.72619999999999996</v>
      </c>
      <c r="D17" s="95">
        <v>0</v>
      </c>
      <c r="E17" s="96">
        <v>0</v>
      </c>
      <c r="F17" s="94">
        <v>0.72619999999999996</v>
      </c>
    </row>
    <row r="18" spans="2:6" x14ac:dyDescent="0.35">
      <c r="B18" s="89" t="s">
        <v>947</v>
      </c>
      <c r="C18" s="90">
        <v>0.3913335</v>
      </c>
      <c r="D18" s="91">
        <v>0</v>
      </c>
      <c r="E18" s="98">
        <v>0.13</v>
      </c>
      <c r="F18" s="90">
        <v>0.34046014499999999</v>
      </c>
    </row>
    <row r="19" spans="2:6" x14ac:dyDescent="0.35">
      <c r="B19" s="89" t="s">
        <v>565</v>
      </c>
      <c r="C19" s="90">
        <v>8.2800000000000009E-3</v>
      </c>
      <c r="D19" s="91">
        <v>0</v>
      </c>
      <c r="E19" s="98">
        <v>0.13</v>
      </c>
      <c r="F19" s="90">
        <v>7.203600000000001E-3</v>
      </c>
    </row>
    <row r="20" spans="2:6" s="99" customFormat="1" x14ac:dyDescent="0.35">
      <c r="B20" s="93" t="s">
        <v>948</v>
      </c>
      <c r="C20" s="94">
        <v>0.39961349999999995</v>
      </c>
      <c r="D20" s="95">
        <v>0</v>
      </c>
      <c r="E20" s="97">
        <v>0.13</v>
      </c>
      <c r="F20" s="94">
        <v>0.34766374499999997</v>
      </c>
    </row>
    <row r="21" spans="2:6" x14ac:dyDescent="0.35">
      <c r="B21" s="89" t="s">
        <v>567</v>
      </c>
      <c r="C21" s="90">
        <v>2.9100000000000004E-2</v>
      </c>
      <c r="D21" s="91">
        <v>0</v>
      </c>
      <c r="E21" s="98">
        <v>0.19</v>
      </c>
      <c r="F21" s="90">
        <v>2.3571000000000005E-2</v>
      </c>
    </row>
    <row r="22" spans="2:6" x14ac:dyDescent="0.35">
      <c r="B22" s="89" t="s">
        <v>949</v>
      </c>
      <c r="C22" s="90">
        <v>6.4800000000000005E-3</v>
      </c>
      <c r="D22" s="91">
        <v>0</v>
      </c>
      <c r="E22" s="98">
        <v>0.19</v>
      </c>
      <c r="F22" s="90">
        <v>5.2488000000000005E-3</v>
      </c>
    </row>
    <row r="23" spans="2:6" x14ac:dyDescent="0.35">
      <c r="B23" s="89" t="s">
        <v>950</v>
      </c>
      <c r="C23" s="100">
        <v>4.3200000000000009E-3</v>
      </c>
      <c r="D23" s="91">
        <v>0</v>
      </c>
      <c r="E23" s="98">
        <v>0.19</v>
      </c>
      <c r="F23" s="90">
        <v>3.4992000000000009E-3</v>
      </c>
    </row>
    <row r="24" spans="2:6" s="99" customFormat="1" x14ac:dyDescent="0.35">
      <c r="B24" s="93" t="s">
        <v>951</v>
      </c>
      <c r="C24" s="94">
        <v>3.9900000000000005E-2</v>
      </c>
      <c r="D24" s="95">
        <v>0</v>
      </c>
      <c r="E24" s="97">
        <v>0.19</v>
      </c>
      <c r="F24" s="94">
        <v>3.2319000000000007E-2</v>
      </c>
    </row>
    <row r="25" spans="2:6" s="99" customFormat="1" x14ac:dyDescent="0.35">
      <c r="B25" s="93" t="s">
        <v>952</v>
      </c>
      <c r="C25" s="94">
        <v>0.74689721014108412</v>
      </c>
      <c r="D25" s="94">
        <v>0.34283100528463889</v>
      </c>
      <c r="E25" s="97">
        <v>0.24</v>
      </c>
      <c r="F25" s="94">
        <v>0.64992132097553723</v>
      </c>
    </row>
    <row r="26" spans="2:6" x14ac:dyDescent="0.35">
      <c r="B26" s="89" t="s">
        <v>586</v>
      </c>
      <c r="C26" s="90">
        <v>0.20052</v>
      </c>
      <c r="D26" s="91">
        <v>0</v>
      </c>
      <c r="E26" s="98">
        <v>0.09</v>
      </c>
      <c r="F26" s="90">
        <v>0.19964519999999999</v>
      </c>
    </row>
    <row r="27" spans="2:6" x14ac:dyDescent="0.35">
      <c r="B27" s="89" t="s">
        <v>953</v>
      </c>
      <c r="C27" s="90">
        <v>0.12468704412948552</v>
      </c>
      <c r="D27" s="91">
        <v>0</v>
      </c>
      <c r="E27" s="98">
        <v>0.09</v>
      </c>
      <c r="F27" s="90">
        <v>0.11346521015783183</v>
      </c>
    </row>
    <row r="28" spans="2:6" x14ac:dyDescent="0.35">
      <c r="B28" s="89" t="s">
        <v>954</v>
      </c>
      <c r="C28" s="90">
        <v>6.4462178264581768E-2</v>
      </c>
      <c r="D28" s="91">
        <v>0</v>
      </c>
      <c r="E28" s="98">
        <v>0.09</v>
      </c>
      <c r="F28" s="90">
        <v>5.8660582220769412E-2</v>
      </c>
    </row>
    <row r="29" spans="2:6" x14ac:dyDescent="0.35">
      <c r="B29" s="89" t="s">
        <v>955</v>
      </c>
      <c r="C29" s="91">
        <v>0</v>
      </c>
      <c r="D29" s="90">
        <v>2.6040000000000001E-2</v>
      </c>
      <c r="E29" s="98">
        <v>0.09</v>
      </c>
      <c r="F29" s="90">
        <v>2.3435999999999999E-3</v>
      </c>
    </row>
    <row r="30" spans="2:6" s="99" customFormat="1" x14ac:dyDescent="0.35">
      <c r="B30" s="93" t="s">
        <v>956</v>
      </c>
      <c r="C30" s="94">
        <v>0.38966922239406732</v>
      </c>
      <c r="D30" s="94">
        <v>2.6040000000000001E-2</v>
      </c>
      <c r="E30" s="97">
        <v>0.09</v>
      </c>
      <c r="F30" s="94">
        <v>0.37411459237860123</v>
      </c>
    </row>
    <row r="31" spans="2:6" x14ac:dyDescent="0.35">
      <c r="B31" s="89" t="s">
        <v>957</v>
      </c>
      <c r="C31" s="90">
        <v>4.9453048736268004E-2</v>
      </c>
      <c r="D31" s="90">
        <v>0.26301643400000002</v>
      </c>
      <c r="E31" s="98">
        <v>0.26</v>
      </c>
      <c r="F31" s="90">
        <v>0.10497952890483833</v>
      </c>
    </row>
    <row r="32" spans="2:6" x14ac:dyDescent="0.35">
      <c r="B32" s="89" t="s">
        <v>958</v>
      </c>
      <c r="C32" s="90">
        <v>0.13495622800000001</v>
      </c>
      <c r="D32" s="91">
        <v>0</v>
      </c>
      <c r="E32" s="98">
        <v>0.26</v>
      </c>
      <c r="F32" s="90">
        <v>9.9867608720000001E-2</v>
      </c>
    </row>
    <row r="33" spans="2:6" x14ac:dyDescent="0.35">
      <c r="B33" s="89" t="s">
        <v>959</v>
      </c>
      <c r="C33" s="90">
        <v>5.5448471895000004E-2</v>
      </c>
      <c r="D33" s="91">
        <v>0</v>
      </c>
      <c r="E33" s="98">
        <v>0.26</v>
      </c>
      <c r="F33" s="90">
        <v>4.1031869202300002E-2</v>
      </c>
    </row>
    <row r="34" spans="2:6" x14ac:dyDescent="0.35">
      <c r="B34" s="89" t="s">
        <v>960</v>
      </c>
      <c r="C34" s="90">
        <v>1.4999999999999999E-2</v>
      </c>
      <c r="D34" s="91">
        <v>0</v>
      </c>
      <c r="E34" s="92">
        <v>0</v>
      </c>
      <c r="F34" s="90">
        <v>1.4999999999999999E-2</v>
      </c>
    </row>
    <row r="35" spans="2:6" x14ac:dyDescent="0.35">
      <c r="B35" s="89" t="s">
        <v>961</v>
      </c>
      <c r="C35" s="90">
        <v>1.01217171E-2</v>
      </c>
      <c r="D35" s="91">
        <v>0</v>
      </c>
      <c r="E35" s="98">
        <v>0.26</v>
      </c>
      <c r="F35" s="90">
        <v>3.8929681153846152E-2</v>
      </c>
    </row>
    <row r="36" spans="2:6" s="99" customFormat="1" x14ac:dyDescent="0.35">
      <c r="B36" s="93" t="s">
        <v>962</v>
      </c>
      <c r="C36" s="94">
        <v>0.26497946573126802</v>
      </c>
      <c r="D36" s="94">
        <v>0.26301643400000002</v>
      </c>
      <c r="E36" s="97">
        <v>0.26</v>
      </c>
      <c r="F36" s="94">
        <v>0.29980868798098448</v>
      </c>
    </row>
    <row r="37" spans="2:6" s="99" customFormat="1" x14ac:dyDescent="0.35">
      <c r="B37" s="93" t="s">
        <v>963</v>
      </c>
      <c r="C37" s="94">
        <v>0.59742912490745259</v>
      </c>
      <c r="D37" s="94">
        <v>0.41310670731707316</v>
      </c>
      <c r="E37" s="97">
        <v>0.19</v>
      </c>
      <c r="F37" s="94">
        <v>0.59643949929769646</v>
      </c>
    </row>
    <row r="38" spans="2:6" x14ac:dyDescent="0.35">
      <c r="B38" s="89" t="s">
        <v>641</v>
      </c>
      <c r="C38" s="90">
        <v>0.48634999999999995</v>
      </c>
      <c r="D38" s="91">
        <v>0</v>
      </c>
      <c r="E38" s="98">
        <v>0.09</v>
      </c>
      <c r="F38" s="90">
        <v>0.44257849999999999</v>
      </c>
    </row>
    <row r="39" spans="2:6" x14ac:dyDescent="0.35">
      <c r="B39" s="89" t="s">
        <v>964</v>
      </c>
      <c r="C39" s="100">
        <v>1.4399999999999999E-3</v>
      </c>
      <c r="D39" s="91">
        <v>0</v>
      </c>
      <c r="E39" s="98">
        <v>0.09</v>
      </c>
      <c r="F39" s="90">
        <v>1.4399999999999999E-3</v>
      </c>
    </row>
    <row r="40" spans="2:6" s="99" customFormat="1" x14ac:dyDescent="0.35">
      <c r="B40" s="93" t="s">
        <v>965</v>
      </c>
      <c r="C40" s="94">
        <v>0.48778999999999995</v>
      </c>
      <c r="D40" s="95">
        <v>0</v>
      </c>
      <c r="E40" s="97">
        <v>0.09</v>
      </c>
      <c r="F40" s="94">
        <v>0.44401849999999998</v>
      </c>
    </row>
    <row r="41" spans="2:6" s="99" customFormat="1" x14ac:dyDescent="0.35">
      <c r="B41" s="93" t="s">
        <v>966</v>
      </c>
      <c r="C41" s="94">
        <v>1.4084507042253521E-2</v>
      </c>
      <c r="D41" s="95">
        <v>0</v>
      </c>
      <c r="E41" s="97">
        <v>0.09</v>
      </c>
      <c r="F41" s="94">
        <v>1.380281690140845E-2</v>
      </c>
    </row>
    <row r="42" spans="2:6" s="99" customFormat="1" x14ac:dyDescent="0.35">
      <c r="B42" s="93" t="s">
        <v>967</v>
      </c>
      <c r="C42" s="94">
        <v>0.4</v>
      </c>
      <c r="D42" s="95">
        <v>0</v>
      </c>
      <c r="E42" s="96">
        <v>0</v>
      </c>
      <c r="F42" s="94">
        <v>0.4</v>
      </c>
    </row>
    <row r="43" spans="2:6" s="99" customFormat="1" x14ac:dyDescent="0.35">
      <c r="B43" s="93" t="s">
        <v>968</v>
      </c>
      <c r="C43" s="94">
        <v>0.37362226415094335</v>
      </c>
      <c r="D43" s="95">
        <v>0</v>
      </c>
      <c r="E43" s="97">
        <v>0.05</v>
      </c>
      <c r="F43" s="94">
        <v>0.35494115094339618</v>
      </c>
    </row>
    <row r="44" spans="2:6" x14ac:dyDescent="0.35">
      <c r="B44" s="93" t="s">
        <v>969</v>
      </c>
      <c r="C44" s="90">
        <v>0.4</v>
      </c>
      <c r="D44" s="91">
        <v>0</v>
      </c>
      <c r="E44" s="92">
        <v>0</v>
      </c>
      <c r="F44" s="90">
        <v>0.4</v>
      </c>
    </row>
    <row r="45" spans="2:6" s="99" customFormat="1" x14ac:dyDescent="0.35">
      <c r="B45" s="93" t="s">
        <v>970</v>
      </c>
      <c r="C45" s="94">
        <v>0.70044372958112511</v>
      </c>
      <c r="D45" s="95">
        <v>0</v>
      </c>
      <c r="E45" s="96">
        <v>0</v>
      </c>
      <c r="F45" s="94">
        <v>0.70044372958112511</v>
      </c>
    </row>
    <row r="46" spans="2:6" x14ac:dyDescent="0.35">
      <c r="B46" s="89" t="s">
        <v>971</v>
      </c>
      <c r="C46" s="90">
        <v>0.79920000000000002</v>
      </c>
      <c r="D46" s="95">
        <v>0</v>
      </c>
      <c r="E46" s="98">
        <v>0.11</v>
      </c>
      <c r="F46" s="90">
        <v>0.71128800000000003</v>
      </c>
    </row>
    <row r="47" spans="2:6" x14ac:dyDescent="0.35">
      <c r="B47" s="89" t="s">
        <v>972</v>
      </c>
      <c r="C47" s="90">
        <v>8.8800000000000004E-2</v>
      </c>
      <c r="D47" s="91">
        <v>0</v>
      </c>
      <c r="E47" s="98">
        <v>0.11</v>
      </c>
      <c r="F47" s="90">
        <v>7.9032000000000005E-2</v>
      </c>
    </row>
    <row r="48" spans="2:6" s="99" customFormat="1" x14ac:dyDescent="0.35">
      <c r="B48" s="93" t="s">
        <v>973</v>
      </c>
      <c r="C48" s="94">
        <v>0.88800000000000001</v>
      </c>
      <c r="D48" s="95">
        <v>0</v>
      </c>
      <c r="E48" s="97">
        <v>0.11</v>
      </c>
      <c r="F48" s="94">
        <v>0.79032000000000002</v>
      </c>
    </row>
    <row r="49" spans="2:6" s="99" customFormat="1" x14ac:dyDescent="0.35">
      <c r="B49" s="93" t="s">
        <v>974</v>
      </c>
      <c r="C49" s="94">
        <v>0.13805262135632221</v>
      </c>
      <c r="D49" s="95">
        <v>0</v>
      </c>
      <c r="E49" s="97">
        <v>0.17</v>
      </c>
      <c r="F49" s="94">
        <v>0.11458367572574743</v>
      </c>
    </row>
    <row r="50" spans="2:6" s="99" customFormat="1" x14ac:dyDescent="0.35">
      <c r="B50" s="93" t="s">
        <v>975</v>
      </c>
      <c r="C50" s="94">
        <v>0.43590000000000001</v>
      </c>
      <c r="D50" s="95">
        <v>0</v>
      </c>
      <c r="E50" s="97">
        <v>0.21</v>
      </c>
      <c r="F50" s="94">
        <v>0.34436100000000003</v>
      </c>
    </row>
    <row r="51" spans="2:6" s="99" customFormat="1" x14ac:dyDescent="0.35">
      <c r="B51" s="93" t="s">
        <v>976</v>
      </c>
      <c r="C51" s="94">
        <v>0.47638272103350826</v>
      </c>
      <c r="D51" s="95">
        <v>0</v>
      </c>
      <c r="E51" s="96">
        <v>0</v>
      </c>
      <c r="F51" s="94">
        <v>0.47638272103350826</v>
      </c>
    </row>
    <row r="52" spans="2:6" s="99" customFormat="1" x14ac:dyDescent="0.35">
      <c r="B52" s="93" t="s">
        <v>977</v>
      </c>
      <c r="C52" s="94">
        <v>0.61398037077426382</v>
      </c>
      <c r="D52" s="95">
        <v>0</v>
      </c>
      <c r="E52" s="96">
        <v>0</v>
      </c>
      <c r="F52" s="94">
        <v>0.61398037077426382</v>
      </c>
    </row>
    <row r="53" spans="2:6" s="99" customFormat="1" x14ac:dyDescent="0.35">
      <c r="B53" s="93" t="s">
        <v>978</v>
      </c>
      <c r="C53" s="94">
        <v>0.41440000000000005</v>
      </c>
      <c r="D53" s="95">
        <v>0</v>
      </c>
      <c r="E53" s="97">
        <v>7.0000000000000007E-2</v>
      </c>
      <c r="F53" s="94">
        <v>0.38539200000000001</v>
      </c>
    </row>
    <row r="54" spans="2:6" s="99" customFormat="1" x14ac:dyDescent="0.35">
      <c r="B54" s="93" t="s">
        <v>979</v>
      </c>
      <c r="C54" s="94">
        <v>0.70013623978201633</v>
      </c>
      <c r="D54" s="95">
        <v>0</v>
      </c>
      <c r="E54" s="96">
        <v>0</v>
      </c>
      <c r="F54" s="94">
        <v>0.70013623978201633</v>
      </c>
    </row>
    <row r="55" spans="2:6" x14ac:dyDescent="0.35">
      <c r="B55" s="89" t="s">
        <v>980</v>
      </c>
      <c r="C55" s="90">
        <v>0.61814999999999998</v>
      </c>
      <c r="D55" s="95">
        <v>0</v>
      </c>
      <c r="E55" s="98">
        <v>0.27</v>
      </c>
      <c r="F55" s="90">
        <v>0.45124949999999997</v>
      </c>
    </row>
    <row r="56" spans="2:6" x14ac:dyDescent="0.35">
      <c r="B56" s="89" t="s">
        <v>981</v>
      </c>
      <c r="C56" s="91">
        <v>0</v>
      </c>
      <c r="D56" s="90">
        <v>2.5500000000000002E-2</v>
      </c>
      <c r="E56" s="98">
        <v>0.27</v>
      </c>
      <c r="F56" s="90">
        <v>6.8850000000000014E-3</v>
      </c>
    </row>
    <row r="57" spans="2:6" s="99" customFormat="1" x14ac:dyDescent="0.35">
      <c r="B57" s="93" t="s">
        <v>982</v>
      </c>
      <c r="C57" s="94">
        <v>0.61814999999999998</v>
      </c>
      <c r="D57" s="94">
        <v>2.5500000000000002E-2</v>
      </c>
      <c r="E57" s="97">
        <v>0.27</v>
      </c>
      <c r="F57" s="94">
        <v>0.45813449999999994</v>
      </c>
    </row>
    <row r="58" spans="2:6" s="99" customFormat="1" x14ac:dyDescent="0.35">
      <c r="B58" s="93" t="s">
        <v>983</v>
      </c>
      <c r="C58" s="94">
        <v>0.27432123623300436</v>
      </c>
      <c r="D58" s="94">
        <v>9.7005331692210303E-3</v>
      </c>
      <c r="E58" s="97">
        <v>0.23</v>
      </c>
      <c r="F58" s="94">
        <v>0.21345847452833419</v>
      </c>
    </row>
    <row r="59" spans="2:6" s="99" customFormat="1" x14ac:dyDescent="0.35">
      <c r="B59" s="93" t="s">
        <v>984</v>
      </c>
      <c r="C59" s="94">
        <v>0.33</v>
      </c>
      <c r="D59" s="95">
        <v>0</v>
      </c>
      <c r="E59" s="96">
        <v>0</v>
      </c>
      <c r="F59" s="94">
        <v>0.33</v>
      </c>
    </row>
    <row r="60" spans="2:6" s="99" customFormat="1" x14ac:dyDescent="0.35">
      <c r="B60" s="93" t="s">
        <v>985</v>
      </c>
      <c r="C60" s="94">
        <v>0.54630000000000012</v>
      </c>
      <c r="D60" s="94">
        <v>0.43200000000000005</v>
      </c>
      <c r="E60" s="97">
        <v>0.5</v>
      </c>
      <c r="F60" s="94">
        <v>0.48915000000000008</v>
      </c>
    </row>
    <row r="61" spans="2:6" s="99" customFormat="1" x14ac:dyDescent="0.35">
      <c r="B61" s="93" t="s">
        <v>986</v>
      </c>
      <c r="C61" s="94">
        <v>1.2212151126267614E-2</v>
      </c>
      <c r="D61" s="95">
        <v>0</v>
      </c>
      <c r="E61" s="97">
        <v>0.01</v>
      </c>
      <c r="F61" s="94">
        <v>1.2090029615004938E-2</v>
      </c>
    </row>
    <row r="62" spans="2:6" s="99" customFormat="1" x14ac:dyDescent="0.35">
      <c r="B62" s="93" t="s">
        <v>987</v>
      </c>
      <c r="C62" s="94">
        <v>0.95</v>
      </c>
      <c r="D62" s="94">
        <v>0.7</v>
      </c>
      <c r="E62" s="97">
        <v>0.10800000000000001</v>
      </c>
      <c r="F62" s="94">
        <v>0.92299999999999993</v>
      </c>
    </row>
    <row r="63" spans="2:6" s="99" customFormat="1" x14ac:dyDescent="0.35">
      <c r="B63" s="101" t="s">
        <v>988</v>
      </c>
      <c r="C63" s="102">
        <v>0.86329999999999985</v>
      </c>
      <c r="D63" s="103">
        <v>0</v>
      </c>
      <c r="E63" s="104">
        <v>0.01</v>
      </c>
      <c r="F63" s="102">
        <v>0.85466699999999984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CFA7-2160-4DCA-8A55-18637F5C1676}">
  <sheetPr>
    <tabColor theme="2" tint="-0.249977111117893"/>
  </sheetPr>
  <dimension ref="B1:L50"/>
  <sheetViews>
    <sheetView showGridLines="0" workbookViewId="0">
      <selection activeCell="F14" sqref="F14"/>
    </sheetView>
  </sheetViews>
  <sheetFormatPr baseColWidth="10" defaultRowHeight="14.5" x14ac:dyDescent="0.35"/>
  <cols>
    <col min="1" max="1" width="0.90625" customWidth="1"/>
  </cols>
  <sheetData>
    <row r="1" spans="2:12" ht="5" customHeight="1" x14ac:dyDescent="0.35"/>
    <row r="2" spans="2:12" x14ac:dyDescent="0.35">
      <c r="B2" s="105" t="s">
        <v>724</v>
      </c>
      <c r="C2" s="106"/>
      <c r="D2" s="106"/>
      <c r="E2" s="106"/>
      <c r="F2" s="106"/>
      <c r="G2" s="106"/>
      <c r="H2" s="106"/>
      <c r="I2" s="106"/>
      <c r="J2" s="106"/>
      <c r="K2" s="106"/>
      <c r="L2" s="106"/>
    </row>
    <row r="3" spans="2:12" x14ac:dyDescent="0.35">
      <c r="B3" s="105" t="s">
        <v>725</v>
      </c>
      <c r="C3" s="106"/>
      <c r="D3" s="106"/>
      <c r="E3" s="106"/>
      <c r="F3" s="106"/>
      <c r="G3" s="106"/>
      <c r="H3" s="106"/>
      <c r="I3" s="106"/>
      <c r="J3" s="106"/>
      <c r="K3" s="106"/>
      <c r="L3" s="106"/>
    </row>
    <row r="4" spans="2:12" x14ac:dyDescent="0.35">
      <c r="B4" s="105" t="s">
        <v>726</v>
      </c>
      <c r="C4" s="106"/>
      <c r="D4" s="106"/>
      <c r="E4" s="106"/>
      <c r="F4" s="106"/>
      <c r="G4" s="106"/>
      <c r="H4" s="106"/>
      <c r="I4" s="106"/>
      <c r="J4" s="106"/>
      <c r="K4" s="106"/>
      <c r="L4" s="106"/>
    </row>
    <row r="5" spans="2:12" x14ac:dyDescent="0.35">
      <c r="B5" s="105" t="s">
        <v>727</v>
      </c>
      <c r="C5" s="106"/>
      <c r="D5" s="106"/>
      <c r="E5" s="106"/>
      <c r="F5" s="106"/>
      <c r="G5" s="106"/>
      <c r="H5" s="106"/>
      <c r="I5" s="106"/>
      <c r="J5" s="106"/>
      <c r="K5" s="106"/>
      <c r="L5" s="106"/>
    </row>
    <row r="6" spans="2:12" x14ac:dyDescent="0.35">
      <c r="B6" s="105" t="s">
        <v>728</v>
      </c>
      <c r="C6" s="106"/>
      <c r="D6" s="106"/>
      <c r="E6" s="106"/>
      <c r="F6" s="106"/>
      <c r="G6" s="106"/>
      <c r="H6" s="106"/>
      <c r="I6" s="106"/>
      <c r="J6" s="106"/>
      <c r="K6" s="106"/>
      <c r="L6" s="106"/>
    </row>
    <row r="7" spans="2:12" x14ac:dyDescent="0.35">
      <c r="B7" s="105" t="s">
        <v>729</v>
      </c>
      <c r="C7" s="106"/>
      <c r="D7" s="106"/>
      <c r="E7" s="106"/>
      <c r="F7" s="106"/>
      <c r="G7" s="106"/>
      <c r="H7" s="106"/>
      <c r="I7" s="106"/>
      <c r="J7" s="106"/>
      <c r="K7" s="106"/>
      <c r="L7" s="106"/>
    </row>
    <row r="8" spans="2:12" x14ac:dyDescent="0.35">
      <c r="B8" s="105" t="s">
        <v>730</v>
      </c>
      <c r="C8" s="106"/>
      <c r="D8" s="106"/>
      <c r="E8" s="106"/>
      <c r="F8" s="106"/>
      <c r="G8" s="106"/>
      <c r="H8" s="106"/>
      <c r="I8" s="106"/>
      <c r="J8" s="106"/>
      <c r="K8" s="106"/>
      <c r="L8" s="106"/>
    </row>
    <row r="9" spans="2:12" x14ac:dyDescent="0.35">
      <c r="B9" s="105" t="s">
        <v>731</v>
      </c>
      <c r="C9" s="106"/>
      <c r="D9" s="106"/>
      <c r="E9" s="106"/>
      <c r="F9" s="106"/>
      <c r="G9" s="106"/>
      <c r="H9" s="106"/>
      <c r="I9" s="106"/>
      <c r="J9" s="106"/>
      <c r="K9" s="106"/>
      <c r="L9" s="106"/>
    </row>
    <row r="10" spans="2:12" x14ac:dyDescent="0.35">
      <c r="B10" s="105" t="s">
        <v>732</v>
      </c>
      <c r="C10" s="106"/>
      <c r="D10" s="106"/>
      <c r="E10" s="106"/>
      <c r="F10" s="106"/>
      <c r="G10" s="106"/>
      <c r="H10" s="106"/>
      <c r="I10" s="106"/>
      <c r="J10" s="106"/>
      <c r="K10" s="106"/>
      <c r="L10" s="106"/>
    </row>
    <row r="11" spans="2:12" x14ac:dyDescent="0.35">
      <c r="B11" s="105" t="s">
        <v>733</v>
      </c>
      <c r="C11" s="106"/>
      <c r="D11" s="106"/>
      <c r="E11" s="106"/>
      <c r="F11" s="106"/>
      <c r="G11" s="106"/>
      <c r="H11" s="106"/>
      <c r="I11" s="106"/>
      <c r="J11" s="106"/>
      <c r="K11" s="106"/>
      <c r="L11" s="106"/>
    </row>
    <row r="12" spans="2:12" x14ac:dyDescent="0.35">
      <c r="B12" s="105" t="s">
        <v>734</v>
      </c>
      <c r="C12" s="106"/>
      <c r="D12" s="106"/>
      <c r="E12" s="106"/>
      <c r="F12" s="106"/>
      <c r="G12" s="106"/>
      <c r="H12" s="106"/>
      <c r="I12" s="106"/>
      <c r="J12" s="106"/>
      <c r="K12" s="106"/>
      <c r="L12" s="106"/>
    </row>
    <row r="13" spans="2:12" x14ac:dyDescent="0.35">
      <c r="B13" s="105" t="s">
        <v>735</v>
      </c>
      <c r="C13" s="106"/>
      <c r="D13" s="106"/>
      <c r="E13" s="106"/>
      <c r="F13" s="106"/>
      <c r="G13" s="106"/>
      <c r="H13" s="106"/>
      <c r="I13" s="106"/>
      <c r="J13" s="106"/>
      <c r="K13" s="106"/>
      <c r="L13" s="106"/>
    </row>
    <row r="14" spans="2:12" x14ac:dyDescent="0.35">
      <c r="B14" s="105" t="s">
        <v>736</v>
      </c>
      <c r="C14" s="106"/>
      <c r="D14" s="106"/>
      <c r="E14" s="106"/>
      <c r="F14" s="106"/>
      <c r="G14" s="106"/>
      <c r="H14" s="106"/>
      <c r="I14" s="106"/>
      <c r="J14" s="106"/>
      <c r="K14" s="106"/>
      <c r="L14" s="106"/>
    </row>
    <row r="15" spans="2:12" x14ac:dyDescent="0.35">
      <c r="B15" s="105" t="s">
        <v>737</v>
      </c>
      <c r="C15" s="106"/>
      <c r="D15" s="106"/>
      <c r="E15" s="106"/>
      <c r="F15" s="106"/>
      <c r="G15" s="106"/>
      <c r="H15" s="106"/>
      <c r="I15" s="106"/>
      <c r="J15" s="106"/>
      <c r="K15" s="106"/>
      <c r="L15" s="106"/>
    </row>
    <row r="16" spans="2:12" x14ac:dyDescent="0.35">
      <c r="B16" s="107" t="s">
        <v>738</v>
      </c>
      <c r="C16" s="106"/>
      <c r="D16" s="106"/>
      <c r="E16" s="106"/>
      <c r="F16" s="106"/>
      <c r="G16" s="106"/>
      <c r="H16" s="106"/>
      <c r="I16" s="106"/>
      <c r="J16" s="106"/>
      <c r="K16" s="106"/>
      <c r="L16" s="106"/>
    </row>
    <row r="17" spans="2:12" x14ac:dyDescent="0.35">
      <c r="B17" s="107" t="s">
        <v>739</v>
      </c>
      <c r="C17" s="106"/>
      <c r="D17" s="106"/>
      <c r="E17" s="106"/>
      <c r="F17" s="106"/>
      <c r="G17" s="106"/>
      <c r="H17" s="106"/>
      <c r="I17" s="106"/>
      <c r="J17" s="106"/>
      <c r="K17" s="106"/>
      <c r="L17" s="106"/>
    </row>
    <row r="18" spans="2:12" x14ac:dyDescent="0.35">
      <c r="B18" s="107" t="s">
        <v>740</v>
      </c>
      <c r="C18" s="106"/>
      <c r="D18" s="106"/>
      <c r="E18" s="106"/>
      <c r="F18" s="106"/>
      <c r="G18" s="106"/>
      <c r="H18" s="106"/>
      <c r="I18" s="106"/>
      <c r="J18" s="106"/>
      <c r="K18" s="106"/>
      <c r="L18" s="106"/>
    </row>
    <row r="19" spans="2:12" x14ac:dyDescent="0.35">
      <c r="B19" s="107" t="s">
        <v>741</v>
      </c>
      <c r="C19" s="106"/>
      <c r="D19" s="106"/>
      <c r="E19" s="106"/>
      <c r="F19" s="106"/>
      <c r="G19" s="106"/>
      <c r="H19" s="106"/>
      <c r="I19" s="106"/>
      <c r="J19" s="106"/>
      <c r="K19" s="106"/>
      <c r="L19" s="106"/>
    </row>
    <row r="20" spans="2:12" x14ac:dyDescent="0.35">
      <c r="B20" s="107" t="s">
        <v>742</v>
      </c>
      <c r="C20" s="106"/>
      <c r="D20" s="106"/>
      <c r="E20" s="106"/>
      <c r="F20" s="106"/>
      <c r="G20" s="106"/>
      <c r="H20" s="106"/>
      <c r="I20" s="106"/>
      <c r="J20" s="106"/>
      <c r="K20" s="106"/>
      <c r="L20" s="106"/>
    </row>
    <row r="21" spans="2:12" x14ac:dyDescent="0.35">
      <c r="B21" s="107" t="s">
        <v>743</v>
      </c>
      <c r="C21" s="106"/>
      <c r="D21" s="106"/>
      <c r="E21" s="106"/>
      <c r="F21" s="106"/>
      <c r="G21" s="106"/>
      <c r="H21" s="106"/>
      <c r="I21" s="106"/>
      <c r="J21" s="106"/>
      <c r="K21" s="106"/>
      <c r="L21" s="106"/>
    </row>
    <row r="22" spans="2:12" x14ac:dyDescent="0.35">
      <c r="B22" s="107" t="s">
        <v>744</v>
      </c>
      <c r="C22" s="106"/>
      <c r="D22" s="106"/>
      <c r="E22" s="106"/>
      <c r="F22" s="106"/>
      <c r="G22" s="106"/>
      <c r="H22" s="106"/>
      <c r="I22" s="106"/>
      <c r="J22" s="106"/>
      <c r="K22" s="106"/>
      <c r="L22" s="106"/>
    </row>
    <row r="23" spans="2:12" x14ac:dyDescent="0.35">
      <c r="B23" s="107" t="s">
        <v>745</v>
      </c>
      <c r="C23" s="106"/>
      <c r="D23" s="106"/>
      <c r="E23" s="106"/>
      <c r="F23" s="106"/>
      <c r="G23" s="106"/>
      <c r="H23" s="106"/>
      <c r="I23" s="106"/>
      <c r="J23" s="106"/>
      <c r="K23" s="106"/>
      <c r="L23" s="106"/>
    </row>
    <row r="24" spans="2:12" x14ac:dyDescent="0.35">
      <c r="B24" s="107" t="s">
        <v>746</v>
      </c>
      <c r="C24" s="106"/>
      <c r="D24" s="106"/>
      <c r="E24" s="106"/>
      <c r="F24" s="106"/>
      <c r="G24" s="106"/>
      <c r="H24" s="106"/>
      <c r="I24" s="106"/>
      <c r="J24" s="106"/>
      <c r="K24" s="106"/>
      <c r="L24" s="106"/>
    </row>
    <row r="25" spans="2:12" x14ac:dyDescent="0.35">
      <c r="B25" s="107" t="s">
        <v>747</v>
      </c>
      <c r="C25" s="106"/>
      <c r="D25" s="106"/>
      <c r="E25" s="106"/>
      <c r="F25" s="106"/>
      <c r="G25" s="106"/>
      <c r="H25" s="106"/>
      <c r="I25" s="106"/>
      <c r="J25" s="106"/>
      <c r="K25" s="106"/>
      <c r="L25" s="106"/>
    </row>
    <row r="26" spans="2:12" x14ac:dyDescent="0.35">
      <c r="B26" s="107" t="s">
        <v>748</v>
      </c>
      <c r="C26" s="106"/>
      <c r="D26" s="106"/>
      <c r="E26" s="106"/>
      <c r="F26" s="106"/>
      <c r="G26" s="106"/>
      <c r="H26" s="106"/>
      <c r="I26" s="106"/>
      <c r="J26" s="106"/>
      <c r="K26" s="106"/>
      <c r="L26" s="106"/>
    </row>
    <row r="27" spans="2:12" x14ac:dyDescent="0.35">
      <c r="B27" s="107" t="s">
        <v>749</v>
      </c>
      <c r="C27" s="106"/>
      <c r="D27" s="106"/>
      <c r="E27" s="106"/>
      <c r="F27" s="106"/>
      <c r="G27" s="106"/>
      <c r="H27" s="106"/>
      <c r="I27" s="106"/>
      <c r="J27" s="106"/>
      <c r="K27" s="106"/>
      <c r="L27" s="106"/>
    </row>
    <row r="28" spans="2:12" x14ac:dyDescent="0.35">
      <c r="B28" s="107" t="s">
        <v>750</v>
      </c>
      <c r="C28" s="106"/>
      <c r="D28" s="106"/>
      <c r="E28" s="106"/>
      <c r="F28" s="106"/>
      <c r="G28" s="106"/>
      <c r="H28" s="106"/>
      <c r="I28" s="106"/>
      <c r="J28" s="106"/>
      <c r="K28" s="106"/>
      <c r="L28" s="106"/>
    </row>
    <row r="29" spans="2:12" x14ac:dyDescent="0.35">
      <c r="B29" s="107" t="s">
        <v>751</v>
      </c>
      <c r="C29" s="106"/>
      <c r="D29" s="106"/>
      <c r="E29" s="106"/>
      <c r="F29" s="106"/>
      <c r="G29" s="106"/>
      <c r="H29" s="106"/>
      <c r="I29" s="106"/>
      <c r="J29" s="106"/>
      <c r="K29" s="106"/>
      <c r="L29" s="106"/>
    </row>
    <row r="30" spans="2:12" x14ac:dyDescent="0.35">
      <c r="B30" s="107" t="s">
        <v>752</v>
      </c>
      <c r="C30" s="106"/>
      <c r="D30" s="106"/>
      <c r="E30" s="106"/>
      <c r="F30" s="106"/>
      <c r="G30" s="106"/>
      <c r="H30" s="106"/>
      <c r="I30" s="106"/>
      <c r="J30" s="106"/>
      <c r="K30" s="106"/>
      <c r="L30" s="106"/>
    </row>
    <row r="31" spans="2:12" x14ac:dyDescent="0.35">
      <c r="B31" s="107" t="s">
        <v>753</v>
      </c>
      <c r="C31" s="106"/>
      <c r="D31" s="106"/>
      <c r="E31" s="106"/>
      <c r="F31" s="106"/>
      <c r="G31" s="106"/>
      <c r="H31" s="106"/>
      <c r="I31" s="106"/>
      <c r="J31" s="106"/>
      <c r="K31" s="106"/>
      <c r="L31" s="106"/>
    </row>
    <row r="32" spans="2:12" x14ac:dyDescent="0.35">
      <c r="B32" s="107" t="s">
        <v>754</v>
      </c>
      <c r="C32" s="106"/>
      <c r="D32" s="106"/>
      <c r="E32" s="106"/>
      <c r="F32" s="106"/>
      <c r="G32" s="106"/>
      <c r="H32" s="106"/>
      <c r="I32" s="106"/>
      <c r="J32" s="106"/>
      <c r="K32" s="106"/>
      <c r="L32" s="106"/>
    </row>
    <row r="33" spans="2:12" x14ac:dyDescent="0.35">
      <c r="B33" s="105" t="s">
        <v>755</v>
      </c>
      <c r="C33" s="106"/>
      <c r="D33" s="106"/>
      <c r="E33" s="106"/>
      <c r="F33" s="106"/>
      <c r="G33" s="106"/>
      <c r="H33" s="106"/>
      <c r="I33" s="106"/>
      <c r="J33" s="106"/>
      <c r="K33" s="106"/>
      <c r="L33" s="106"/>
    </row>
    <row r="34" spans="2:12" x14ac:dyDescent="0.35">
      <c r="B34" s="105" t="s">
        <v>756</v>
      </c>
      <c r="C34" s="106"/>
      <c r="D34" s="106"/>
      <c r="E34" s="106"/>
      <c r="F34" s="106"/>
      <c r="G34" s="106"/>
      <c r="H34" s="106"/>
      <c r="I34" s="106"/>
      <c r="J34" s="106"/>
      <c r="K34" s="106"/>
      <c r="L34" s="106"/>
    </row>
    <row r="35" spans="2:12" x14ac:dyDescent="0.35">
      <c r="B35" s="105" t="s">
        <v>757</v>
      </c>
      <c r="C35" s="106"/>
      <c r="D35" s="106"/>
      <c r="E35" s="106"/>
      <c r="F35" s="106"/>
      <c r="G35" s="106"/>
      <c r="H35" s="106"/>
      <c r="I35" s="106"/>
      <c r="J35" s="106"/>
      <c r="K35" s="106"/>
      <c r="L35" s="106"/>
    </row>
    <row r="36" spans="2:12" x14ac:dyDescent="0.35">
      <c r="B36" s="105" t="s">
        <v>758</v>
      </c>
      <c r="C36" s="106"/>
      <c r="D36" s="106"/>
      <c r="E36" s="106"/>
      <c r="F36" s="106"/>
      <c r="G36" s="106"/>
      <c r="H36" s="106"/>
      <c r="I36" s="106"/>
      <c r="J36" s="106"/>
      <c r="K36" s="106"/>
      <c r="L36" s="106"/>
    </row>
    <row r="37" spans="2:12" x14ac:dyDescent="0.35">
      <c r="B37" s="105" t="s">
        <v>759</v>
      </c>
      <c r="C37" s="106"/>
      <c r="D37" s="106"/>
      <c r="E37" s="106"/>
      <c r="F37" s="106"/>
      <c r="G37" s="106"/>
      <c r="H37" s="106"/>
      <c r="I37" s="106"/>
      <c r="J37" s="106"/>
      <c r="K37" s="106"/>
      <c r="L37" s="106"/>
    </row>
    <row r="38" spans="2:12" x14ac:dyDescent="0.35">
      <c r="B38" s="105" t="s">
        <v>760</v>
      </c>
      <c r="C38" s="106"/>
      <c r="D38" s="106"/>
      <c r="E38" s="106"/>
      <c r="F38" s="106"/>
      <c r="G38" s="106"/>
      <c r="H38" s="106"/>
      <c r="I38" s="106"/>
      <c r="J38" s="106"/>
      <c r="K38" s="106"/>
      <c r="L38" s="106"/>
    </row>
    <row r="39" spans="2:12" x14ac:dyDescent="0.35">
      <c r="B39" s="105" t="s">
        <v>761</v>
      </c>
      <c r="C39" s="106"/>
      <c r="D39" s="106"/>
      <c r="E39" s="106"/>
      <c r="F39" s="106"/>
      <c r="G39" s="106"/>
      <c r="H39" s="106"/>
      <c r="I39" s="106"/>
      <c r="J39" s="106"/>
      <c r="K39" s="106"/>
      <c r="L39" s="106"/>
    </row>
    <row r="40" spans="2:12" x14ac:dyDescent="0.35">
      <c r="B40" s="105" t="s">
        <v>762</v>
      </c>
      <c r="C40" s="106"/>
      <c r="D40" s="106"/>
      <c r="E40" s="106"/>
      <c r="F40" s="106"/>
      <c r="G40" s="106"/>
      <c r="H40" s="106"/>
      <c r="I40" s="106"/>
      <c r="J40" s="106"/>
      <c r="K40" s="106"/>
      <c r="L40" s="106"/>
    </row>
    <row r="41" spans="2:12" x14ac:dyDescent="0.35">
      <c r="B41" s="105" t="s">
        <v>763</v>
      </c>
      <c r="C41" s="106"/>
      <c r="D41" s="106"/>
      <c r="E41" s="106"/>
      <c r="F41" s="106"/>
      <c r="G41" s="106"/>
      <c r="H41" s="106"/>
      <c r="I41" s="106"/>
      <c r="J41" s="106"/>
      <c r="K41" s="106"/>
      <c r="L41" s="106"/>
    </row>
    <row r="42" spans="2:12" x14ac:dyDescent="0.35">
      <c r="B42" s="105" t="s">
        <v>764</v>
      </c>
      <c r="C42" s="106"/>
      <c r="D42" s="106"/>
      <c r="E42" s="106"/>
      <c r="F42" s="106"/>
      <c r="G42" s="106"/>
      <c r="H42" s="106"/>
      <c r="I42" s="106"/>
      <c r="J42" s="106"/>
      <c r="K42" s="106"/>
      <c r="L42" s="106"/>
    </row>
    <row r="43" spans="2:12" x14ac:dyDescent="0.35">
      <c r="B43" s="105" t="s">
        <v>765</v>
      </c>
      <c r="C43" s="106"/>
      <c r="D43" s="106"/>
      <c r="E43" s="106"/>
      <c r="F43" s="106"/>
      <c r="G43" s="106"/>
      <c r="H43" s="106"/>
      <c r="I43" s="106"/>
      <c r="J43" s="106"/>
      <c r="K43" s="106"/>
      <c r="L43" s="106"/>
    </row>
    <row r="44" spans="2:12" x14ac:dyDescent="0.35">
      <c r="B44" s="105" t="s">
        <v>766</v>
      </c>
      <c r="C44" s="106"/>
      <c r="D44" s="106"/>
      <c r="E44" s="106"/>
      <c r="F44" s="106"/>
      <c r="G44" s="106"/>
      <c r="H44" s="106"/>
      <c r="I44" s="106"/>
      <c r="J44" s="106"/>
      <c r="K44" s="106"/>
      <c r="L44" s="106"/>
    </row>
    <row r="45" spans="2:12" x14ac:dyDescent="0.35">
      <c r="B45" s="105" t="s">
        <v>767</v>
      </c>
      <c r="C45" s="106"/>
      <c r="D45" s="106"/>
      <c r="E45" s="106"/>
      <c r="F45" s="106"/>
      <c r="G45" s="106"/>
      <c r="H45" s="106"/>
      <c r="I45" s="106"/>
      <c r="J45" s="106"/>
      <c r="K45" s="106"/>
      <c r="L45" s="106"/>
    </row>
    <row r="46" spans="2:12" x14ac:dyDescent="0.35">
      <c r="B46" s="105" t="s">
        <v>768</v>
      </c>
      <c r="C46" s="106"/>
      <c r="D46" s="106"/>
      <c r="E46" s="106"/>
      <c r="F46" s="106"/>
      <c r="G46" s="106"/>
      <c r="H46" s="106"/>
      <c r="I46" s="106"/>
      <c r="J46" s="106"/>
      <c r="K46" s="106"/>
      <c r="L46" s="106"/>
    </row>
    <row r="47" spans="2:12" x14ac:dyDescent="0.35">
      <c r="B47" s="105" t="s">
        <v>769</v>
      </c>
      <c r="C47" s="106"/>
      <c r="D47" s="106"/>
      <c r="E47" s="106"/>
      <c r="F47" s="106"/>
      <c r="G47" s="106"/>
      <c r="H47" s="106"/>
      <c r="I47" s="106"/>
      <c r="J47" s="106"/>
      <c r="K47" s="106"/>
      <c r="L47" s="106"/>
    </row>
    <row r="48" spans="2:12" x14ac:dyDescent="0.35">
      <c r="B48" s="105" t="s">
        <v>770</v>
      </c>
      <c r="C48" s="106"/>
      <c r="D48" s="106"/>
      <c r="E48" s="106"/>
      <c r="F48" s="106"/>
      <c r="G48" s="106"/>
      <c r="H48" s="106"/>
      <c r="I48" s="106"/>
      <c r="J48" s="106"/>
      <c r="K48" s="106"/>
      <c r="L48" s="106"/>
    </row>
    <row r="49" spans="2:12" x14ac:dyDescent="0.35">
      <c r="B49" s="105" t="s">
        <v>771</v>
      </c>
      <c r="C49" s="106"/>
      <c r="D49" s="106"/>
      <c r="E49" s="106"/>
      <c r="F49" s="106"/>
      <c r="G49" s="106"/>
      <c r="H49" s="106"/>
      <c r="I49" s="106"/>
      <c r="J49" s="106"/>
      <c r="K49" s="106"/>
      <c r="L49" s="106"/>
    </row>
    <row r="50" spans="2:12" x14ac:dyDescent="0.35">
      <c r="B50" s="105" t="s">
        <v>772</v>
      </c>
      <c r="C50" s="106"/>
      <c r="D50" s="106"/>
      <c r="E50" s="106"/>
      <c r="F50" s="106"/>
      <c r="G50" s="106"/>
      <c r="H50" s="106"/>
      <c r="I50" s="106"/>
      <c r="J50" s="106"/>
      <c r="K50" s="106"/>
      <c r="L50" s="10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dc0c41a-12c1-4165-8422-5f5ca88e9f6a" xsi:nil="true"/>
    <lcf76f155ced4ddcb4097134ff3c332f xmlns="d78c010b-218d-4be4-b2d9-423b1f51aae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741122952C13D46BBBC92EEAE11CF32" ma:contentTypeVersion="13" ma:contentTypeDescription="Crée un document." ma:contentTypeScope="" ma:versionID="d96b5fa62e5213e7d24e66b2bac0c378">
  <xsd:schema xmlns:xsd="http://www.w3.org/2001/XMLSchema" xmlns:xs="http://www.w3.org/2001/XMLSchema" xmlns:p="http://schemas.microsoft.com/office/2006/metadata/properties" xmlns:ns2="d78c010b-218d-4be4-b2d9-423b1f51aae5" xmlns:ns3="adc0c41a-12c1-4165-8422-5f5ca88e9f6a" targetNamespace="http://schemas.microsoft.com/office/2006/metadata/properties" ma:root="true" ma:fieldsID="c2e8fc9a9c70fab2c0f7259df75af726" ns2:_="" ns3:_="">
    <xsd:import namespace="d78c010b-218d-4be4-b2d9-423b1f51aae5"/>
    <xsd:import namespace="adc0c41a-12c1-4165-8422-5f5ca88e9f6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010b-218d-4be4-b2d9-423b1f51aa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dd53d8bb-88b5-477e-9788-ab5cb1008ff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0c41a-12c1-4165-8422-5f5ca88e9f6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9f8ce134-c725-4f6f-a6f6-5df0359a5c7e}" ma:internalName="TaxCatchAll" ma:showField="CatchAllData" ma:web="adc0c41a-12c1-4165-8422-5f5ca88e9f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E26AB-C3A4-4158-AEFE-D1B7F1FD653B}">
  <ds:schemaRefs>
    <ds:schemaRef ds:uri="http://schemas.microsoft.com/sharepoint/v3/contenttype/forms"/>
  </ds:schemaRefs>
</ds:datastoreItem>
</file>

<file path=customXml/itemProps2.xml><?xml version="1.0" encoding="utf-8"?>
<ds:datastoreItem xmlns:ds="http://schemas.openxmlformats.org/officeDocument/2006/customXml" ds:itemID="{87CE2F3B-5FF8-4160-9427-539C539D0321}">
  <ds:schemaRefs>
    <ds:schemaRef ds:uri="http://schemas.microsoft.com/office/2006/documentManagement/types"/>
    <ds:schemaRef ds:uri="http://purl.org/dc/terms/"/>
    <ds:schemaRef ds:uri="http://www.w3.org/XML/1998/namespace"/>
    <ds:schemaRef ds:uri="http://schemas.microsoft.com/office/infopath/2007/PartnerControls"/>
    <ds:schemaRef ds:uri="http://schemas.microsoft.com/office/2006/metadata/properties"/>
    <ds:schemaRef ds:uri="http://purl.org/dc/elements/1.1/"/>
    <ds:schemaRef ds:uri="http://schemas.openxmlformats.org/package/2006/metadata/core-properties"/>
    <ds:schemaRef ds:uri="adc0c41a-12c1-4165-8422-5f5ca88e9f6a"/>
    <ds:schemaRef ds:uri="d78c010b-218d-4be4-b2d9-423b1f51aae5"/>
    <ds:schemaRef ds:uri="http://purl.org/dc/dcmitype/"/>
  </ds:schemaRefs>
</ds:datastoreItem>
</file>

<file path=customXml/itemProps3.xml><?xml version="1.0" encoding="utf-8"?>
<ds:datastoreItem xmlns:ds="http://schemas.openxmlformats.org/officeDocument/2006/customXml" ds:itemID="{46379E22-EA65-4B06-84E3-BDB2EC8D81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010b-218d-4be4-b2d9-423b1f51aae5"/>
    <ds:schemaRef ds:uri="adc0c41a-12c1-4165-8422-5f5ca88e9f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Note</vt:lpstr>
      <vt:lpstr>ProductionRoutes_Overview</vt:lpstr>
      <vt:lpstr>ProductionRoutes_Details</vt:lpstr>
      <vt:lpstr>MarketShares_Parameters&amp;Data</vt:lpstr>
      <vt:lpstr>MarketShares_Calculations</vt:lpstr>
      <vt:lpstr>GlobalMarketCoverage</vt:lpstr>
      <vt:lpstr>References</vt:lpstr>
    </vt:vector>
  </TitlesOfParts>
  <Company>BRGM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Frederic</dc:creator>
  <cp:lastModifiedBy>Marin Pellan</cp:lastModifiedBy>
  <dcterms:created xsi:type="dcterms:W3CDTF">2025-02-28T10:50:58Z</dcterms:created>
  <dcterms:modified xsi:type="dcterms:W3CDTF">2025-11-14T22:17:34Z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0x0101004741122952C13D46BBBC92EEAE11CF32</vt:lpwstr>
  </property>
  <property fmtid="{D5CDD505-2E9C-101B-9397-08002B2CF9AE}" pid="3" name="MediaServiceImageTags">
    <vt:lpwstr/>
  </property>
</Properties>
</file>