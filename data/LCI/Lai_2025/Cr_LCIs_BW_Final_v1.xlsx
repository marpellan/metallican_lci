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brgm365.sharepoint.com/sites/RPPEXIMPMET/Documents partages/General/P2/04_Data/04_Modelling/02_LCI modelling/Cr_Chromium/"/>
    </mc:Choice>
  </mc:AlternateContent>
  <xr:revisionPtr revIDLastSave="216" documentId="8_{AEAC881B-10EE-4C21-94F1-4D79C06A0044}" xr6:coauthVersionLast="47" xr6:coauthVersionMax="47" xr10:uidLastSave="{0E21F130-FC4D-4F61-9781-9692639393A5}"/>
  <bookViews>
    <workbookView xWindow="-120" yWindow="-120" windowWidth="29040" windowHeight="15840" tabRatio="824" activeTab="5" xr2:uid="{00000000-000D-0000-FFFF-FFFF00000000}"/>
  </bookViews>
  <sheets>
    <sheet name="Note" sheetId="1" r:id="rId1"/>
    <sheet name="Cr_Market_GLO" sheetId="8" r:id="rId2"/>
    <sheet name="PR1_FeCr_GLO_OpenFurnace" sheetId="3" r:id="rId3"/>
    <sheet name="PR2_FeCr_GLO_ClosedFurnace" sheetId="4" r:id="rId4"/>
    <sheet name="PR3_FeCr_GLO_ClosedFurnaceHeat" sheetId="5" r:id="rId5"/>
    <sheet name="PR4_Cr_GLO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8" l="1"/>
  <c r="C29" i="8"/>
  <c r="E29" i="8"/>
  <c r="F29" i="8"/>
  <c r="A29" i="8"/>
  <c r="B28" i="8"/>
  <c r="C28" i="8"/>
  <c r="E28" i="8"/>
  <c r="F28" i="8"/>
  <c r="A28" i="8"/>
  <c r="B27" i="8"/>
  <c r="C27" i="8"/>
  <c r="E27" i="8"/>
  <c r="F27" i="8"/>
  <c r="A27" i="8"/>
  <c r="B26" i="8"/>
  <c r="C26" i="8"/>
  <c r="E26" i="8"/>
  <c r="F26" i="8"/>
  <c r="A26" i="8"/>
  <c r="B15" i="8"/>
  <c r="C15" i="8"/>
  <c r="E15" i="8"/>
  <c r="F15" i="8"/>
  <c r="A15" i="8"/>
  <c r="B14" i="8"/>
  <c r="C14" i="8"/>
  <c r="E14" i="8"/>
  <c r="F14" i="8"/>
  <c r="A14" i="8"/>
  <c r="B13" i="8"/>
  <c r="C13" i="8"/>
  <c r="E13" i="8"/>
  <c r="F13" i="8"/>
  <c r="A13" i="8"/>
  <c r="B12" i="8"/>
  <c r="C12" i="8"/>
  <c r="E12" i="8"/>
  <c r="F12" i="8"/>
  <c r="A12" i="8"/>
  <c r="B41" i="7"/>
  <c r="C41" i="7"/>
  <c r="E41" i="7"/>
  <c r="F41" i="7"/>
  <c r="A41" i="7"/>
  <c r="F40" i="7"/>
  <c r="C40" i="7"/>
  <c r="B40" i="7"/>
  <c r="A40" i="7"/>
  <c r="F9" i="7"/>
  <c r="C9" i="7"/>
  <c r="B9" i="7"/>
  <c r="A9" i="7"/>
  <c r="F60" i="5"/>
  <c r="E60" i="5"/>
  <c r="B60" i="5"/>
  <c r="C60" i="5"/>
  <c r="A60" i="5"/>
  <c r="B49" i="5"/>
  <c r="C49" i="5"/>
  <c r="E49" i="5"/>
  <c r="F49" i="5"/>
  <c r="A49" i="5"/>
  <c r="F48" i="5"/>
  <c r="F59" i="5" s="1"/>
  <c r="C59" i="5"/>
  <c r="B59" i="5"/>
  <c r="A59" i="5"/>
  <c r="C48" i="5"/>
  <c r="B48" i="5"/>
  <c r="A48" i="5"/>
  <c r="F9" i="5"/>
  <c r="C9" i="5"/>
  <c r="B9" i="5"/>
  <c r="A9" i="5"/>
  <c r="B59" i="4"/>
  <c r="C59" i="4"/>
  <c r="E59" i="4"/>
  <c r="F59" i="4"/>
  <c r="A59" i="4"/>
  <c r="B48" i="4"/>
  <c r="C48" i="4"/>
  <c r="E48" i="4"/>
  <c r="F48" i="4"/>
  <c r="A48" i="4"/>
  <c r="F47" i="4"/>
  <c r="F58" i="4" s="1"/>
  <c r="C58" i="4"/>
  <c r="B58" i="4"/>
  <c r="A58" i="4"/>
  <c r="C47" i="4"/>
  <c r="B47" i="4"/>
  <c r="A47" i="4"/>
  <c r="F9" i="4"/>
  <c r="C9" i="4"/>
  <c r="B9" i="4"/>
  <c r="A9" i="4"/>
  <c r="F60" i="3"/>
  <c r="B61" i="3"/>
  <c r="C61" i="3"/>
  <c r="E61" i="3"/>
  <c r="F61" i="3"/>
  <c r="A61" i="3"/>
  <c r="C60" i="3"/>
  <c r="B60" i="3"/>
  <c r="A60" i="3"/>
  <c r="B50" i="3"/>
  <c r="C50" i="3"/>
  <c r="E50" i="3"/>
  <c r="F50" i="3"/>
  <c r="A50" i="3"/>
  <c r="F49" i="3"/>
  <c r="C49" i="3"/>
  <c r="B49" i="3"/>
  <c r="A49" i="3"/>
  <c r="F9" i="3"/>
  <c r="C9" i="3"/>
  <c r="B9" i="3"/>
  <c r="A9" i="3"/>
  <c r="E25" i="8"/>
  <c r="C25" i="8"/>
  <c r="B25" i="8"/>
  <c r="A25" i="8"/>
  <c r="F11" i="8"/>
  <c r="F25" i="8" s="1"/>
  <c r="E11" i="8"/>
  <c r="C11" i="8"/>
  <c r="B11" i="8"/>
  <c r="A11" i="8"/>
</calcChain>
</file>

<file path=xl/sharedStrings.xml><?xml version="1.0" encoding="utf-8"?>
<sst xmlns="http://schemas.openxmlformats.org/spreadsheetml/2006/main" count="1115" uniqueCount="120">
  <si>
    <t>Activity</t>
  </si>
  <si>
    <t>reference product</t>
  </si>
  <si>
    <t>FeCr</t>
  </si>
  <si>
    <t>location</t>
  </si>
  <si>
    <t>amount</t>
  </si>
  <si>
    <t>unit</t>
  </si>
  <si>
    <t>kilogram</t>
  </si>
  <si>
    <t>comment</t>
  </si>
  <si>
    <t>n/a</t>
  </si>
  <si>
    <t>Exchanges</t>
  </si>
  <si>
    <t>name</t>
  </si>
  <si>
    <t>database</t>
  </si>
  <si>
    <t>type</t>
  </si>
  <si>
    <t>categories</t>
  </si>
  <si>
    <t>uncertainty type</t>
  </si>
  <si>
    <t>pedigree</t>
  </si>
  <si>
    <t>loc</t>
  </si>
  <si>
    <t>scale</t>
  </si>
  <si>
    <t>minimum</t>
  </si>
  <si>
    <t>maximum</t>
  </si>
  <si>
    <t>production</t>
  </si>
  <si>
    <t>GLO</t>
  </si>
  <si>
    <t>ecoinvent 3.10 cutoff</t>
  </si>
  <si>
    <t>technosphere</t>
  </si>
  <si>
    <t>diesel, burned in building machine</t>
  </si>
  <si>
    <t>megajoule</t>
  </si>
  <si>
    <t>electricity, medium voltage</t>
  </si>
  <si>
    <t>kilowatt hour</t>
  </si>
  <si>
    <t>market for coke</t>
  </si>
  <si>
    <t>coke</t>
  </si>
  <si>
    <t>RoW</t>
  </si>
  <si>
    <t>graphite</t>
  </si>
  <si>
    <t>market for silica sand</t>
  </si>
  <si>
    <t>silica sand</t>
  </si>
  <si>
    <t>market group for electricity, medium voltage</t>
  </si>
  <si>
    <t>(4,1,5,1,1)</t>
  </si>
  <si>
    <t>market group for tap water</t>
  </si>
  <si>
    <t>tap water</t>
  </si>
  <si>
    <t>market for explosive, tovex</t>
  </si>
  <si>
    <t>explosive, tovex</t>
  </si>
  <si>
    <t>(4,4,5,4,4)</t>
  </si>
  <si>
    <t>market for heavy fuel oil, burned in refinery furnace</t>
  </si>
  <si>
    <t>heavy fuel oil, burned in refinery furnace</t>
  </si>
  <si>
    <t>market for natural gas, burned in gas turbine</t>
  </si>
  <si>
    <t>natural gas, burned in gas turbine</t>
  </si>
  <si>
    <t>market for chemical, inorganic</t>
  </si>
  <si>
    <t>chemical, inorganic</t>
  </si>
  <si>
    <t>market for hard coal</t>
  </si>
  <si>
    <t>hard coal</t>
  </si>
  <si>
    <t>market for charcoal</t>
  </si>
  <si>
    <t>charcoal</t>
  </si>
  <si>
    <t>market for graphite</t>
  </si>
  <si>
    <t>treatment of sulfidic tailings, generic, tailings impoundment</t>
  </si>
  <si>
    <t>sulfidic tailings, generic</t>
  </si>
  <si>
    <t>market for inert waste, for final disposal</t>
  </si>
  <si>
    <t>inert waste, for final disposal</t>
  </si>
  <si>
    <t>Water, well, in ground</t>
  </si>
  <si>
    <t>cubic meter</t>
  </si>
  <si>
    <t>biosphere3</t>
  </si>
  <si>
    <t>biosphere</t>
  </si>
  <si>
    <t>natural resource::in water</t>
  </si>
  <si>
    <t>Water, lake</t>
  </si>
  <si>
    <t>Carbon dioxide, fossil</t>
  </si>
  <si>
    <t>Chromium VI</t>
  </si>
  <si>
    <t>Chromium III</t>
  </si>
  <si>
    <t>Lead II</t>
  </si>
  <si>
    <t>Manganese II</t>
  </si>
  <si>
    <t>Cadmium II</t>
  </si>
  <si>
    <t>Vanadium V</t>
  </si>
  <si>
    <t>Particulate Matter, &gt; 2.5 um and &lt; 10um</t>
  </si>
  <si>
    <t>Zinc II</t>
  </si>
  <si>
    <t>Cr Metal</t>
  </si>
  <si>
    <t>market for soda ash, dense</t>
  </si>
  <si>
    <t>soda ash, dense</t>
  </si>
  <si>
    <t>market for sulfuric acid</t>
  </si>
  <si>
    <t>sulfuric acid</t>
  </si>
  <si>
    <t>market for sulfur</t>
  </si>
  <si>
    <t>sulfur</t>
  </si>
  <si>
    <t>market for wastewater, average</t>
  </si>
  <si>
    <t>wastewater, average</t>
  </si>
  <si>
    <t>market for petrol, unleaded, burned in machinery</t>
  </si>
  <si>
    <t>petrol, unleaded, burned in machinery</t>
  </si>
  <si>
    <t>air</t>
  </si>
  <si>
    <t>water</t>
  </si>
  <si>
    <t>market group for heat, district or industrial, natural gas</t>
  </si>
  <si>
    <t>heat, district or industrial, natural gas</t>
  </si>
  <si>
    <t>market for aluminium, wrought alloy</t>
  </si>
  <si>
    <t>aluminium, wrought alloy</t>
  </si>
  <si>
    <r>
      <t xml:space="preserve">Allocated unit process, considering as allocation factors (AF): </t>
    </r>
    <r>
      <rPr>
        <b/>
        <sz val="11"/>
        <color theme="5"/>
        <rFont val="Calibri"/>
        <family val="2"/>
        <scheme val="minor"/>
      </rPr>
      <t>29% for Cr (1 kg)</t>
    </r>
    <r>
      <rPr>
        <sz val="11"/>
        <color theme="5"/>
        <rFont val="Calibri"/>
        <family val="2"/>
        <scheme val="minor"/>
      </rPr>
      <t xml:space="preserve">, 61% for Fe (0.8 kg iron (III) oxide) and 10% for Al (1 kg oxide).
</t>
    </r>
    <r>
      <rPr>
        <sz val="11"/>
        <color rgb="FF7030A0"/>
        <rFont val="Calibri"/>
        <family val="2"/>
        <scheme val="minor"/>
      </rPr>
      <t>The co-produced sodium sulfate is dealt through substitution.</t>
    </r>
  </si>
  <si>
    <t>market for sodium sulfate, anhydrite</t>
  </si>
  <si>
    <t>sodium sulfate, anhydrite</t>
  </si>
  <si>
    <t>Chromium</t>
  </si>
  <si>
    <t>Chromium (Cr) global market</t>
  </si>
  <si>
    <t>Cr commodities</t>
  </si>
  <si>
    <t>Chromium (Cr) global market (Cr content)</t>
  </si>
  <si>
    <t>Cr content</t>
  </si>
  <si>
    <t>Activity expressed for 1 kg Cr contained</t>
  </si>
  <si>
    <t>[M+C+P+R] Ferrochromium (FeCr) production - Open Furnace Smelting</t>
  </si>
  <si>
    <t>Chromite ore mining and FeCr production in South Africa/Finland/Kazakhstan through Open Furnace Smelting</t>
  </si>
  <si>
    <t>Chromite ore mining and FeCr production in South Africa/Finland/Kazakhstan through Open Furnace Smelting (Cr content)</t>
  </si>
  <si>
    <t>FeCr (Cr content)</t>
  </si>
  <si>
    <t>[M+C+P+R] Ferrochromium (FeCr) production - Closed Furnace Smelting</t>
  </si>
  <si>
    <t>Chromite ore mining and FeCr production in South Africa/Finland/Kazakhstan through Closed Furnace Smelting (without preheating)</t>
  </si>
  <si>
    <t>Chromite ore mining and FeCr production in South Africa/Finland/Kazakhstan through Closed Furnace Smelting (without preheating) (Cr content)</t>
  </si>
  <si>
    <t>[M+C+P+R] Ferrochromium (FeCr) production - Closed Furnace Smelting (with preheating)</t>
  </si>
  <si>
    <t>Chromite ore mining and FeCr production in South Africa/Finland/Kazakhstan through Closed Furnace Smelting (with preheating)</t>
  </si>
  <si>
    <t>Chromite ore mining and FeCr production in South Africa/Finland/Kazakhstan through Closed Furnace Smelting (with preheating) (Cr content)</t>
  </si>
  <si>
    <t>[M+C+P+R] Chromium (Cr) metal production</t>
  </si>
  <si>
    <t>Chromite ore mining and Cr metal production in South Africa/Finland/Kazakhstan</t>
  </si>
  <si>
    <t>Cr metal</t>
  </si>
  <si>
    <t>skip</t>
  </si>
  <si>
    <t>Sheet</t>
  </si>
  <si>
    <t>Corresponding route</t>
  </si>
  <si>
    <r>
      <rPr>
        <b/>
        <sz val="14"/>
        <color theme="1"/>
        <rFont val="Calibri"/>
        <family val="2"/>
        <scheme val="minor"/>
      </rPr>
      <t xml:space="preserve">Life cycle inventories of global metal and mineral supply chains: a comprehensive data review, analysis and processing </t>
    </r>
    <r>
      <rPr>
        <b/>
        <sz val="16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Frédéric Lai</t>
    </r>
    <r>
      <rPr>
        <vertAlign val="superscript"/>
        <sz val="11"/>
        <color theme="1"/>
        <rFont val="Calibri"/>
        <family val="2"/>
        <scheme val="minor"/>
      </rPr>
      <t>a*</t>
    </r>
    <r>
      <rPr>
        <sz val="11"/>
        <color theme="1"/>
        <rFont val="Calibri"/>
        <family val="2"/>
        <scheme val="minor"/>
      </rPr>
      <t>, Stéphanie Muller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Audrey Philippe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Robert Istrate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Brenda Miranda Xicotencatl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Afsoon Mansouri Aski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, Aina Mas Fons</t>
    </r>
    <r>
      <rPr>
        <vertAlign val="superscript"/>
        <sz val="11"/>
        <color theme="1"/>
        <rFont val="Calibri"/>
        <family val="2"/>
        <scheme val="minor"/>
      </rPr>
      <t>d,a</t>
    </r>
    <r>
      <rPr>
        <sz val="11"/>
        <color theme="1"/>
        <rFont val="Calibri"/>
        <family val="2"/>
        <scheme val="minor"/>
      </rPr>
      <t>, Juliana Segura-Salazar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Jair Santillán Saldivar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Alexander Cimprich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, Stephen Northey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, Lígia da Silva Lima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Lieselot Boone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Ryosuke Yokoi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Kamrul Islam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Ioanna Paschalidou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, Felipe Cerdas</t>
    </r>
    <r>
      <rPr>
        <vertAlign val="superscript"/>
        <sz val="11"/>
        <color theme="1"/>
        <rFont val="Calibri"/>
        <family val="2"/>
        <scheme val="minor"/>
      </rPr>
      <t>k,l</t>
    </r>
    <r>
      <rPr>
        <sz val="11"/>
        <color theme="1"/>
        <rFont val="Calibri"/>
        <family val="2"/>
        <scheme val="minor"/>
      </rPr>
      <t>, Victor Balboa-Espinoza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Anish Koyamparambath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, Diae Hennioui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Victoire Collignon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Aurélien Reys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Gyslain Ngadi Sakatadi</t>
    </r>
    <r>
      <rPr>
        <vertAlign val="super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, Jo Dewulf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Bernhard Steubing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Christoph Helbig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, Gaétan Lefebvre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Gian Andrea Blengini</t>
    </r>
    <r>
      <rPr>
        <vertAlign val="superscript"/>
        <sz val="11"/>
        <color theme="1"/>
        <rFont val="Calibri"/>
        <family val="2"/>
        <scheme val="minor"/>
      </rPr>
      <t>n,m</t>
    </r>
    <r>
      <rPr>
        <sz val="11"/>
        <color theme="1"/>
        <rFont val="Calibri"/>
        <family val="2"/>
        <scheme val="minor"/>
      </rPr>
      <t>, Valeria Superti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, Masaharu Motoshita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Guido Sonnemann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, Kwame Awuah-Offei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, Steven B. Young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, Shinsuke Murakami</t>
    </r>
    <r>
      <rPr>
        <vertAlign val="super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, Antoine Beylot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
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BRGM, F-45060 Orléans, France
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Institute of Environmental Sciences (CML), Leiden University, Einsteinweg 2, 2333 CC Leiden, NL
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Ecological Resource Technology, University of Bayreuth, Universitätstr. 30, 95447 Bayreuth, Germany
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Univ. Bordeaux, CNRS, Bordeaux INP, ISM, UMR 5255, F-33400 Talence, France
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Sustainable Minerals Institute, The University of Queensland, QLD, 4072, Australia
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School of Environment, Enterprise and Development, University of Waterloo, 200 University Avenue West, Waterloo, Ontario N2L 3G1, Canada
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 xml:space="preserve">University of Technology Sydney, Institute for Sustainable Futures, Australia
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 xml:space="preserve">Sustainable Systems Engineering (STEN), Department of Green Chemistry and Technology, Faculty of Bioscience Engineering, Ghent University, Coupure Links 653, 9000 Ghent, Belgium
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AIST, 305-8569 Tsukuba, Japan
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 xml:space="preserve">Mining &amp; Explosives Engineering, Missouri University of Science &amp; Technology, Rolla, MO, USA 65409
</t>
    </r>
    <r>
      <rPr>
        <vertAlign val="superscript"/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 xml:space="preserve">Institute for Sustainable Energy Systems (INSYS), Technical University of Applied Sciences Würzburg-Schweinfurt (THWS), Ignaz-Schön-Straße 11, Schweinfurt, Germany 
</t>
    </r>
    <r>
      <rPr>
        <vertAlign val="super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 xml:space="preserve">Fraunhofer Institute for Surface Engineering and Thin Films IST, Riedenkamp 2, Braunschweig 38108, Germany
</t>
    </r>
    <r>
      <rPr>
        <vertAlign val="super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 xml:space="preserve">Department of Environment, Land and Infrastructure Engineering, Politecnico di Torino, Corso Duca degli Abruzzi, 24, 10129 Torino, Italy
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University of Turin, Earth Sciences Department (DST), Via Valperga Caluso, 35 – 10125 Torino, Italy
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ecoinvent association, Technopark, Technoparkstrasse 1, 8005 Zürich, Switzerland 
</t>
    </r>
    <r>
      <rPr>
        <vertAlign val="super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Graduate School of Engineering, The University of Tokyo, Tokyo 113-8656, Japan
*Corresponding author: </t>
    </r>
    <r>
      <rPr>
        <u/>
        <sz val="11"/>
        <color theme="1"/>
        <rFont val="Calibri"/>
        <family val="2"/>
        <scheme val="minor"/>
      </rPr>
      <t xml:space="preserve">f.lai@brgm.fr
</t>
    </r>
    <r>
      <rPr>
        <sz val="11"/>
        <color theme="1"/>
        <rFont val="Calibri"/>
        <family val="2"/>
        <scheme val="minor"/>
      </rPr>
      <t>This file provides all LCI datasets developed for</t>
    </r>
    <r>
      <rPr>
        <b/>
        <sz val="11"/>
        <color theme="1"/>
        <rFont val="Calibri"/>
        <family val="2"/>
        <scheme val="minor"/>
      </rPr>
      <t xml:space="preserve"> Chromium (Cr)</t>
    </r>
    <r>
      <rPr>
        <sz val="11"/>
        <color theme="1"/>
        <rFont val="Calibri"/>
        <family val="2"/>
        <scheme val="minor"/>
      </rPr>
      <t>, with distinguishing its global market and each individual production route.</t>
    </r>
  </si>
  <si>
    <t>Cr global market</t>
  </si>
  <si>
    <t>Cr_Market_GLO</t>
  </si>
  <si>
    <t>PR1_FeCr_GLO_OpenFurnace</t>
  </si>
  <si>
    <t>PR2_FeCr_GLO_ClosedFurnace</t>
  </si>
  <si>
    <t>PR3_FeCr_GLO_ClosedFurnaceHeat</t>
  </si>
  <si>
    <t>PR4_Cr_GLO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</si>
</sst>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 wrapText="1"/>
    </xf>
    <xf numFmtId="0" fontId="0" fillId="2" borderId="0" xfId="0" applyFill="1"/>
    <xf numFmtId="0" fontId="6" fillId="0" borderId="0" xfId="0" applyFont="1" applyAlignment="1">
      <alignment horizontal="left"/>
    </xf>
    <xf numFmtId="0" fontId="0" fillId="0" borderId="0" xfId="0" applyAlignment="1">
      <alignment horizontal="left" vertical="top"/>
    </xf>
    <xf numFmtId="0" fontId="6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2" borderId="0" xfId="0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7" fillId="0" borderId="4" xfId="1" applyBorder="1" applyAlignment="1">
      <alignment horizontal="left" vertical="center"/>
    </xf>
    <xf numFmtId="0" fontId="7" fillId="0" borderId="6" xfId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</sheetPr>
  <dimension ref="A1:Q38"/>
  <sheetViews>
    <sheetView showGridLines="0" zoomScaleNormal="100" workbookViewId="0">
      <selection activeCell="K44" sqref="K44"/>
    </sheetView>
  </sheetViews>
  <sheetFormatPr baseColWidth="10" defaultRowHeight="15" x14ac:dyDescent="0.25"/>
  <cols>
    <col min="1" max="1" width="1.85546875" customWidth="1"/>
    <col min="2" max="2" width="31.85546875" bestFit="1" customWidth="1"/>
  </cols>
  <sheetData>
    <row r="1" spans="1:17" ht="15.75" thickBot="1" x14ac:dyDescent="0.3">
      <c r="A1" t="s">
        <v>110</v>
      </c>
    </row>
    <row r="2" spans="1:17" ht="15" customHeight="1" x14ac:dyDescent="0.25">
      <c r="B2" s="30" t="s">
        <v>113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2"/>
    </row>
    <row r="3" spans="1:17" x14ac:dyDescent="0.25">
      <c r="B3" s="33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5"/>
    </row>
    <row r="4" spans="1:17" x14ac:dyDescent="0.25">
      <c r="B4" s="33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5"/>
    </row>
    <row r="5" spans="1:17" x14ac:dyDescent="0.25">
      <c r="B5" s="33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5"/>
    </row>
    <row r="6" spans="1:17" x14ac:dyDescent="0.25">
      <c r="B6" s="33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5"/>
    </row>
    <row r="7" spans="1:17" x14ac:dyDescent="0.25">
      <c r="B7" s="33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5"/>
    </row>
    <row r="8" spans="1:17" x14ac:dyDescent="0.25">
      <c r="B8" s="33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5"/>
    </row>
    <row r="9" spans="1:17" x14ac:dyDescent="0.25">
      <c r="B9" s="33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5"/>
    </row>
    <row r="10" spans="1:17" x14ac:dyDescent="0.25">
      <c r="B10" s="33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5"/>
    </row>
    <row r="11" spans="1:17" x14ac:dyDescent="0.25"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5"/>
    </row>
    <row r="12" spans="1:17" x14ac:dyDescent="0.25">
      <c r="B12" s="33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5"/>
    </row>
    <row r="13" spans="1:17" x14ac:dyDescent="0.25">
      <c r="B13" s="33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5"/>
    </row>
    <row r="14" spans="1:17" x14ac:dyDescent="0.25">
      <c r="B14" s="33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5"/>
    </row>
    <row r="15" spans="1:17" x14ac:dyDescent="0.25">
      <c r="B15" s="33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5"/>
    </row>
    <row r="16" spans="1:17" x14ac:dyDescent="0.25">
      <c r="B16" s="33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5"/>
    </row>
    <row r="17" spans="2:17" x14ac:dyDescent="0.25">
      <c r="B17" s="33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5"/>
    </row>
    <row r="18" spans="2:17" x14ac:dyDescent="0.25">
      <c r="B18" s="33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5"/>
    </row>
    <row r="19" spans="2:17" x14ac:dyDescent="0.25">
      <c r="B19" s="33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5"/>
    </row>
    <row r="20" spans="2:17" x14ac:dyDescent="0.25">
      <c r="B20" s="33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5"/>
    </row>
    <row r="21" spans="2:17" x14ac:dyDescent="0.25">
      <c r="B21" s="33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5"/>
    </row>
    <row r="22" spans="2:17" x14ac:dyDescent="0.25">
      <c r="B22" s="33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5"/>
    </row>
    <row r="23" spans="2:17" x14ac:dyDescent="0.25">
      <c r="B23" s="33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5"/>
    </row>
    <row r="24" spans="2:17" ht="15" customHeight="1" x14ac:dyDescent="0.25">
      <c r="B24" s="33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5"/>
    </row>
    <row r="25" spans="2:17" x14ac:dyDescent="0.25">
      <c r="B25" s="33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5"/>
    </row>
    <row r="26" spans="2:17" x14ac:dyDescent="0.25">
      <c r="B26" s="33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5"/>
    </row>
    <row r="27" spans="2:17" x14ac:dyDescent="0.25">
      <c r="B27" s="33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5"/>
    </row>
    <row r="28" spans="2:17" x14ac:dyDescent="0.25">
      <c r="B28" s="33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5"/>
    </row>
    <row r="29" spans="2:17" x14ac:dyDescent="0.25">
      <c r="B29" s="33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5"/>
    </row>
    <row r="30" spans="2:17" x14ac:dyDescent="0.25">
      <c r="B30" s="33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5"/>
    </row>
    <row r="31" spans="2:17" ht="15.75" thickBot="1" x14ac:dyDescent="0.3"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8"/>
    </row>
    <row r="32" spans="2:17" ht="15.75" thickBot="1" x14ac:dyDescent="0.3"/>
    <row r="33" spans="2:13" x14ac:dyDescent="0.25">
      <c r="B33" s="17" t="s">
        <v>111</v>
      </c>
      <c r="C33" s="18" t="s">
        <v>112</v>
      </c>
      <c r="D33" s="19"/>
      <c r="E33" s="19"/>
      <c r="F33" s="19"/>
      <c r="G33" s="19"/>
      <c r="H33" s="19"/>
      <c r="I33" s="19"/>
      <c r="J33" s="19"/>
      <c r="K33" s="24"/>
      <c r="L33" s="24"/>
      <c r="M33" s="25"/>
    </row>
    <row r="34" spans="2:13" x14ac:dyDescent="0.25">
      <c r="B34" s="20" t="s">
        <v>115</v>
      </c>
      <c r="C34" s="2" t="s">
        <v>114</v>
      </c>
      <c r="D34" s="29"/>
      <c r="E34" s="29"/>
      <c r="F34" s="29"/>
      <c r="G34" s="29"/>
      <c r="H34" s="29"/>
      <c r="I34" s="29"/>
      <c r="J34" s="29"/>
      <c r="M34" s="26"/>
    </row>
    <row r="35" spans="2:13" x14ac:dyDescent="0.25">
      <c r="B35" s="20" t="s">
        <v>116</v>
      </c>
      <c r="C35" s="2" t="s">
        <v>98</v>
      </c>
      <c r="D35" s="29"/>
      <c r="E35" s="29"/>
      <c r="F35" s="29"/>
      <c r="G35" s="29"/>
      <c r="H35" s="29"/>
      <c r="I35" s="29"/>
      <c r="J35" s="29"/>
      <c r="M35" s="26"/>
    </row>
    <row r="36" spans="2:13" x14ac:dyDescent="0.25">
      <c r="B36" s="20" t="s">
        <v>117</v>
      </c>
      <c r="C36" s="2" t="s">
        <v>102</v>
      </c>
      <c r="D36" s="29"/>
      <c r="E36" s="29"/>
      <c r="F36" s="29"/>
      <c r="G36" s="29"/>
      <c r="H36" s="29"/>
      <c r="I36" s="29"/>
      <c r="J36" s="29"/>
      <c r="M36" s="26"/>
    </row>
    <row r="37" spans="2:13" x14ac:dyDescent="0.25">
      <c r="B37" s="20" t="s">
        <v>118</v>
      </c>
      <c r="C37" s="2" t="s">
        <v>105</v>
      </c>
      <c r="D37" s="29"/>
      <c r="E37" s="29"/>
      <c r="F37" s="29"/>
      <c r="G37" s="29"/>
      <c r="H37" s="29"/>
      <c r="I37" s="29"/>
      <c r="J37" s="29"/>
      <c r="M37" s="26"/>
    </row>
    <row r="38" spans="2:13" ht="15.75" thickBot="1" x14ac:dyDescent="0.3">
      <c r="B38" s="21" t="s">
        <v>119</v>
      </c>
      <c r="C38" s="22" t="s">
        <v>108</v>
      </c>
      <c r="D38" s="23"/>
      <c r="E38" s="23"/>
      <c r="F38" s="23"/>
      <c r="G38" s="23"/>
      <c r="H38" s="23"/>
      <c r="I38" s="23"/>
      <c r="J38" s="23"/>
      <c r="K38" s="27"/>
      <c r="L38" s="27"/>
      <c r="M38" s="28"/>
    </row>
  </sheetData>
  <mergeCells count="1">
    <mergeCell ref="B2:Q31"/>
  </mergeCells>
  <hyperlinks>
    <hyperlink ref="B34" location="Cr_Market_GLO!A1" display="Cr_Market_GLO" xr:uid="{4BBB56A9-C845-45FA-9612-C2DA1F547F7B}"/>
    <hyperlink ref="B35" location="PR1_FeCr_GLO_OpenFurnace!A1" display="PR1_FeCr_GLO_OpenFurnace" xr:uid="{402DC420-D034-4015-99D4-F033FEC50947}"/>
    <hyperlink ref="B36" location="PR2_FeCr_GLO_ClosedFurnace!A1" display="PR2_FeCr_GLO_ClosedFurnace" xr:uid="{FBC95CAA-506B-4DC0-8929-41E4776CF51F}"/>
    <hyperlink ref="B37" location="PR3_FeCr_GLO_ClosedFurnaceHeat!A1" display="PR3_FeCr_GLO_ClosedFurnaceHeat" xr:uid="{CDD11397-8F4B-4371-9B14-00921577A263}"/>
    <hyperlink ref="B38" location="PR4_Cr_GLO!A1" display="PR4_Cr_GLO" xr:uid="{FFD42463-F5E7-4CF6-806C-3AB8F5A0F83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02F58-5BAE-4393-9CA3-ECE5BBCE47DD}">
  <sheetPr>
    <tabColor theme="8" tint="0.39997558519241921"/>
  </sheetPr>
  <dimension ref="A1:N30"/>
  <sheetViews>
    <sheetView workbookViewId="0">
      <selection activeCell="D1" sqref="D1:D1048576"/>
    </sheetView>
  </sheetViews>
  <sheetFormatPr baseColWidth="10" defaultRowHeight="15" x14ac:dyDescent="0.25"/>
  <cols>
    <col min="1" max="1" width="94.85546875" bestFit="1" customWidth="1"/>
    <col min="2" max="2" width="41.5703125" bestFit="1" customWidth="1"/>
    <col min="3" max="3" width="8.140625" bestFit="1" customWidth="1"/>
    <col min="4" max="4" width="12" bestFit="1" customWidth="1"/>
    <col min="5" max="5" width="8.7109375" bestFit="1" customWidth="1"/>
    <col min="6" max="6" width="11.140625" bestFit="1" customWidth="1"/>
    <col min="7" max="7" width="13.28515625" bestFit="1" customWidth="1"/>
    <col min="8" max="8" width="10.140625" bestFit="1" customWidth="1"/>
    <col min="9" max="9" width="15.5703125" bestFit="1" customWidth="1"/>
    <col min="10" max="10" width="9" bestFit="1" customWidth="1"/>
    <col min="11" max="11" width="3.5703125" bestFit="1" customWidth="1"/>
    <col min="12" max="12" width="5.42578125" bestFit="1" customWidth="1"/>
    <col min="13" max="13" width="9.5703125" bestFit="1" customWidth="1"/>
    <col min="14" max="14" width="9.85546875" bestFit="1" customWidth="1"/>
  </cols>
  <sheetData>
    <row r="1" spans="1:14" x14ac:dyDescent="0.25">
      <c r="A1" t="s">
        <v>11</v>
      </c>
      <c r="B1" s="5" t="s">
        <v>91</v>
      </c>
    </row>
    <row r="2" spans="1:14" s="7" customFormat="1" x14ac:dyDescent="0.25"/>
    <row r="3" spans="1:14" x14ac:dyDescent="0.25">
      <c r="A3" s="3" t="s">
        <v>0</v>
      </c>
      <c r="B3" s="3" t="s">
        <v>92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x14ac:dyDescent="0.25">
      <c r="A4" s="8" t="s">
        <v>1</v>
      </c>
      <c r="B4" s="4" t="s">
        <v>93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x14ac:dyDescent="0.25">
      <c r="A5" s="8" t="s">
        <v>3</v>
      </c>
      <c r="B5" s="4" t="s">
        <v>21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x14ac:dyDescent="0.25">
      <c r="A6" s="8" t="s">
        <v>4</v>
      </c>
      <c r="B6" s="4">
        <v>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5">
      <c r="A7" s="8" t="s">
        <v>5</v>
      </c>
      <c r="B7" s="4" t="s">
        <v>6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25">
      <c r="A8" s="8" t="s">
        <v>7</v>
      </c>
      <c r="B8" s="4" t="s">
        <v>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x14ac:dyDescent="0.25">
      <c r="A9" s="8" t="s">
        <v>9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25">
      <c r="A10" s="3" t="s">
        <v>10</v>
      </c>
      <c r="B10" s="3" t="s">
        <v>1</v>
      </c>
      <c r="C10" s="3" t="s">
        <v>3</v>
      </c>
      <c r="D10" s="3" t="s">
        <v>4</v>
      </c>
      <c r="E10" s="3" t="s">
        <v>5</v>
      </c>
      <c r="F10" s="3" t="s">
        <v>11</v>
      </c>
      <c r="G10" s="3" t="s">
        <v>12</v>
      </c>
      <c r="H10" s="3" t="s">
        <v>13</v>
      </c>
      <c r="I10" s="3" t="s">
        <v>14</v>
      </c>
      <c r="J10" s="3" t="s">
        <v>15</v>
      </c>
      <c r="K10" s="3" t="s">
        <v>16</v>
      </c>
      <c r="L10" s="3" t="s">
        <v>17</v>
      </c>
      <c r="M10" s="3" t="s">
        <v>18</v>
      </c>
      <c r="N10" s="3" t="s">
        <v>19</v>
      </c>
    </row>
    <row r="11" spans="1:14" x14ac:dyDescent="0.25">
      <c r="A11" t="str">
        <f>B3</f>
        <v>Chromium (Cr) global market</v>
      </c>
      <c r="B11" t="str">
        <f>B4</f>
        <v>Cr commodities</v>
      </c>
      <c r="C11" t="str">
        <f>B5</f>
        <v>GLO</v>
      </c>
      <c r="D11" s="4">
        <v>1</v>
      </c>
      <c r="E11" s="4" t="str">
        <f>B7</f>
        <v>kilogram</v>
      </c>
      <c r="F11" s="5" t="str">
        <f>B1</f>
        <v>Chromium</v>
      </c>
      <c r="G11" s="4" t="s">
        <v>20</v>
      </c>
    </row>
    <row r="12" spans="1:14" s="4" customFormat="1" x14ac:dyDescent="0.25">
      <c r="A12" s="4" t="str">
        <f>PR1_FeCr_GLO_OpenFurnace!A49</f>
        <v>Chromite ore mining and FeCr production in South Africa/Finland/Kazakhstan through Open Furnace Smelting</v>
      </c>
      <c r="B12" s="4" t="str">
        <f>PR1_FeCr_GLO_OpenFurnace!B49</f>
        <v>FeCr</v>
      </c>
      <c r="C12" s="4" t="str">
        <f>PR1_FeCr_GLO_OpenFurnace!C49</f>
        <v>GLO</v>
      </c>
      <c r="D12" s="4">
        <v>0.4330484330484331</v>
      </c>
      <c r="E12" s="4" t="str">
        <f>PR1_FeCr_GLO_OpenFurnace!E49</f>
        <v>kilogram</v>
      </c>
      <c r="F12" s="5" t="str">
        <f>PR1_FeCr_GLO_OpenFurnace!F49</f>
        <v>Chromium</v>
      </c>
      <c r="G12" s="2" t="s">
        <v>23</v>
      </c>
    </row>
    <row r="13" spans="1:14" s="4" customFormat="1" x14ac:dyDescent="0.25">
      <c r="A13" s="4" t="str">
        <f>PR2_FeCr_GLO_ClosedFurnace!A47</f>
        <v>Chromite ore mining and FeCr production in South Africa/Finland/Kazakhstan through Closed Furnace Smelting (without preheating)</v>
      </c>
      <c r="B13" s="4" t="str">
        <f>PR2_FeCr_GLO_ClosedFurnace!B47</f>
        <v>FeCr</v>
      </c>
      <c r="C13" s="4" t="str">
        <f>PR2_FeCr_GLO_ClosedFurnace!C47</f>
        <v>GLO</v>
      </c>
      <c r="D13" s="4">
        <v>0.18306138306138306</v>
      </c>
      <c r="E13" s="4" t="str">
        <f>PR2_FeCr_GLO_ClosedFurnace!E47</f>
        <v>kilogram</v>
      </c>
      <c r="F13" s="5" t="str">
        <f>PR2_FeCr_GLO_ClosedFurnace!F47</f>
        <v>Chromium</v>
      </c>
      <c r="G13" s="2" t="s">
        <v>23</v>
      </c>
    </row>
    <row r="14" spans="1:14" s="4" customFormat="1" x14ac:dyDescent="0.25">
      <c r="A14" s="4" t="str">
        <f>PR3_FeCr_GLO_ClosedFurnaceHeat!A48</f>
        <v>Chromite ore mining and FeCr production in South Africa/Finland/Kazakhstan through Closed Furnace Smelting (with preheating)</v>
      </c>
      <c r="B14" s="4" t="str">
        <f>PR3_FeCr_GLO_ClosedFurnaceHeat!B48</f>
        <v>FeCr</v>
      </c>
      <c r="C14" s="4" t="str">
        <f>PR3_FeCr_GLO_ClosedFurnaceHeat!C48</f>
        <v>GLO</v>
      </c>
      <c r="D14" s="4">
        <v>0.36317016317016315</v>
      </c>
      <c r="E14" s="4" t="str">
        <f>PR3_FeCr_GLO_ClosedFurnaceHeat!E48</f>
        <v>kilogram</v>
      </c>
      <c r="F14" s="5" t="str">
        <f>PR3_FeCr_GLO_ClosedFurnaceHeat!F48</f>
        <v>Chromium</v>
      </c>
      <c r="G14" s="2" t="s">
        <v>23</v>
      </c>
    </row>
    <row r="15" spans="1:14" s="4" customFormat="1" x14ac:dyDescent="0.25">
      <c r="A15" s="4" t="str">
        <f>PR4_Cr_GLO!A40</f>
        <v>Chromite ore mining and Cr metal production in South Africa/Finland/Kazakhstan</v>
      </c>
      <c r="B15" s="4" t="str">
        <f>PR4_Cr_GLO!B40</f>
        <v>Cr metal</v>
      </c>
      <c r="C15" s="4" t="str">
        <f>PR4_Cr_GLO!C40</f>
        <v>GLO</v>
      </c>
      <c r="D15" s="4">
        <v>2.0720020720020726E-2</v>
      </c>
      <c r="E15" s="4" t="str">
        <f>PR4_Cr_GLO!E40</f>
        <v>kilogram</v>
      </c>
      <c r="F15" s="5" t="str">
        <f>PR4_Cr_GLO!F40</f>
        <v>Chromium</v>
      </c>
      <c r="G15" s="2" t="s">
        <v>23</v>
      </c>
    </row>
    <row r="16" spans="1:14" s="7" customFormat="1" x14ac:dyDescent="0.25"/>
    <row r="17" spans="1:14" x14ac:dyDescent="0.25">
      <c r="A17" s="3" t="s">
        <v>0</v>
      </c>
      <c r="B17" s="3" t="s">
        <v>94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x14ac:dyDescent="0.25">
      <c r="A18" s="8" t="s">
        <v>1</v>
      </c>
      <c r="B18" s="4" t="s">
        <v>95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 x14ac:dyDescent="0.25">
      <c r="A19" s="8" t="s">
        <v>3</v>
      </c>
      <c r="B19" s="4" t="s">
        <v>21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 x14ac:dyDescent="0.25">
      <c r="A20" s="8" t="s">
        <v>4</v>
      </c>
      <c r="B20" s="4">
        <v>1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 x14ac:dyDescent="0.25">
      <c r="A21" s="8" t="s">
        <v>5</v>
      </c>
      <c r="B21" s="4" t="s">
        <v>6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 x14ac:dyDescent="0.25">
      <c r="A22" s="8" t="s">
        <v>7</v>
      </c>
      <c r="B22" s="4" t="s">
        <v>96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 x14ac:dyDescent="0.25">
      <c r="A23" s="8" t="s">
        <v>9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x14ac:dyDescent="0.25">
      <c r="A24" s="3" t="s">
        <v>10</v>
      </c>
      <c r="B24" s="3" t="s">
        <v>1</v>
      </c>
      <c r="C24" s="3" t="s">
        <v>3</v>
      </c>
      <c r="D24" s="3" t="s">
        <v>4</v>
      </c>
      <c r="E24" s="3" t="s">
        <v>5</v>
      </c>
      <c r="F24" s="3" t="s">
        <v>11</v>
      </c>
      <c r="G24" s="3" t="s">
        <v>12</v>
      </c>
      <c r="H24" s="3" t="s">
        <v>13</v>
      </c>
      <c r="I24" s="3" t="s">
        <v>14</v>
      </c>
      <c r="J24" s="3" t="s">
        <v>15</v>
      </c>
      <c r="K24" s="3" t="s">
        <v>16</v>
      </c>
      <c r="L24" s="3" t="s">
        <v>17</v>
      </c>
      <c r="M24" s="3" t="s">
        <v>18</v>
      </c>
      <c r="N24" s="3" t="s">
        <v>19</v>
      </c>
    </row>
    <row r="25" spans="1:14" x14ac:dyDescent="0.25">
      <c r="A25" t="str">
        <f>B17</f>
        <v>Chromium (Cr) global market (Cr content)</v>
      </c>
      <c r="B25" t="str">
        <f>B18</f>
        <v>Cr content</v>
      </c>
      <c r="C25" t="str">
        <f>B19</f>
        <v>GLO</v>
      </c>
      <c r="D25" s="4">
        <v>1</v>
      </c>
      <c r="E25" s="4" t="str">
        <f>B21</f>
        <v>kilogram</v>
      </c>
      <c r="F25" s="5" t="str">
        <f>F11</f>
        <v>Chromium</v>
      </c>
      <c r="G25" s="4" t="s">
        <v>20</v>
      </c>
    </row>
    <row r="26" spans="1:14" s="4" customFormat="1" x14ac:dyDescent="0.25">
      <c r="A26" s="4" t="str">
        <f>PR1_FeCr_GLO_OpenFurnace!A60</f>
        <v>Chromite ore mining and FeCr production in South Africa/Finland/Kazakhstan through Open Furnace Smelting (Cr content)</v>
      </c>
      <c r="B26" s="4" t="str">
        <f>PR1_FeCr_GLO_OpenFurnace!B60</f>
        <v>FeCr (Cr content)</v>
      </c>
      <c r="C26" s="4" t="str">
        <f>PR1_FeCr_GLO_OpenFurnace!C60</f>
        <v>GLO</v>
      </c>
      <c r="D26" s="4">
        <v>0.4330484330484331</v>
      </c>
      <c r="E26" s="4" t="str">
        <f>PR1_FeCr_GLO_OpenFurnace!E60</f>
        <v>kilogram</v>
      </c>
      <c r="F26" s="5" t="str">
        <f>PR1_FeCr_GLO_OpenFurnace!F60</f>
        <v>Chromium</v>
      </c>
      <c r="G26" s="2" t="s">
        <v>23</v>
      </c>
    </row>
    <row r="27" spans="1:14" s="4" customFormat="1" x14ac:dyDescent="0.25">
      <c r="A27" s="4" t="str">
        <f>PR2_FeCr_GLO_ClosedFurnace!A58</f>
        <v>Chromite ore mining and FeCr production in South Africa/Finland/Kazakhstan through Closed Furnace Smelting (without preheating) (Cr content)</v>
      </c>
      <c r="B27" s="4" t="str">
        <f>PR2_FeCr_GLO_ClosedFurnace!B58</f>
        <v>FeCr (Cr content)</v>
      </c>
      <c r="C27" s="4" t="str">
        <f>PR2_FeCr_GLO_ClosedFurnace!C58</f>
        <v>GLO</v>
      </c>
      <c r="D27" s="4">
        <v>0.18306138306138306</v>
      </c>
      <c r="E27" s="4" t="str">
        <f>PR2_FeCr_GLO_ClosedFurnace!E58</f>
        <v>kilogram</v>
      </c>
      <c r="F27" s="5" t="str">
        <f>PR2_FeCr_GLO_ClosedFurnace!F58</f>
        <v>Chromium</v>
      </c>
      <c r="G27" s="2" t="s">
        <v>23</v>
      </c>
    </row>
    <row r="28" spans="1:14" s="4" customFormat="1" x14ac:dyDescent="0.25">
      <c r="A28" s="4" t="str">
        <f>PR3_FeCr_GLO_ClosedFurnaceHeat!A59</f>
        <v>Chromite ore mining and FeCr production in South Africa/Finland/Kazakhstan through Closed Furnace Smelting (with preheating) (Cr content)</v>
      </c>
      <c r="B28" s="4" t="str">
        <f>PR3_FeCr_GLO_ClosedFurnaceHeat!B59</f>
        <v>FeCr (Cr content)</v>
      </c>
      <c r="C28" s="4" t="str">
        <f>PR3_FeCr_GLO_ClosedFurnaceHeat!C59</f>
        <v>GLO</v>
      </c>
      <c r="D28" s="4">
        <v>0.36317016317016315</v>
      </c>
      <c r="E28" s="4" t="str">
        <f>PR3_FeCr_GLO_ClosedFurnaceHeat!E59</f>
        <v>kilogram</v>
      </c>
      <c r="F28" s="5" t="str">
        <f>PR3_FeCr_GLO_ClosedFurnaceHeat!F59</f>
        <v>Chromium</v>
      </c>
      <c r="G28" s="2" t="s">
        <v>23</v>
      </c>
    </row>
    <row r="29" spans="1:14" s="4" customFormat="1" x14ac:dyDescent="0.25">
      <c r="A29" s="4" t="str">
        <f>PR4_Cr_GLO!A40</f>
        <v>Chromite ore mining and Cr metal production in South Africa/Finland/Kazakhstan</v>
      </c>
      <c r="B29" s="4" t="str">
        <f>PR4_Cr_GLO!B40</f>
        <v>Cr metal</v>
      </c>
      <c r="C29" s="4" t="str">
        <f>PR4_Cr_GLO!C40</f>
        <v>GLO</v>
      </c>
      <c r="D29" s="4">
        <v>2.0720020720020726E-2</v>
      </c>
      <c r="E29" s="4" t="str">
        <f>PR4_Cr_GLO!E40</f>
        <v>kilogram</v>
      </c>
      <c r="F29" s="5" t="str">
        <f>PR4_Cr_GLO!F40</f>
        <v>Chromium</v>
      </c>
      <c r="G29" s="2" t="s">
        <v>23</v>
      </c>
    </row>
    <row r="30" spans="1:14" s="4" customFormat="1" x14ac:dyDescent="0.25">
      <c r="F3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39997558519241921"/>
  </sheetPr>
  <dimension ref="A1:N61"/>
  <sheetViews>
    <sheetView workbookViewId="0">
      <selection activeCell="D1" sqref="D1:D1048576"/>
    </sheetView>
  </sheetViews>
  <sheetFormatPr baseColWidth="10" defaultColWidth="8.7109375" defaultRowHeight="15" x14ac:dyDescent="0.25"/>
  <cols>
    <col min="1" max="1" width="89.85546875" style="9" customWidth="1"/>
    <col min="2" max="2" width="93.85546875" style="9" bestFit="1" customWidth="1"/>
    <col min="3" max="3" width="7.5703125" style="9" bestFit="1" customWidth="1"/>
    <col min="4" max="5" width="11.85546875" style="9" bestFit="1" customWidth="1"/>
    <col min="6" max="6" width="19.7109375" style="9" bestFit="1" customWidth="1"/>
    <col min="7" max="7" width="12.28515625" style="9" bestFit="1" customWidth="1"/>
    <col min="8" max="8" width="22.5703125" style="9" bestFit="1" customWidth="1"/>
    <col min="9" max="9" width="14.5703125" style="9" bestFit="1" customWidth="1"/>
    <col min="10" max="10" width="8.85546875" style="9" bestFit="1" customWidth="1"/>
    <col min="11" max="11" width="3.140625" style="9" bestFit="1" customWidth="1"/>
    <col min="12" max="12" width="4.85546875" style="9" bestFit="1" customWidth="1"/>
    <col min="13" max="13" width="8.85546875" style="9" bestFit="1" customWidth="1"/>
    <col min="14" max="14" width="9.140625" style="9" bestFit="1" customWidth="1"/>
    <col min="15" max="16384" width="8.7109375" style="9"/>
  </cols>
  <sheetData>
    <row r="1" spans="1:14" x14ac:dyDescent="0.25">
      <c r="A1" s="3" t="s">
        <v>0</v>
      </c>
      <c r="B1" s="3" t="s">
        <v>97</v>
      </c>
    </row>
    <row r="2" spans="1:14" x14ac:dyDescent="0.25">
      <c r="A2" s="10" t="s">
        <v>1</v>
      </c>
      <c r="B2" s="9" t="s">
        <v>2</v>
      </c>
    </row>
    <row r="3" spans="1:14" x14ac:dyDescent="0.25">
      <c r="A3" s="10" t="s">
        <v>3</v>
      </c>
      <c r="B3" s="9" t="s">
        <v>21</v>
      </c>
    </row>
    <row r="4" spans="1:14" x14ac:dyDescent="0.25">
      <c r="A4" s="10" t="s">
        <v>4</v>
      </c>
      <c r="B4" s="9">
        <v>1</v>
      </c>
    </row>
    <row r="5" spans="1:14" x14ac:dyDescent="0.25">
      <c r="A5" s="10" t="s">
        <v>5</v>
      </c>
      <c r="B5" s="9" t="s">
        <v>6</v>
      </c>
    </row>
    <row r="6" spans="1:14" x14ac:dyDescent="0.25">
      <c r="A6" s="10" t="s">
        <v>7</v>
      </c>
      <c r="B6" s="9" t="s">
        <v>8</v>
      </c>
    </row>
    <row r="7" spans="1:14" x14ac:dyDescent="0.25">
      <c r="A7" s="10" t="s">
        <v>9</v>
      </c>
    </row>
    <row r="8" spans="1:14" x14ac:dyDescent="0.25">
      <c r="A8" s="3" t="s">
        <v>10</v>
      </c>
      <c r="B8" s="3" t="s">
        <v>1</v>
      </c>
      <c r="C8" s="3" t="s">
        <v>3</v>
      </c>
      <c r="D8" s="3" t="s">
        <v>4</v>
      </c>
      <c r="E8" s="3" t="s">
        <v>5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K8" s="3" t="s">
        <v>16</v>
      </c>
      <c r="L8" s="3" t="s">
        <v>17</v>
      </c>
      <c r="M8" s="3" t="s">
        <v>18</v>
      </c>
      <c r="N8" s="3" t="s">
        <v>19</v>
      </c>
    </row>
    <row r="9" spans="1:14" x14ac:dyDescent="0.25">
      <c r="A9" s="9" t="str">
        <f>B1</f>
        <v>[M+C+P+R] Ferrochromium (FeCr) production - Open Furnace Smelting</v>
      </c>
      <c r="B9" s="9" t="str">
        <f>B2</f>
        <v>FeCr</v>
      </c>
      <c r="C9" s="9" t="str">
        <f>B3</f>
        <v>GLO</v>
      </c>
      <c r="D9" s="9">
        <v>1</v>
      </c>
      <c r="E9" s="9" t="s">
        <v>6</v>
      </c>
      <c r="F9" s="11" t="str">
        <f>Cr_Market_GLO!B1</f>
        <v>Chromium</v>
      </c>
      <c r="G9" s="9" t="s">
        <v>20</v>
      </c>
    </row>
    <row r="10" spans="1:14" x14ac:dyDescent="0.25">
      <c r="A10" s="9" t="s">
        <v>34</v>
      </c>
      <c r="B10" s="9" t="s">
        <v>26</v>
      </c>
      <c r="C10" s="9" t="s">
        <v>21</v>
      </c>
      <c r="D10" s="9">
        <v>4.45</v>
      </c>
      <c r="E10" s="9" t="s">
        <v>27</v>
      </c>
      <c r="F10" s="9" t="s">
        <v>22</v>
      </c>
      <c r="G10" s="9" t="s">
        <v>23</v>
      </c>
      <c r="J10" s="9" t="s">
        <v>35</v>
      </c>
    </row>
    <row r="11" spans="1:14" x14ac:dyDescent="0.25">
      <c r="A11" s="9" t="s">
        <v>36</v>
      </c>
      <c r="B11" s="9" t="s">
        <v>37</v>
      </c>
      <c r="C11" s="9" t="s">
        <v>21</v>
      </c>
      <c r="D11" s="9">
        <v>5.99</v>
      </c>
      <c r="E11" s="9" t="s">
        <v>6</v>
      </c>
      <c r="F11" s="9" t="s">
        <v>22</v>
      </c>
      <c r="G11" s="9" t="s">
        <v>23</v>
      </c>
      <c r="J11" s="9" t="s">
        <v>35</v>
      </c>
    </row>
    <row r="12" spans="1:14" x14ac:dyDescent="0.25">
      <c r="A12" s="9" t="s">
        <v>38</v>
      </c>
      <c r="B12" s="9" t="s">
        <v>39</v>
      </c>
      <c r="C12" s="9" t="s">
        <v>21</v>
      </c>
      <c r="D12" s="9">
        <v>1.1000000000000001E-3</v>
      </c>
      <c r="E12" s="9" t="s">
        <v>6</v>
      </c>
      <c r="F12" s="9" t="s">
        <v>22</v>
      </c>
      <c r="G12" s="9" t="s">
        <v>23</v>
      </c>
      <c r="J12" s="9" t="s">
        <v>35</v>
      </c>
    </row>
    <row r="13" spans="1:14" x14ac:dyDescent="0.25">
      <c r="A13" s="9" t="s">
        <v>24</v>
      </c>
      <c r="B13" s="9" t="s">
        <v>24</v>
      </c>
      <c r="C13" s="9" t="s">
        <v>21</v>
      </c>
      <c r="D13" s="9">
        <v>4.9500000000000002E-2</v>
      </c>
      <c r="E13" s="9" t="s">
        <v>25</v>
      </c>
      <c r="F13" s="9" t="s">
        <v>22</v>
      </c>
      <c r="G13" s="9" t="s">
        <v>23</v>
      </c>
      <c r="J13" s="9" t="s">
        <v>40</v>
      </c>
    </row>
    <row r="14" spans="1:14" x14ac:dyDescent="0.25">
      <c r="A14" s="9" t="s">
        <v>41</v>
      </c>
      <c r="B14" s="9" t="s">
        <v>42</v>
      </c>
      <c r="C14" s="9" t="s">
        <v>21</v>
      </c>
      <c r="D14" s="9">
        <v>1.7721600000000001E-2</v>
      </c>
      <c r="E14" s="9" t="s">
        <v>25</v>
      </c>
      <c r="F14" s="9" t="s">
        <v>22</v>
      </c>
      <c r="G14" s="9" t="s">
        <v>23</v>
      </c>
      <c r="J14" s="9" t="s">
        <v>40</v>
      </c>
    </row>
    <row r="15" spans="1:14" x14ac:dyDescent="0.25">
      <c r="A15" s="9" t="s">
        <v>43</v>
      </c>
      <c r="B15" s="9" t="s">
        <v>44</v>
      </c>
      <c r="C15" s="9" t="s">
        <v>21</v>
      </c>
      <c r="D15" s="9">
        <v>2.622E-2</v>
      </c>
      <c r="E15" s="9" t="s">
        <v>25</v>
      </c>
      <c r="F15" s="9" t="s">
        <v>22</v>
      </c>
      <c r="G15" s="9" t="s">
        <v>23</v>
      </c>
      <c r="J15" s="9" t="s">
        <v>40</v>
      </c>
    </row>
    <row r="16" spans="1:14" x14ac:dyDescent="0.25">
      <c r="A16" s="9" t="s">
        <v>80</v>
      </c>
      <c r="B16" s="9" t="s">
        <v>81</v>
      </c>
      <c r="C16" s="9" t="s">
        <v>21</v>
      </c>
      <c r="D16" s="9">
        <v>0.68958600000000003</v>
      </c>
      <c r="E16" s="9" t="s">
        <v>25</v>
      </c>
      <c r="F16" s="9" t="s">
        <v>22</v>
      </c>
      <c r="G16" s="9" t="s">
        <v>23</v>
      </c>
      <c r="J16" s="9" t="s">
        <v>40</v>
      </c>
    </row>
    <row r="17" spans="1:10" x14ac:dyDescent="0.25">
      <c r="A17" s="9" t="s">
        <v>41</v>
      </c>
      <c r="B17" s="9" t="s">
        <v>42</v>
      </c>
      <c r="C17" s="9" t="s">
        <v>21</v>
      </c>
      <c r="D17" s="9">
        <v>0.10437</v>
      </c>
      <c r="E17" s="9" t="s">
        <v>25</v>
      </c>
      <c r="F17" s="9" t="s">
        <v>22</v>
      </c>
      <c r="G17" s="9" t="s">
        <v>23</v>
      </c>
      <c r="J17" s="9" t="s">
        <v>40</v>
      </c>
    </row>
    <row r="18" spans="1:10" x14ac:dyDescent="0.25">
      <c r="A18" s="9" t="s">
        <v>45</v>
      </c>
      <c r="B18" s="9" t="s">
        <v>46</v>
      </c>
      <c r="C18" s="9" t="s">
        <v>21</v>
      </c>
      <c r="D18" s="9">
        <v>2.8500000000000002E-5</v>
      </c>
      <c r="E18" s="9" t="s">
        <v>6</v>
      </c>
      <c r="F18" s="9" t="s">
        <v>22</v>
      </c>
      <c r="G18" s="9" t="s">
        <v>23</v>
      </c>
      <c r="J18" s="9" t="s">
        <v>35</v>
      </c>
    </row>
    <row r="19" spans="1:10" x14ac:dyDescent="0.25">
      <c r="A19" s="9" t="s">
        <v>47</v>
      </c>
      <c r="B19" s="9" t="s">
        <v>48</v>
      </c>
      <c r="C19" s="9" t="s">
        <v>30</v>
      </c>
      <c r="D19" s="9">
        <v>0.158</v>
      </c>
      <c r="E19" s="9" t="s">
        <v>6</v>
      </c>
      <c r="F19" s="9" t="s">
        <v>22</v>
      </c>
      <c r="G19" s="9" t="s">
        <v>23</v>
      </c>
      <c r="J19" s="9" t="s">
        <v>35</v>
      </c>
    </row>
    <row r="20" spans="1:10" x14ac:dyDescent="0.25">
      <c r="A20" s="9" t="s">
        <v>28</v>
      </c>
      <c r="B20" s="9" t="s">
        <v>29</v>
      </c>
      <c r="C20" s="9" t="s">
        <v>30</v>
      </c>
      <c r="D20" s="9">
        <v>3.484</v>
      </c>
      <c r="E20" s="9" t="s">
        <v>25</v>
      </c>
      <c r="F20" s="9" t="s">
        <v>22</v>
      </c>
      <c r="G20" s="9" t="s">
        <v>23</v>
      </c>
      <c r="J20" s="9" t="s">
        <v>35</v>
      </c>
    </row>
    <row r="21" spans="1:10" x14ac:dyDescent="0.25">
      <c r="A21" s="9" t="s">
        <v>28</v>
      </c>
      <c r="B21" s="9" t="s">
        <v>29</v>
      </c>
      <c r="C21" s="9" t="s">
        <v>30</v>
      </c>
      <c r="D21" s="9">
        <v>3.38</v>
      </c>
      <c r="E21" s="9" t="s">
        <v>25</v>
      </c>
      <c r="F21" s="9" t="s">
        <v>22</v>
      </c>
      <c r="G21" s="9" t="s">
        <v>23</v>
      </c>
      <c r="J21" s="9" t="s">
        <v>35</v>
      </c>
    </row>
    <row r="22" spans="1:10" x14ac:dyDescent="0.25">
      <c r="A22" s="9" t="s">
        <v>49</v>
      </c>
      <c r="B22" s="9" t="s">
        <v>50</v>
      </c>
      <c r="C22" s="9" t="s">
        <v>21</v>
      </c>
      <c r="D22" s="9">
        <v>0.11</v>
      </c>
      <c r="E22" s="9" t="s">
        <v>6</v>
      </c>
      <c r="F22" s="9" t="s">
        <v>22</v>
      </c>
      <c r="G22" s="9" t="s">
        <v>23</v>
      </c>
      <c r="J22" s="9" t="s">
        <v>35</v>
      </c>
    </row>
    <row r="23" spans="1:10" x14ac:dyDescent="0.25">
      <c r="A23" s="9" t="s">
        <v>47</v>
      </c>
      <c r="B23" s="9" t="s">
        <v>48</v>
      </c>
      <c r="C23" s="9" t="s">
        <v>30</v>
      </c>
      <c r="D23" s="9">
        <v>0.04</v>
      </c>
      <c r="E23" s="9" t="s">
        <v>6</v>
      </c>
      <c r="F23" s="9" t="s">
        <v>22</v>
      </c>
      <c r="G23" s="9" t="s">
        <v>23</v>
      </c>
      <c r="J23" s="9" t="s">
        <v>35</v>
      </c>
    </row>
    <row r="24" spans="1:10" x14ac:dyDescent="0.25">
      <c r="A24" s="9" t="s">
        <v>32</v>
      </c>
      <c r="B24" s="9" t="s">
        <v>33</v>
      </c>
      <c r="C24" s="9" t="s">
        <v>21</v>
      </c>
      <c r="D24" s="9">
        <v>0.22</v>
      </c>
      <c r="E24" s="9" t="s">
        <v>6</v>
      </c>
      <c r="F24" s="9" t="s">
        <v>22</v>
      </c>
      <c r="G24" s="9" t="s">
        <v>23</v>
      </c>
      <c r="J24" s="9" t="s">
        <v>35</v>
      </c>
    </row>
    <row r="25" spans="1:10" x14ac:dyDescent="0.25">
      <c r="A25" s="9" t="s">
        <v>51</v>
      </c>
      <c r="B25" s="9" t="s">
        <v>31</v>
      </c>
      <c r="C25" s="9" t="s">
        <v>21</v>
      </c>
      <c r="D25" s="9">
        <v>1.4999999999999999E-2</v>
      </c>
      <c r="E25" s="9" t="s">
        <v>6</v>
      </c>
      <c r="F25" s="9" t="s">
        <v>22</v>
      </c>
      <c r="G25" s="9" t="s">
        <v>23</v>
      </c>
      <c r="J25" s="9" t="s">
        <v>35</v>
      </c>
    </row>
    <row r="26" spans="1:10" x14ac:dyDescent="0.25">
      <c r="A26" s="9" t="s">
        <v>52</v>
      </c>
      <c r="B26" s="9" t="s">
        <v>53</v>
      </c>
      <c r="C26" s="9" t="s">
        <v>21</v>
      </c>
      <c r="D26" s="9">
        <v>-1.49</v>
      </c>
      <c r="E26" s="9" t="s">
        <v>6</v>
      </c>
      <c r="F26" s="9" t="s">
        <v>22</v>
      </c>
      <c r="G26" s="9" t="s">
        <v>23</v>
      </c>
      <c r="J26" s="9" t="s">
        <v>35</v>
      </c>
    </row>
    <row r="27" spans="1:10" x14ac:dyDescent="0.25">
      <c r="A27" s="9" t="s">
        <v>54</v>
      </c>
      <c r="B27" s="9" t="s">
        <v>55</v>
      </c>
      <c r="C27" s="9" t="s">
        <v>30</v>
      </c>
      <c r="D27" s="9">
        <v>-0.12</v>
      </c>
      <c r="E27" s="9" t="s">
        <v>6</v>
      </c>
      <c r="F27" s="9" t="s">
        <v>22</v>
      </c>
      <c r="G27" s="9" t="s">
        <v>23</v>
      </c>
      <c r="J27" s="9" t="s">
        <v>35</v>
      </c>
    </row>
    <row r="28" spans="1:10" x14ac:dyDescent="0.25">
      <c r="A28" s="9" t="s">
        <v>54</v>
      </c>
      <c r="B28" s="9" t="s">
        <v>55</v>
      </c>
      <c r="C28" s="9" t="s">
        <v>30</v>
      </c>
      <c r="D28" s="9">
        <v>-1.45</v>
      </c>
      <c r="E28" s="9" t="s">
        <v>6</v>
      </c>
      <c r="F28" s="9" t="s">
        <v>22</v>
      </c>
      <c r="G28" s="9" t="s">
        <v>23</v>
      </c>
      <c r="J28" s="9" t="s">
        <v>35</v>
      </c>
    </row>
    <row r="29" spans="1:10" x14ac:dyDescent="0.25">
      <c r="A29" s="9" t="s">
        <v>56</v>
      </c>
      <c r="D29" s="9">
        <v>5.2900000000000004E-3</v>
      </c>
      <c r="E29" s="9" t="s">
        <v>57</v>
      </c>
      <c r="F29" s="9" t="s">
        <v>58</v>
      </c>
      <c r="G29" s="9" t="s">
        <v>59</v>
      </c>
      <c r="H29" s="9" t="s">
        <v>60</v>
      </c>
      <c r="J29" s="9" t="s">
        <v>35</v>
      </c>
    </row>
    <row r="30" spans="1:10" x14ac:dyDescent="0.25">
      <c r="A30" s="9" t="s">
        <v>61</v>
      </c>
      <c r="D30" s="9">
        <v>5.2900000000000004E-3</v>
      </c>
      <c r="E30" s="9" t="s">
        <v>57</v>
      </c>
      <c r="F30" s="9" t="s">
        <v>58</v>
      </c>
      <c r="G30" s="9" t="s">
        <v>59</v>
      </c>
      <c r="H30" s="9" t="s">
        <v>60</v>
      </c>
      <c r="J30" s="9" t="s">
        <v>35</v>
      </c>
    </row>
    <row r="31" spans="1:10" x14ac:dyDescent="0.25">
      <c r="A31" s="9" t="s">
        <v>62</v>
      </c>
      <c r="D31" s="9">
        <v>1.53</v>
      </c>
      <c r="E31" s="9" t="s">
        <v>6</v>
      </c>
      <c r="F31" s="9" t="s">
        <v>58</v>
      </c>
      <c r="G31" s="9" t="s">
        <v>59</v>
      </c>
      <c r="H31" s="9" t="s">
        <v>82</v>
      </c>
      <c r="J31" s="9" t="s">
        <v>35</v>
      </c>
    </row>
    <row r="32" spans="1:10" x14ac:dyDescent="0.25">
      <c r="A32" s="9" t="s">
        <v>63</v>
      </c>
      <c r="D32" s="9">
        <v>2.4100000000000001E-8</v>
      </c>
      <c r="E32" s="9" t="s">
        <v>6</v>
      </c>
      <c r="F32" s="9" t="s">
        <v>58</v>
      </c>
      <c r="G32" s="9" t="s">
        <v>59</v>
      </c>
      <c r="H32" s="9" t="s">
        <v>83</v>
      </c>
      <c r="J32" s="9" t="s">
        <v>35</v>
      </c>
    </row>
    <row r="33" spans="1:14" x14ac:dyDescent="0.25">
      <c r="A33" s="9" t="s">
        <v>64</v>
      </c>
      <c r="D33" s="9">
        <v>3.5E-4</v>
      </c>
      <c r="E33" s="9" t="s">
        <v>6</v>
      </c>
      <c r="F33" s="9" t="s">
        <v>58</v>
      </c>
      <c r="G33" s="9" t="s">
        <v>59</v>
      </c>
      <c r="H33" s="9" t="s">
        <v>82</v>
      </c>
      <c r="J33" s="9" t="s">
        <v>35</v>
      </c>
    </row>
    <row r="34" spans="1:14" x14ac:dyDescent="0.25">
      <c r="A34" s="9" t="s">
        <v>63</v>
      </c>
      <c r="D34" s="9">
        <v>2.9999999999999999E-7</v>
      </c>
      <c r="E34" s="9" t="s">
        <v>6</v>
      </c>
      <c r="F34" s="9" t="s">
        <v>58</v>
      </c>
      <c r="G34" s="9" t="s">
        <v>59</v>
      </c>
      <c r="H34" s="9" t="s">
        <v>82</v>
      </c>
      <c r="J34" s="9" t="s">
        <v>35</v>
      </c>
    </row>
    <row r="35" spans="1:14" x14ac:dyDescent="0.25">
      <c r="A35" s="9" t="s">
        <v>65</v>
      </c>
      <c r="D35" s="9">
        <v>1.1000000000000001E-6</v>
      </c>
      <c r="E35" s="9" t="s">
        <v>6</v>
      </c>
      <c r="F35" s="9" t="s">
        <v>58</v>
      </c>
      <c r="G35" s="9" t="s">
        <v>59</v>
      </c>
      <c r="H35" s="9" t="s">
        <v>82</v>
      </c>
      <c r="J35" s="9" t="s">
        <v>35</v>
      </c>
    </row>
    <row r="36" spans="1:14" x14ac:dyDescent="0.25">
      <c r="A36" s="9" t="s">
        <v>66</v>
      </c>
      <c r="D36" s="9">
        <v>1.5E-6</v>
      </c>
      <c r="E36" s="9" t="s">
        <v>6</v>
      </c>
      <c r="F36" s="9" t="s">
        <v>58</v>
      </c>
      <c r="G36" s="9" t="s">
        <v>59</v>
      </c>
      <c r="H36" s="9" t="s">
        <v>82</v>
      </c>
      <c r="J36" s="9" t="s">
        <v>35</v>
      </c>
    </row>
    <row r="37" spans="1:14" x14ac:dyDescent="0.25">
      <c r="A37" s="9" t="s">
        <v>67</v>
      </c>
      <c r="D37" s="9">
        <v>1.4E-8</v>
      </c>
      <c r="E37" s="9" t="s">
        <v>6</v>
      </c>
      <c r="F37" s="9" t="s">
        <v>58</v>
      </c>
      <c r="G37" s="9" t="s">
        <v>59</v>
      </c>
      <c r="H37" s="9" t="s">
        <v>82</v>
      </c>
      <c r="J37" s="9" t="s">
        <v>35</v>
      </c>
    </row>
    <row r="38" spans="1:14" x14ac:dyDescent="0.25">
      <c r="A38" s="9" t="s">
        <v>68</v>
      </c>
      <c r="D38" s="9">
        <v>7.5999999999999996E-10</v>
      </c>
      <c r="E38" s="9" t="s">
        <v>6</v>
      </c>
      <c r="F38" s="9" t="s">
        <v>58</v>
      </c>
      <c r="G38" s="9" t="s">
        <v>59</v>
      </c>
      <c r="H38" s="9" t="s">
        <v>82</v>
      </c>
      <c r="J38" s="9" t="s">
        <v>35</v>
      </c>
    </row>
    <row r="39" spans="1:14" x14ac:dyDescent="0.25">
      <c r="A39" s="9" t="s">
        <v>69</v>
      </c>
      <c r="D39" s="9">
        <v>3.8E-3</v>
      </c>
      <c r="E39" s="9" t="s">
        <v>6</v>
      </c>
      <c r="F39" s="9" t="s">
        <v>58</v>
      </c>
      <c r="G39" s="9" t="s">
        <v>59</v>
      </c>
      <c r="H39" s="9" t="s">
        <v>82</v>
      </c>
      <c r="J39" s="9" t="s">
        <v>35</v>
      </c>
    </row>
    <row r="40" spans="1:14" s="12" customFormat="1" x14ac:dyDescent="0.25"/>
    <row r="41" spans="1:14" x14ac:dyDescent="0.25">
      <c r="A41" s="3" t="s">
        <v>0</v>
      </c>
      <c r="B41" s="3" t="s">
        <v>98</v>
      </c>
    </row>
    <row r="42" spans="1:14" x14ac:dyDescent="0.25">
      <c r="A42" s="10" t="s">
        <v>1</v>
      </c>
      <c r="B42" s="9" t="s">
        <v>2</v>
      </c>
    </row>
    <row r="43" spans="1:14" x14ac:dyDescent="0.25">
      <c r="A43" s="10" t="s">
        <v>3</v>
      </c>
      <c r="B43" s="9" t="s">
        <v>21</v>
      </c>
    </row>
    <row r="44" spans="1:14" x14ac:dyDescent="0.25">
      <c r="A44" s="10" t="s">
        <v>4</v>
      </c>
      <c r="B44" s="9">
        <v>1</v>
      </c>
    </row>
    <row r="45" spans="1:14" x14ac:dyDescent="0.25">
      <c r="A45" s="10" t="s">
        <v>5</v>
      </c>
      <c r="B45" s="9" t="s">
        <v>6</v>
      </c>
    </row>
    <row r="46" spans="1:14" x14ac:dyDescent="0.25">
      <c r="A46" s="10" t="s">
        <v>7</v>
      </c>
      <c r="B46" s="9" t="s">
        <v>8</v>
      </c>
    </row>
    <row r="47" spans="1:14" x14ac:dyDescent="0.25">
      <c r="A47" s="10" t="s">
        <v>9</v>
      </c>
    </row>
    <row r="48" spans="1:14" x14ac:dyDescent="0.25">
      <c r="A48" s="3" t="s">
        <v>10</v>
      </c>
      <c r="B48" s="3" t="s">
        <v>1</v>
      </c>
      <c r="C48" s="3" t="s">
        <v>3</v>
      </c>
      <c r="D48" s="3" t="s">
        <v>4</v>
      </c>
      <c r="E48" s="3" t="s">
        <v>5</v>
      </c>
      <c r="F48" s="3" t="s">
        <v>11</v>
      </c>
      <c r="G48" s="3" t="s">
        <v>12</v>
      </c>
      <c r="H48" s="3" t="s">
        <v>13</v>
      </c>
      <c r="I48" s="3" t="s">
        <v>14</v>
      </c>
      <c r="J48" s="3" t="s">
        <v>15</v>
      </c>
      <c r="K48" s="3" t="s">
        <v>16</v>
      </c>
      <c r="L48" s="3" t="s">
        <v>17</v>
      </c>
      <c r="M48" s="3" t="s">
        <v>18</v>
      </c>
      <c r="N48" s="3" t="s">
        <v>19</v>
      </c>
    </row>
    <row r="49" spans="1:14" x14ac:dyDescent="0.25">
      <c r="A49" s="9" t="str">
        <f>B41</f>
        <v>Chromite ore mining and FeCr production in South Africa/Finland/Kazakhstan through Open Furnace Smelting</v>
      </c>
      <c r="B49" s="9" t="str">
        <f>B42</f>
        <v>FeCr</v>
      </c>
      <c r="C49" s="9" t="str">
        <f>B43</f>
        <v>GLO</v>
      </c>
      <c r="D49" s="9">
        <v>1</v>
      </c>
      <c r="E49" s="9" t="s">
        <v>6</v>
      </c>
      <c r="F49" s="11" t="str">
        <f>F9</f>
        <v>Chromium</v>
      </c>
      <c r="G49" s="9" t="s">
        <v>20</v>
      </c>
    </row>
    <row r="50" spans="1:14" x14ac:dyDescent="0.25">
      <c r="A50" s="9" t="str">
        <f>A9</f>
        <v>[M+C+P+R] Ferrochromium (FeCr) production - Open Furnace Smelting</v>
      </c>
      <c r="B50" s="9" t="str">
        <f t="shared" ref="B50:F50" si="0">B9</f>
        <v>FeCr</v>
      </c>
      <c r="C50" s="9" t="str">
        <f t="shared" si="0"/>
        <v>GLO</v>
      </c>
      <c r="D50" s="9">
        <v>1</v>
      </c>
      <c r="E50" s="9" t="str">
        <f t="shared" si="0"/>
        <v>kilogram</v>
      </c>
      <c r="F50" s="11" t="str">
        <f t="shared" si="0"/>
        <v>Chromium</v>
      </c>
      <c r="G50" s="9" t="s">
        <v>23</v>
      </c>
    </row>
    <row r="51" spans="1:14" s="12" customFormat="1" x14ac:dyDescent="0.25"/>
    <row r="52" spans="1:14" x14ac:dyDescent="0.25">
      <c r="A52" s="3" t="s">
        <v>0</v>
      </c>
      <c r="B52" s="3" t="s">
        <v>99</v>
      </c>
    </row>
    <row r="53" spans="1:14" x14ac:dyDescent="0.25">
      <c r="A53" s="10" t="s">
        <v>1</v>
      </c>
      <c r="B53" s="9" t="s">
        <v>100</v>
      </c>
    </row>
    <row r="54" spans="1:14" x14ac:dyDescent="0.25">
      <c r="A54" s="10" t="s">
        <v>3</v>
      </c>
      <c r="B54" s="9" t="s">
        <v>21</v>
      </c>
    </row>
    <row r="55" spans="1:14" x14ac:dyDescent="0.25">
      <c r="A55" s="10" t="s">
        <v>4</v>
      </c>
      <c r="B55" s="9">
        <v>1</v>
      </c>
    </row>
    <row r="56" spans="1:14" x14ac:dyDescent="0.25">
      <c r="A56" s="10" t="s">
        <v>5</v>
      </c>
      <c r="B56" s="9" t="s">
        <v>6</v>
      </c>
    </row>
    <row r="57" spans="1:14" x14ac:dyDescent="0.25">
      <c r="A57" s="10" t="s">
        <v>7</v>
      </c>
      <c r="B57" s="9" t="s">
        <v>8</v>
      </c>
    </row>
    <row r="58" spans="1:14" x14ac:dyDescent="0.25">
      <c r="A58" s="10" t="s">
        <v>9</v>
      </c>
    </row>
    <row r="59" spans="1:14" x14ac:dyDescent="0.25">
      <c r="A59" s="3" t="s">
        <v>10</v>
      </c>
      <c r="B59" s="3" t="s">
        <v>1</v>
      </c>
      <c r="C59" s="3" t="s">
        <v>3</v>
      </c>
      <c r="D59" s="3" t="s">
        <v>4</v>
      </c>
      <c r="E59" s="3" t="s">
        <v>5</v>
      </c>
      <c r="F59" s="3" t="s">
        <v>11</v>
      </c>
      <c r="G59" s="3" t="s">
        <v>12</v>
      </c>
      <c r="H59" s="3" t="s">
        <v>13</v>
      </c>
      <c r="I59" s="3" t="s">
        <v>14</v>
      </c>
      <c r="J59" s="3" t="s">
        <v>15</v>
      </c>
      <c r="K59" s="3" t="s">
        <v>16</v>
      </c>
      <c r="L59" s="3" t="s">
        <v>17</v>
      </c>
      <c r="M59" s="3" t="s">
        <v>18</v>
      </c>
      <c r="N59" s="3" t="s">
        <v>19</v>
      </c>
    </row>
    <row r="60" spans="1:14" x14ac:dyDescent="0.25">
      <c r="A60" s="9" t="str">
        <f>B52</f>
        <v>Chromite ore mining and FeCr production in South Africa/Finland/Kazakhstan through Open Furnace Smelting (Cr content)</v>
      </c>
      <c r="B60" s="9" t="str">
        <f>B53</f>
        <v>FeCr (Cr content)</v>
      </c>
      <c r="C60" s="9" t="str">
        <f>B54</f>
        <v>GLO</v>
      </c>
      <c r="D60" s="9">
        <v>1</v>
      </c>
      <c r="E60" s="9" t="s">
        <v>6</v>
      </c>
      <c r="F60" s="11" t="str">
        <f>F49</f>
        <v>Chromium</v>
      </c>
      <c r="G60" s="9" t="s">
        <v>20</v>
      </c>
    </row>
    <row r="61" spans="1:14" x14ac:dyDescent="0.25">
      <c r="A61" s="9" t="str">
        <f>A9</f>
        <v>[M+C+P+R] Ferrochromium (FeCr) production - Open Furnace Smelting</v>
      </c>
      <c r="B61" s="9" t="str">
        <f t="shared" ref="B61:F61" si="1">B9</f>
        <v>FeCr</v>
      </c>
      <c r="C61" s="9" t="str">
        <f t="shared" si="1"/>
        <v>GLO</v>
      </c>
      <c r="D61" s="9">
        <v>1.7636684303350969</v>
      </c>
      <c r="E61" s="9" t="str">
        <f t="shared" si="1"/>
        <v>kilogram</v>
      </c>
      <c r="F61" s="11" t="str">
        <f t="shared" si="1"/>
        <v>Chromium</v>
      </c>
      <c r="G61" s="9" t="s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0.39997558519241921"/>
  </sheetPr>
  <dimension ref="A1:N59"/>
  <sheetViews>
    <sheetView workbookViewId="0">
      <selection activeCell="D1" sqref="D1:D1048576"/>
    </sheetView>
  </sheetViews>
  <sheetFormatPr baseColWidth="10" defaultColWidth="8.5703125" defaultRowHeight="15" x14ac:dyDescent="0.25"/>
  <cols>
    <col min="1" max="1" width="107.5703125" style="9" customWidth="1"/>
    <col min="2" max="2" width="102.140625" style="9" customWidth="1"/>
    <col min="3" max="3" width="7.5703125" style="9" bestFit="1" customWidth="1"/>
    <col min="4" max="5" width="11.85546875" style="9" bestFit="1" customWidth="1"/>
    <col min="6" max="6" width="18.42578125" style="9" bestFit="1" customWidth="1"/>
    <col min="7" max="7" width="12.28515625" style="9" bestFit="1" customWidth="1"/>
    <col min="8" max="8" width="22.5703125" style="9" bestFit="1" customWidth="1"/>
    <col min="9" max="9" width="14.5703125" style="9" bestFit="1" customWidth="1"/>
    <col min="10" max="10" width="8.85546875" style="9" bestFit="1" customWidth="1"/>
    <col min="11" max="11" width="3.140625" style="9" bestFit="1" customWidth="1"/>
    <col min="12" max="12" width="4.85546875" style="9" bestFit="1" customWidth="1"/>
    <col min="13" max="13" width="8.85546875" style="9" bestFit="1" customWidth="1"/>
    <col min="14" max="14" width="9.140625" style="9" bestFit="1" customWidth="1"/>
    <col min="15" max="16384" width="8.5703125" style="9"/>
  </cols>
  <sheetData>
    <row r="1" spans="1:14" x14ac:dyDescent="0.25">
      <c r="A1" s="3" t="s">
        <v>0</v>
      </c>
      <c r="B1" s="3" t="s">
        <v>101</v>
      </c>
    </row>
    <row r="2" spans="1:14" x14ac:dyDescent="0.25">
      <c r="A2" s="10" t="s">
        <v>1</v>
      </c>
      <c r="B2" s="9" t="s">
        <v>2</v>
      </c>
    </row>
    <row r="3" spans="1:14" x14ac:dyDescent="0.25">
      <c r="A3" s="10" t="s">
        <v>3</v>
      </c>
      <c r="B3" s="9" t="s">
        <v>21</v>
      </c>
    </row>
    <row r="4" spans="1:14" x14ac:dyDescent="0.25">
      <c r="A4" s="10" t="s">
        <v>4</v>
      </c>
      <c r="B4" s="9">
        <v>1</v>
      </c>
    </row>
    <row r="5" spans="1:14" x14ac:dyDescent="0.25">
      <c r="A5" s="10" t="s">
        <v>5</v>
      </c>
      <c r="B5" s="9" t="s">
        <v>6</v>
      </c>
    </row>
    <row r="6" spans="1:14" x14ac:dyDescent="0.25">
      <c r="A6" s="10" t="s">
        <v>7</v>
      </c>
      <c r="B6" s="9" t="s">
        <v>8</v>
      </c>
    </row>
    <row r="7" spans="1:14" x14ac:dyDescent="0.25">
      <c r="A7" s="10" t="s">
        <v>9</v>
      </c>
    </row>
    <row r="8" spans="1:14" x14ac:dyDescent="0.25">
      <c r="A8" s="3" t="s">
        <v>10</v>
      </c>
      <c r="B8" s="3" t="s">
        <v>1</v>
      </c>
      <c r="C8" s="3" t="s">
        <v>3</v>
      </c>
      <c r="D8" s="3" t="s">
        <v>4</v>
      </c>
      <c r="E8" s="3" t="s">
        <v>5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K8" s="3" t="s">
        <v>16</v>
      </c>
      <c r="L8" s="3" t="s">
        <v>17</v>
      </c>
      <c r="M8" s="3" t="s">
        <v>18</v>
      </c>
      <c r="N8" s="3" t="s">
        <v>19</v>
      </c>
    </row>
    <row r="9" spans="1:14" x14ac:dyDescent="0.25">
      <c r="A9" s="9" t="str">
        <f>B1</f>
        <v>[M+C+P+R] Ferrochromium (FeCr) production - Closed Furnace Smelting</v>
      </c>
      <c r="B9" s="9" t="str">
        <f>B2</f>
        <v>FeCr</v>
      </c>
      <c r="C9" s="9" t="str">
        <f>B3</f>
        <v>GLO</v>
      </c>
      <c r="D9" s="9">
        <v>1</v>
      </c>
      <c r="E9" s="9" t="s">
        <v>6</v>
      </c>
      <c r="F9" s="11" t="str">
        <f>Cr_Market_GLO!B1</f>
        <v>Chromium</v>
      </c>
      <c r="G9" s="9" t="s">
        <v>20</v>
      </c>
    </row>
    <row r="10" spans="1:14" x14ac:dyDescent="0.25">
      <c r="A10" s="9" t="s">
        <v>34</v>
      </c>
      <c r="B10" s="9" t="s">
        <v>26</v>
      </c>
      <c r="C10" s="9" t="s">
        <v>21</v>
      </c>
      <c r="D10" s="9">
        <v>4.42</v>
      </c>
      <c r="E10" s="9" t="s">
        <v>27</v>
      </c>
      <c r="F10" s="9" t="s">
        <v>22</v>
      </c>
      <c r="G10" s="9" t="s">
        <v>23</v>
      </c>
      <c r="J10" s="9" t="s">
        <v>35</v>
      </c>
    </row>
    <row r="11" spans="1:14" x14ac:dyDescent="0.25">
      <c r="A11" s="9" t="s">
        <v>36</v>
      </c>
      <c r="B11" s="9" t="s">
        <v>37</v>
      </c>
      <c r="C11" s="9" t="s">
        <v>21</v>
      </c>
      <c r="D11" s="9">
        <v>3.42</v>
      </c>
      <c r="E11" s="9" t="s">
        <v>6</v>
      </c>
      <c r="F11" s="9" t="s">
        <v>22</v>
      </c>
      <c r="G11" s="9" t="s">
        <v>23</v>
      </c>
      <c r="J11" s="9" t="s">
        <v>35</v>
      </c>
    </row>
    <row r="12" spans="1:14" x14ac:dyDescent="0.25">
      <c r="A12" s="9" t="s">
        <v>38</v>
      </c>
      <c r="B12" s="9" t="s">
        <v>39</v>
      </c>
      <c r="C12" s="9" t="s">
        <v>21</v>
      </c>
      <c r="D12" s="9">
        <v>9.7499999999999996E-4</v>
      </c>
      <c r="E12" s="9" t="s">
        <v>6</v>
      </c>
      <c r="F12" s="9" t="s">
        <v>22</v>
      </c>
      <c r="G12" s="9" t="s">
        <v>23</v>
      </c>
      <c r="J12" s="9" t="s">
        <v>35</v>
      </c>
    </row>
    <row r="13" spans="1:14" x14ac:dyDescent="0.25">
      <c r="A13" s="9" t="s">
        <v>24</v>
      </c>
      <c r="B13" s="9" t="s">
        <v>24</v>
      </c>
      <c r="C13" s="9" t="s">
        <v>21</v>
      </c>
      <c r="D13" s="9">
        <v>4.1715000000000002E-2</v>
      </c>
      <c r="E13" s="9" t="s">
        <v>25</v>
      </c>
      <c r="F13" s="9" t="s">
        <v>22</v>
      </c>
      <c r="G13" s="9" t="s">
        <v>23</v>
      </c>
      <c r="J13" s="9" t="s">
        <v>40</v>
      </c>
    </row>
    <row r="14" spans="1:14" x14ac:dyDescent="0.25">
      <c r="A14" s="9" t="s">
        <v>41</v>
      </c>
      <c r="B14" s="9" t="s">
        <v>42</v>
      </c>
      <c r="C14" s="9" t="s">
        <v>21</v>
      </c>
      <c r="D14" s="9">
        <v>1.5804599999999999E-2</v>
      </c>
      <c r="E14" s="9" t="s">
        <v>25</v>
      </c>
      <c r="F14" s="9" t="s">
        <v>22</v>
      </c>
      <c r="G14" s="9" t="s">
        <v>23</v>
      </c>
      <c r="J14" s="9" t="s">
        <v>40</v>
      </c>
    </row>
    <row r="15" spans="1:14" x14ac:dyDescent="0.25">
      <c r="A15" s="9" t="s">
        <v>43</v>
      </c>
      <c r="B15" s="9" t="s">
        <v>44</v>
      </c>
      <c r="C15" s="9" t="s">
        <v>21</v>
      </c>
      <c r="D15" s="9">
        <v>2.3369999999999998E-2</v>
      </c>
      <c r="E15" s="9" t="s">
        <v>25</v>
      </c>
      <c r="F15" s="9" t="s">
        <v>22</v>
      </c>
      <c r="G15" s="9" t="s">
        <v>23</v>
      </c>
      <c r="J15" s="9" t="s">
        <v>40</v>
      </c>
    </row>
    <row r="16" spans="1:14" x14ac:dyDescent="0.25">
      <c r="A16" s="9" t="s">
        <v>80</v>
      </c>
      <c r="B16" s="9" t="s">
        <v>81</v>
      </c>
      <c r="C16" s="9" t="s">
        <v>21</v>
      </c>
      <c r="D16" s="9">
        <v>1.0763999999999999E-2</v>
      </c>
      <c r="E16" s="9" t="s">
        <v>25</v>
      </c>
      <c r="F16" s="9" t="s">
        <v>22</v>
      </c>
      <c r="G16" s="9" t="s">
        <v>23</v>
      </c>
      <c r="J16" s="9" t="s">
        <v>40</v>
      </c>
    </row>
    <row r="17" spans="1:10" x14ac:dyDescent="0.25">
      <c r="A17" s="9" t="s">
        <v>41</v>
      </c>
      <c r="B17" s="9" t="s">
        <v>42</v>
      </c>
      <c r="C17" s="9" t="s">
        <v>21</v>
      </c>
      <c r="D17" s="9">
        <v>9.2868000000000006E-2</v>
      </c>
      <c r="E17" s="9" t="s">
        <v>25</v>
      </c>
      <c r="F17" s="9" t="s">
        <v>22</v>
      </c>
      <c r="G17" s="9" t="s">
        <v>23</v>
      </c>
      <c r="J17" s="9" t="s">
        <v>40</v>
      </c>
    </row>
    <row r="18" spans="1:10" x14ac:dyDescent="0.25">
      <c r="A18" s="9" t="s">
        <v>45</v>
      </c>
      <c r="B18" s="9" t="s">
        <v>46</v>
      </c>
      <c r="C18" s="9" t="s">
        <v>21</v>
      </c>
      <c r="D18" s="9">
        <v>2.5400000000000001E-5</v>
      </c>
      <c r="E18" s="9" t="s">
        <v>6</v>
      </c>
      <c r="F18" s="9" t="s">
        <v>22</v>
      </c>
      <c r="G18" s="9" t="s">
        <v>23</v>
      </c>
      <c r="J18" s="9" t="s">
        <v>35</v>
      </c>
    </row>
    <row r="19" spans="1:10" x14ac:dyDescent="0.25">
      <c r="A19" s="9" t="s">
        <v>47</v>
      </c>
      <c r="B19" s="9" t="s">
        <v>48</v>
      </c>
      <c r="C19" s="9" t="s">
        <v>30</v>
      </c>
      <c r="D19" s="9">
        <v>0.21</v>
      </c>
      <c r="E19" s="9" t="s">
        <v>6</v>
      </c>
      <c r="F19" s="9" t="s">
        <v>22</v>
      </c>
      <c r="G19" s="9" t="s">
        <v>23</v>
      </c>
      <c r="J19" s="9" t="s">
        <v>35</v>
      </c>
    </row>
    <row r="20" spans="1:10" x14ac:dyDescent="0.25">
      <c r="A20" s="9" t="s">
        <v>28</v>
      </c>
      <c r="B20" s="9" t="s">
        <v>29</v>
      </c>
      <c r="C20" s="9" t="s">
        <v>30</v>
      </c>
      <c r="D20" s="9">
        <v>4.9660000000000002</v>
      </c>
      <c r="E20" s="9" t="s">
        <v>25</v>
      </c>
      <c r="F20" s="9" t="s">
        <v>22</v>
      </c>
      <c r="G20" s="9" t="s">
        <v>23</v>
      </c>
      <c r="J20" s="9" t="s">
        <v>35</v>
      </c>
    </row>
    <row r="21" spans="1:10" x14ac:dyDescent="0.25">
      <c r="A21" s="9" t="s">
        <v>28</v>
      </c>
      <c r="B21" s="9" t="s">
        <v>29</v>
      </c>
      <c r="C21" s="9" t="s">
        <v>30</v>
      </c>
      <c r="D21" s="9">
        <v>2.0539999999999998</v>
      </c>
      <c r="E21" s="9" t="s">
        <v>25</v>
      </c>
      <c r="F21" s="9" t="s">
        <v>22</v>
      </c>
      <c r="G21" s="9" t="s">
        <v>23</v>
      </c>
      <c r="J21" s="9" t="s">
        <v>35</v>
      </c>
    </row>
    <row r="22" spans="1:10" x14ac:dyDescent="0.25">
      <c r="A22" s="9" t="s">
        <v>49</v>
      </c>
      <c r="B22" s="9" t="s">
        <v>50</v>
      </c>
      <c r="C22" s="9" t="s">
        <v>21</v>
      </c>
      <c r="D22" s="9">
        <v>0.123</v>
      </c>
      <c r="E22" s="9" t="s">
        <v>6</v>
      </c>
      <c r="F22" s="9" t="s">
        <v>22</v>
      </c>
      <c r="G22" s="9" t="s">
        <v>23</v>
      </c>
      <c r="J22" s="9" t="s">
        <v>35</v>
      </c>
    </row>
    <row r="23" spans="1:10" x14ac:dyDescent="0.25">
      <c r="A23" s="9" t="s">
        <v>47</v>
      </c>
      <c r="B23" s="9" t="s">
        <v>48</v>
      </c>
      <c r="C23" s="9" t="s">
        <v>30</v>
      </c>
      <c r="D23" s="9">
        <v>9.0999999999999998E-2</v>
      </c>
      <c r="E23" s="9" t="s">
        <v>6</v>
      </c>
      <c r="F23" s="9" t="s">
        <v>22</v>
      </c>
      <c r="G23" s="9" t="s">
        <v>23</v>
      </c>
      <c r="J23" s="9" t="s">
        <v>35</v>
      </c>
    </row>
    <row r="24" spans="1:10" x14ac:dyDescent="0.25">
      <c r="A24" s="9" t="s">
        <v>32</v>
      </c>
      <c r="B24" s="9" t="s">
        <v>33</v>
      </c>
      <c r="C24" s="9" t="s">
        <v>21</v>
      </c>
      <c r="D24" s="9">
        <v>0.22</v>
      </c>
      <c r="E24" s="9" t="s">
        <v>6</v>
      </c>
      <c r="F24" s="9" t="s">
        <v>22</v>
      </c>
      <c r="G24" s="9" t="s">
        <v>23</v>
      </c>
      <c r="J24" s="9" t="s">
        <v>35</v>
      </c>
    </row>
    <row r="25" spans="1:10" x14ac:dyDescent="0.25">
      <c r="A25" s="9" t="s">
        <v>51</v>
      </c>
      <c r="B25" s="9" t="s">
        <v>31</v>
      </c>
      <c r="C25" s="9" t="s">
        <v>21</v>
      </c>
      <c r="D25" s="9">
        <v>0.02</v>
      </c>
      <c r="E25" s="9" t="s">
        <v>6</v>
      </c>
      <c r="F25" s="9" t="s">
        <v>22</v>
      </c>
      <c r="G25" s="9" t="s">
        <v>23</v>
      </c>
      <c r="J25" s="9" t="s">
        <v>35</v>
      </c>
    </row>
    <row r="26" spans="1:10" x14ac:dyDescent="0.25">
      <c r="A26" s="9" t="s">
        <v>52</v>
      </c>
      <c r="B26" s="9" t="s">
        <v>53</v>
      </c>
      <c r="C26" s="9" t="s">
        <v>21</v>
      </c>
      <c r="D26" s="9">
        <v>-1.33</v>
      </c>
      <c r="E26" s="9" t="s">
        <v>6</v>
      </c>
      <c r="F26" s="9" t="s">
        <v>22</v>
      </c>
      <c r="G26" s="9" t="s">
        <v>23</v>
      </c>
      <c r="J26" s="9" t="s">
        <v>35</v>
      </c>
    </row>
    <row r="27" spans="1:10" x14ac:dyDescent="0.25">
      <c r="A27" s="9" t="s">
        <v>54</v>
      </c>
      <c r="B27" s="9" t="s">
        <v>55</v>
      </c>
      <c r="C27" s="9" t="s">
        <v>30</v>
      </c>
      <c r="D27" s="9">
        <v>-0.11</v>
      </c>
      <c r="E27" s="9" t="s">
        <v>6</v>
      </c>
      <c r="F27" s="9" t="s">
        <v>22</v>
      </c>
      <c r="G27" s="9" t="s">
        <v>23</v>
      </c>
      <c r="J27" s="9" t="s">
        <v>35</v>
      </c>
    </row>
    <row r="28" spans="1:10" x14ac:dyDescent="0.25">
      <c r="A28" s="9" t="s">
        <v>54</v>
      </c>
      <c r="B28" s="9" t="s">
        <v>55</v>
      </c>
      <c r="C28" s="9" t="s">
        <v>30</v>
      </c>
      <c r="D28" s="9">
        <v>-1.58</v>
      </c>
      <c r="E28" s="9" t="s">
        <v>6</v>
      </c>
      <c r="F28" s="9" t="s">
        <v>22</v>
      </c>
      <c r="G28" s="9" t="s">
        <v>23</v>
      </c>
      <c r="J28" s="9" t="s">
        <v>35</v>
      </c>
    </row>
    <row r="29" spans="1:10" x14ac:dyDescent="0.25">
      <c r="A29" s="9" t="s">
        <v>56</v>
      </c>
      <c r="D29" s="9">
        <v>5.2700000000000004E-3</v>
      </c>
      <c r="E29" s="9" t="s">
        <v>57</v>
      </c>
      <c r="F29" s="9" t="s">
        <v>58</v>
      </c>
      <c r="G29" s="9" t="s">
        <v>59</v>
      </c>
      <c r="H29" s="9" t="s">
        <v>60</v>
      </c>
      <c r="J29" s="9" t="s">
        <v>35</v>
      </c>
    </row>
    <row r="30" spans="1:10" x14ac:dyDescent="0.25">
      <c r="A30" s="9" t="s">
        <v>61</v>
      </c>
      <c r="D30" s="9">
        <v>5.2700000000000004E-3</v>
      </c>
      <c r="E30" s="9" t="s">
        <v>57</v>
      </c>
      <c r="F30" s="9" t="s">
        <v>58</v>
      </c>
      <c r="G30" s="9" t="s">
        <v>59</v>
      </c>
      <c r="H30" s="9" t="s">
        <v>60</v>
      </c>
      <c r="J30" s="9" t="s">
        <v>35</v>
      </c>
    </row>
    <row r="31" spans="1:10" x14ac:dyDescent="0.25">
      <c r="A31" s="9" t="s">
        <v>62</v>
      </c>
      <c r="D31" s="9">
        <v>1.68</v>
      </c>
      <c r="E31" s="9" t="s">
        <v>6</v>
      </c>
      <c r="F31" s="9" t="s">
        <v>58</v>
      </c>
      <c r="G31" s="9" t="s">
        <v>59</v>
      </c>
      <c r="H31" s="9" t="s">
        <v>82</v>
      </c>
      <c r="J31" s="9" t="s">
        <v>35</v>
      </c>
    </row>
    <row r="32" spans="1:10" x14ac:dyDescent="0.25">
      <c r="A32" s="9" t="s">
        <v>63</v>
      </c>
      <c r="D32" s="9">
        <v>2.1500000000000001E-8</v>
      </c>
      <c r="E32" s="9" t="s">
        <v>6</v>
      </c>
      <c r="F32" s="9" t="s">
        <v>58</v>
      </c>
      <c r="G32" s="9" t="s">
        <v>59</v>
      </c>
      <c r="H32" s="9" t="s">
        <v>83</v>
      </c>
      <c r="J32" s="9" t="s">
        <v>35</v>
      </c>
    </row>
    <row r="33" spans="1:14" x14ac:dyDescent="0.25">
      <c r="A33" s="9" t="s">
        <v>65</v>
      </c>
      <c r="D33" s="9">
        <v>1.1000000000000001E-6</v>
      </c>
      <c r="E33" s="9" t="s">
        <v>6</v>
      </c>
      <c r="F33" s="9" t="s">
        <v>58</v>
      </c>
      <c r="G33" s="9" t="s">
        <v>59</v>
      </c>
      <c r="H33" s="9" t="s">
        <v>82</v>
      </c>
      <c r="J33" s="9" t="s">
        <v>35</v>
      </c>
    </row>
    <row r="34" spans="1:14" x14ac:dyDescent="0.25">
      <c r="A34" s="9" t="s">
        <v>66</v>
      </c>
      <c r="D34" s="9">
        <v>1.5E-6</v>
      </c>
      <c r="E34" s="9" t="s">
        <v>6</v>
      </c>
      <c r="F34" s="9" t="s">
        <v>58</v>
      </c>
      <c r="G34" s="9" t="s">
        <v>59</v>
      </c>
      <c r="H34" s="9" t="s">
        <v>82</v>
      </c>
      <c r="J34" s="9" t="s">
        <v>35</v>
      </c>
    </row>
    <row r="35" spans="1:14" x14ac:dyDescent="0.25">
      <c r="A35" s="9" t="s">
        <v>67</v>
      </c>
      <c r="D35" s="9">
        <v>1.4E-8</v>
      </c>
      <c r="E35" s="9" t="s">
        <v>6</v>
      </c>
      <c r="F35" s="9" t="s">
        <v>58</v>
      </c>
      <c r="G35" s="9" t="s">
        <v>59</v>
      </c>
      <c r="H35" s="9" t="s">
        <v>82</v>
      </c>
      <c r="J35" s="9" t="s">
        <v>35</v>
      </c>
    </row>
    <row r="36" spans="1:14" x14ac:dyDescent="0.25">
      <c r="A36" s="9" t="s">
        <v>68</v>
      </c>
      <c r="D36" s="9">
        <v>7.5999999999999996E-10</v>
      </c>
      <c r="E36" s="9" t="s">
        <v>6</v>
      </c>
      <c r="F36" s="9" t="s">
        <v>58</v>
      </c>
      <c r="G36" s="9" t="s">
        <v>59</v>
      </c>
      <c r="H36" s="9" t="s">
        <v>82</v>
      </c>
      <c r="J36" s="9" t="s">
        <v>35</v>
      </c>
    </row>
    <row r="37" spans="1:14" x14ac:dyDescent="0.25">
      <c r="A37" s="9" t="s">
        <v>69</v>
      </c>
      <c r="D37" s="9">
        <v>4.7999999999999996E-3</v>
      </c>
      <c r="E37" s="9" t="s">
        <v>6</v>
      </c>
      <c r="F37" s="9" t="s">
        <v>58</v>
      </c>
      <c r="G37" s="9" t="s">
        <v>59</v>
      </c>
      <c r="H37" s="9" t="s">
        <v>82</v>
      </c>
      <c r="J37" s="9" t="s">
        <v>35</v>
      </c>
    </row>
    <row r="38" spans="1:14" s="12" customFormat="1" x14ac:dyDescent="0.25"/>
    <row r="39" spans="1:14" x14ac:dyDescent="0.25">
      <c r="A39" s="3" t="s">
        <v>0</v>
      </c>
      <c r="B39" s="3" t="s">
        <v>102</v>
      </c>
    </row>
    <row r="40" spans="1:14" x14ac:dyDescent="0.25">
      <c r="A40" s="10" t="s">
        <v>1</v>
      </c>
      <c r="B40" s="9" t="s">
        <v>2</v>
      </c>
    </row>
    <row r="41" spans="1:14" x14ac:dyDescent="0.25">
      <c r="A41" s="10" t="s">
        <v>3</v>
      </c>
      <c r="B41" s="9" t="s">
        <v>21</v>
      </c>
    </row>
    <row r="42" spans="1:14" x14ac:dyDescent="0.25">
      <c r="A42" s="10" t="s">
        <v>4</v>
      </c>
      <c r="B42" s="9">
        <v>1</v>
      </c>
    </row>
    <row r="43" spans="1:14" x14ac:dyDescent="0.25">
      <c r="A43" s="10" t="s">
        <v>5</v>
      </c>
      <c r="B43" s="9" t="s">
        <v>6</v>
      </c>
    </row>
    <row r="44" spans="1:14" x14ac:dyDescent="0.25">
      <c r="A44" s="10" t="s">
        <v>7</v>
      </c>
      <c r="B44" s="9" t="s">
        <v>8</v>
      </c>
    </row>
    <row r="45" spans="1:14" x14ac:dyDescent="0.25">
      <c r="A45" s="10" t="s">
        <v>9</v>
      </c>
    </row>
    <row r="46" spans="1:14" x14ac:dyDescent="0.25">
      <c r="A46" s="3" t="s">
        <v>10</v>
      </c>
      <c r="B46" s="3" t="s">
        <v>1</v>
      </c>
      <c r="C46" s="3" t="s">
        <v>3</v>
      </c>
      <c r="D46" s="3" t="s">
        <v>4</v>
      </c>
      <c r="E46" s="3" t="s">
        <v>5</v>
      </c>
      <c r="F46" s="3" t="s">
        <v>11</v>
      </c>
      <c r="G46" s="3" t="s">
        <v>12</v>
      </c>
      <c r="H46" s="3" t="s">
        <v>13</v>
      </c>
      <c r="I46" s="3" t="s">
        <v>14</v>
      </c>
      <c r="J46" s="3" t="s">
        <v>15</v>
      </c>
      <c r="K46" s="3" t="s">
        <v>16</v>
      </c>
      <c r="L46" s="3" t="s">
        <v>17</v>
      </c>
      <c r="M46" s="3" t="s">
        <v>18</v>
      </c>
      <c r="N46" s="3" t="s">
        <v>19</v>
      </c>
    </row>
    <row r="47" spans="1:14" x14ac:dyDescent="0.25">
      <c r="A47" s="9" t="str">
        <f>B39</f>
        <v>Chromite ore mining and FeCr production in South Africa/Finland/Kazakhstan through Closed Furnace Smelting (without preheating)</v>
      </c>
      <c r="B47" s="9" t="str">
        <f>B40</f>
        <v>FeCr</v>
      </c>
      <c r="C47" s="9" t="str">
        <f>B41</f>
        <v>GLO</v>
      </c>
      <c r="D47" s="9">
        <v>1</v>
      </c>
      <c r="E47" s="9" t="s">
        <v>6</v>
      </c>
      <c r="F47" s="11" t="str">
        <f>F9</f>
        <v>Chromium</v>
      </c>
      <c r="G47" s="9" t="s">
        <v>20</v>
      </c>
    </row>
    <row r="48" spans="1:14" x14ac:dyDescent="0.25">
      <c r="A48" s="9" t="str">
        <f>A9</f>
        <v>[M+C+P+R] Ferrochromium (FeCr) production - Closed Furnace Smelting</v>
      </c>
      <c r="B48" s="9" t="str">
        <f t="shared" ref="B48:F48" si="0">B9</f>
        <v>FeCr</v>
      </c>
      <c r="C48" s="9" t="str">
        <f t="shared" si="0"/>
        <v>GLO</v>
      </c>
      <c r="D48" s="9">
        <v>1</v>
      </c>
      <c r="E48" s="9" t="str">
        <f t="shared" si="0"/>
        <v>kilogram</v>
      </c>
      <c r="F48" s="11" t="str">
        <f t="shared" si="0"/>
        <v>Chromium</v>
      </c>
      <c r="G48" s="9" t="s">
        <v>23</v>
      </c>
    </row>
    <row r="49" spans="1:14" s="12" customFormat="1" x14ac:dyDescent="0.25"/>
    <row r="50" spans="1:14" x14ac:dyDescent="0.25">
      <c r="A50" s="3" t="s">
        <v>0</v>
      </c>
      <c r="B50" s="3" t="s">
        <v>103</v>
      </c>
    </row>
    <row r="51" spans="1:14" x14ac:dyDescent="0.25">
      <c r="A51" s="10" t="s">
        <v>1</v>
      </c>
      <c r="B51" s="9" t="s">
        <v>100</v>
      </c>
    </row>
    <row r="52" spans="1:14" x14ac:dyDescent="0.25">
      <c r="A52" s="10" t="s">
        <v>3</v>
      </c>
      <c r="B52" s="9" t="s">
        <v>21</v>
      </c>
    </row>
    <row r="53" spans="1:14" x14ac:dyDescent="0.25">
      <c r="A53" s="10" t="s">
        <v>4</v>
      </c>
      <c r="B53" s="9">
        <v>1</v>
      </c>
    </row>
    <row r="54" spans="1:14" x14ac:dyDescent="0.25">
      <c r="A54" s="10" t="s">
        <v>5</v>
      </c>
      <c r="B54" s="9" t="s">
        <v>6</v>
      </c>
    </row>
    <row r="55" spans="1:14" x14ac:dyDescent="0.25">
      <c r="A55" s="10" t="s">
        <v>7</v>
      </c>
      <c r="B55" s="9" t="s">
        <v>8</v>
      </c>
    </row>
    <row r="56" spans="1:14" x14ac:dyDescent="0.25">
      <c r="A56" s="10" t="s">
        <v>9</v>
      </c>
    </row>
    <row r="57" spans="1:14" x14ac:dyDescent="0.25">
      <c r="A57" s="3" t="s">
        <v>10</v>
      </c>
      <c r="B57" s="3" t="s">
        <v>1</v>
      </c>
      <c r="C57" s="3" t="s">
        <v>3</v>
      </c>
      <c r="D57" s="3" t="s">
        <v>4</v>
      </c>
      <c r="E57" s="3" t="s">
        <v>5</v>
      </c>
      <c r="F57" s="3" t="s">
        <v>11</v>
      </c>
      <c r="G57" s="3" t="s">
        <v>12</v>
      </c>
      <c r="H57" s="3" t="s">
        <v>13</v>
      </c>
      <c r="I57" s="3" t="s">
        <v>14</v>
      </c>
      <c r="J57" s="3" t="s">
        <v>15</v>
      </c>
      <c r="K57" s="3" t="s">
        <v>16</v>
      </c>
      <c r="L57" s="3" t="s">
        <v>17</v>
      </c>
      <c r="M57" s="3" t="s">
        <v>18</v>
      </c>
      <c r="N57" s="3" t="s">
        <v>19</v>
      </c>
    </row>
    <row r="58" spans="1:14" x14ac:dyDescent="0.25">
      <c r="A58" s="9" t="str">
        <f>B50</f>
        <v>Chromite ore mining and FeCr production in South Africa/Finland/Kazakhstan through Closed Furnace Smelting (without preheating) (Cr content)</v>
      </c>
      <c r="B58" s="9" t="str">
        <f>B51</f>
        <v>FeCr (Cr content)</v>
      </c>
      <c r="C58" s="9" t="str">
        <f>B52</f>
        <v>GLO</v>
      </c>
      <c r="D58" s="9">
        <v>1</v>
      </c>
      <c r="E58" s="9" t="s">
        <v>6</v>
      </c>
      <c r="F58" s="11" t="str">
        <f>F47</f>
        <v>Chromium</v>
      </c>
      <c r="G58" s="9" t="s">
        <v>20</v>
      </c>
    </row>
    <row r="59" spans="1:14" x14ac:dyDescent="0.25">
      <c r="A59" s="9" t="str">
        <f>A9</f>
        <v>[M+C+P+R] Ferrochromium (FeCr) production - Closed Furnace Smelting</v>
      </c>
      <c r="B59" s="9" t="str">
        <f t="shared" ref="B59:F59" si="1">B9</f>
        <v>FeCr</v>
      </c>
      <c r="C59" s="9" t="str">
        <f t="shared" si="1"/>
        <v>GLO</v>
      </c>
      <c r="D59" s="9">
        <v>1.7636684303350969</v>
      </c>
      <c r="E59" s="9" t="str">
        <f t="shared" si="1"/>
        <v>kilogram</v>
      </c>
      <c r="F59" s="11" t="str">
        <f t="shared" si="1"/>
        <v>Chromium</v>
      </c>
      <c r="G59" s="9" t="s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0.39997558519241921"/>
  </sheetPr>
  <dimension ref="A1:N60"/>
  <sheetViews>
    <sheetView workbookViewId="0">
      <selection activeCell="D1" sqref="D1:D1048576"/>
    </sheetView>
  </sheetViews>
  <sheetFormatPr baseColWidth="10" defaultColWidth="8.7109375" defaultRowHeight="15" x14ac:dyDescent="0.25"/>
  <cols>
    <col min="1" max="1" width="76.140625" style="2" bestFit="1" customWidth="1"/>
    <col min="2" max="2" width="76.5703125" style="2" bestFit="1" customWidth="1"/>
    <col min="3" max="3" width="7.5703125" style="2" bestFit="1" customWidth="1"/>
    <col min="4" max="5" width="11.85546875" style="2" bestFit="1" customWidth="1"/>
    <col min="6" max="6" width="18.42578125" style="2" bestFit="1" customWidth="1"/>
    <col min="7" max="7" width="12.28515625" style="2" bestFit="1" customWidth="1"/>
    <col min="8" max="8" width="22.5703125" style="2" bestFit="1" customWidth="1"/>
    <col min="9" max="9" width="14.5703125" style="2" bestFit="1" customWidth="1"/>
    <col min="10" max="10" width="8.85546875" style="2" bestFit="1" customWidth="1"/>
    <col min="11" max="11" width="3.140625" style="2" bestFit="1" customWidth="1"/>
    <col min="12" max="12" width="4.85546875" style="2" bestFit="1" customWidth="1"/>
    <col min="13" max="13" width="8.85546875" style="2" bestFit="1" customWidth="1"/>
    <col min="14" max="14" width="9.140625" style="2" bestFit="1" customWidth="1"/>
    <col min="15" max="16384" width="8.7109375" style="2"/>
  </cols>
  <sheetData>
    <row r="1" spans="1:14" x14ac:dyDescent="0.25">
      <c r="A1" s="1" t="s">
        <v>0</v>
      </c>
      <c r="B1" s="3" t="s">
        <v>104</v>
      </c>
    </row>
    <row r="2" spans="1:14" x14ac:dyDescent="0.25">
      <c r="A2" s="13" t="s">
        <v>1</v>
      </c>
      <c r="B2" s="2" t="s">
        <v>2</v>
      </c>
    </row>
    <row r="3" spans="1:14" x14ac:dyDescent="0.25">
      <c r="A3" s="13" t="s">
        <v>3</v>
      </c>
      <c r="B3" s="2" t="s">
        <v>21</v>
      </c>
    </row>
    <row r="4" spans="1:14" x14ac:dyDescent="0.25">
      <c r="A4" s="13" t="s">
        <v>4</v>
      </c>
      <c r="B4" s="2">
        <v>1</v>
      </c>
    </row>
    <row r="5" spans="1:14" x14ac:dyDescent="0.25">
      <c r="A5" s="13" t="s">
        <v>5</v>
      </c>
      <c r="B5" s="2" t="s">
        <v>6</v>
      </c>
    </row>
    <row r="6" spans="1:14" x14ac:dyDescent="0.25">
      <c r="A6" s="13" t="s">
        <v>7</v>
      </c>
      <c r="B6" s="2" t="s">
        <v>8</v>
      </c>
    </row>
    <row r="7" spans="1:14" x14ac:dyDescent="0.25">
      <c r="A7" s="13" t="s">
        <v>9</v>
      </c>
    </row>
    <row r="8" spans="1:14" x14ac:dyDescent="0.25">
      <c r="A8" s="1" t="s">
        <v>10</v>
      </c>
      <c r="B8" s="1" t="s">
        <v>1</v>
      </c>
      <c r="C8" s="1" t="s">
        <v>3</v>
      </c>
      <c r="D8" s="1" t="s">
        <v>4</v>
      </c>
      <c r="E8" s="1" t="s">
        <v>5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19</v>
      </c>
    </row>
    <row r="9" spans="1:14" x14ac:dyDescent="0.25">
      <c r="A9" s="2" t="str">
        <f>B1</f>
        <v>[M+C+P+R] Ferrochromium (FeCr) production - Closed Furnace Smelting (with preheating)</v>
      </c>
      <c r="B9" s="2" t="str">
        <f>B2</f>
        <v>FeCr</v>
      </c>
      <c r="C9" s="2" t="str">
        <f>B3</f>
        <v>GLO</v>
      </c>
      <c r="D9" s="2">
        <v>1</v>
      </c>
      <c r="E9" s="2" t="s">
        <v>6</v>
      </c>
      <c r="F9" s="14" t="str">
        <f>Cr_Market_GLO!B1</f>
        <v>Chromium</v>
      </c>
      <c r="G9" s="2" t="s">
        <v>20</v>
      </c>
    </row>
    <row r="10" spans="1:14" x14ac:dyDescent="0.25">
      <c r="A10" s="2" t="s">
        <v>34</v>
      </c>
      <c r="B10" s="2" t="s">
        <v>26</v>
      </c>
      <c r="C10" s="2" t="s">
        <v>21</v>
      </c>
      <c r="D10" s="2">
        <v>3.53</v>
      </c>
      <c r="E10" s="2" t="s">
        <v>27</v>
      </c>
      <c r="F10" s="2" t="s">
        <v>22</v>
      </c>
      <c r="G10" s="2" t="s">
        <v>23</v>
      </c>
      <c r="J10" s="2" t="s">
        <v>35</v>
      </c>
    </row>
    <row r="11" spans="1:14" x14ac:dyDescent="0.25">
      <c r="A11" s="2" t="s">
        <v>36</v>
      </c>
      <c r="B11" s="2" t="s">
        <v>37</v>
      </c>
      <c r="C11" s="2" t="s">
        <v>21</v>
      </c>
      <c r="D11" s="2">
        <v>3.94</v>
      </c>
      <c r="E11" s="2" t="s">
        <v>6</v>
      </c>
      <c r="F11" s="2" t="s">
        <v>22</v>
      </c>
      <c r="G11" s="2" t="s">
        <v>23</v>
      </c>
      <c r="J11" s="2" t="s">
        <v>35</v>
      </c>
    </row>
    <row r="12" spans="1:14" x14ac:dyDescent="0.25">
      <c r="A12" s="2" t="s">
        <v>38</v>
      </c>
      <c r="B12" s="2" t="s">
        <v>39</v>
      </c>
      <c r="C12" s="2" t="s">
        <v>21</v>
      </c>
      <c r="D12" s="2">
        <v>1.0200000000000001E-3</v>
      </c>
      <c r="E12" s="2" t="s">
        <v>6</v>
      </c>
      <c r="F12" s="2" t="s">
        <v>22</v>
      </c>
      <c r="G12" s="2" t="s">
        <v>23</v>
      </c>
      <c r="J12" s="2" t="s">
        <v>35</v>
      </c>
    </row>
    <row r="13" spans="1:14" x14ac:dyDescent="0.25">
      <c r="A13" s="2" t="s">
        <v>24</v>
      </c>
      <c r="B13" s="2" t="s">
        <v>24</v>
      </c>
      <c r="C13" s="2" t="s">
        <v>21</v>
      </c>
      <c r="D13" s="2">
        <v>0.13725000000000001</v>
      </c>
      <c r="E13" s="2" t="s">
        <v>25</v>
      </c>
      <c r="F13" s="2" t="s">
        <v>22</v>
      </c>
      <c r="G13" s="2" t="s">
        <v>23</v>
      </c>
      <c r="J13" s="2" t="s">
        <v>40</v>
      </c>
    </row>
    <row r="14" spans="1:14" x14ac:dyDescent="0.25">
      <c r="A14" s="2" t="s">
        <v>41</v>
      </c>
      <c r="B14" s="2" t="s">
        <v>42</v>
      </c>
      <c r="C14" s="2" t="s">
        <v>21</v>
      </c>
      <c r="D14" s="2">
        <v>1.6443599999999999E-2</v>
      </c>
      <c r="E14" s="2" t="s">
        <v>25</v>
      </c>
      <c r="F14" s="2" t="s">
        <v>22</v>
      </c>
      <c r="G14" s="2" t="s">
        <v>23</v>
      </c>
      <c r="J14" s="2" t="s">
        <v>40</v>
      </c>
    </row>
    <row r="15" spans="1:14" x14ac:dyDescent="0.25">
      <c r="A15" s="2" t="s">
        <v>43</v>
      </c>
      <c r="B15" s="2" t="s">
        <v>44</v>
      </c>
      <c r="C15" s="2" t="s">
        <v>21</v>
      </c>
      <c r="D15" s="2">
        <v>2.4282000000000001E-2</v>
      </c>
      <c r="E15" s="2" t="s">
        <v>25</v>
      </c>
      <c r="F15" s="2" t="s">
        <v>22</v>
      </c>
      <c r="G15" s="2" t="s">
        <v>23</v>
      </c>
      <c r="J15" s="2" t="s">
        <v>40</v>
      </c>
    </row>
    <row r="16" spans="1:14" x14ac:dyDescent="0.25">
      <c r="A16" s="2" t="s">
        <v>80</v>
      </c>
      <c r="B16" s="2" t="s">
        <v>81</v>
      </c>
      <c r="C16" s="2" t="s">
        <v>21</v>
      </c>
      <c r="D16" s="2">
        <v>1.1224E-2</v>
      </c>
      <c r="E16" s="2" t="s">
        <v>25</v>
      </c>
      <c r="F16" s="2" t="s">
        <v>22</v>
      </c>
      <c r="G16" s="2" t="s">
        <v>23</v>
      </c>
      <c r="J16" s="2" t="s">
        <v>40</v>
      </c>
    </row>
    <row r="17" spans="1:10" x14ac:dyDescent="0.25">
      <c r="A17" s="2" t="s">
        <v>41</v>
      </c>
      <c r="B17" s="2" t="s">
        <v>42</v>
      </c>
      <c r="C17" s="2" t="s">
        <v>21</v>
      </c>
      <c r="D17" s="2">
        <v>9.6701999999999996E-2</v>
      </c>
      <c r="E17" s="2" t="s">
        <v>25</v>
      </c>
      <c r="F17" s="2" t="s">
        <v>22</v>
      </c>
      <c r="G17" s="2" t="s">
        <v>23</v>
      </c>
      <c r="J17" s="2" t="s">
        <v>40</v>
      </c>
    </row>
    <row r="18" spans="1:10" x14ac:dyDescent="0.25">
      <c r="A18" s="2" t="s">
        <v>45</v>
      </c>
      <c r="B18" s="2" t="s">
        <v>46</v>
      </c>
      <c r="C18" s="2" t="s">
        <v>21</v>
      </c>
      <c r="D18" s="2">
        <v>2.6400000000000001E-5</v>
      </c>
      <c r="E18" s="2" t="s">
        <v>6</v>
      </c>
      <c r="F18" s="2" t="s">
        <v>22</v>
      </c>
      <c r="G18" s="2" t="s">
        <v>23</v>
      </c>
      <c r="J18" s="2" t="s">
        <v>35</v>
      </c>
    </row>
    <row r="19" spans="1:10" x14ac:dyDescent="0.25">
      <c r="A19" s="2" t="s">
        <v>47</v>
      </c>
      <c r="B19" s="2" t="s">
        <v>48</v>
      </c>
      <c r="C19" s="2" t="s">
        <v>30</v>
      </c>
      <c r="D19" s="2">
        <v>2.5999999999999999E-2</v>
      </c>
      <c r="E19" s="2" t="s">
        <v>6</v>
      </c>
      <c r="F19" s="2" t="s">
        <v>22</v>
      </c>
      <c r="G19" s="2" t="s">
        <v>23</v>
      </c>
      <c r="J19" s="2" t="s">
        <v>35</v>
      </c>
    </row>
    <row r="20" spans="1:10" x14ac:dyDescent="0.25">
      <c r="A20" s="2" t="s">
        <v>28</v>
      </c>
      <c r="B20" s="2" t="s">
        <v>29</v>
      </c>
      <c r="C20" s="2" t="s">
        <v>30</v>
      </c>
      <c r="D20" s="2">
        <v>3.302</v>
      </c>
      <c r="E20" s="2" t="s">
        <v>25</v>
      </c>
      <c r="F20" s="2" t="s">
        <v>22</v>
      </c>
      <c r="G20" s="2" t="s">
        <v>23</v>
      </c>
      <c r="J20" s="2" t="s">
        <v>35</v>
      </c>
    </row>
    <row r="21" spans="1:10" x14ac:dyDescent="0.25">
      <c r="A21" s="2" t="s">
        <v>28</v>
      </c>
      <c r="B21" s="2" t="s">
        <v>29</v>
      </c>
      <c r="C21" s="2" t="s">
        <v>30</v>
      </c>
      <c r="D21" s="2">
        <v>4.4719999999999995</v>
      </c>
      <c r="E21" s="2" t="s">
        <v>25</v>
      </c>
      <c r="F21" s="2" t="s">
        <v>22</v>
      </c>
      <c r="G21" s="2" t="s">
        <v>23</v>
      </c>
      <c r="J21" s="2" t="s">
        <v>35</v>
      </c>
    </row>
    <row r="22" spans="1:10" x14ac:dyDescent="0.25">
      <c r="A22" s="2" t="s">
        <v>49</v>
      </c>
      <c r="B22" s="2" t="s">
        <v>50</v>
      </c>
      <c r="C22" s="2" t="s">
        <v>21</v>
      </c>
      <c r="D22" s="2">
        <v>0.245</v>
      </c>
      <c r="E22" s="2" t="s">
        <v>6</v>
      </c>
      <c r="F22" s="2" t="s">
        <v>22</v>
      </c>
      <c r="G22" s="2" t="s">
        <v>23</v>
      </c>
      <c r="J22" s="2" t="s">
        <v>35</v>
      </c>
    </row>
    <row r="23" spans="1:10" x14ac:dyDescent="0.25">
      <c r="A23" s="2" t="s">
        <v>47</v>
      </c>
      <c r="B23" s="2" t="s">
        <v>48</v>
      </c>
      <c r="C23" s="2" t="s">
        <v>30</v>
      </c>
      <c r="D23" s="2">
        <v>4.1000000000000002E-2</v>
      </c>
      <c r="E23" s="2" t="s">
        <v>6</v>
      </c>
      <c r="F23" s="2" t="s">
        <v>22</v>
      </c>
      <c r="G23" s="2" t="s">
        <v>23</v>
      </c>
      <c r="J23" s="2" t="s">
        <v>35</v>
      </c>
    </row>
    <row r="24" spans="1:10" x14ac:dyDescent="0.25">
      <c r="A24" s="2" t="s">
        <v>32</v>
      </c>
      <c r="B24" s="2" t="s">
        <v>33</v>
      </c>
      <c r="C24" s="2" t="s">
        <v>21</v>
      </c>
      <c r="D24" s="2">
        <v>0.22</v>
      </c>
      <c r="E24" s="2" t="s">
        <v>6</v>
      </c>
      <c r="F24" s="2" t="s">
        <v>22</v>
      </c>
      <c r="G24" s="2" t="s">
        <v>23</v>
      </c>
      <c r="J24" s="2" t="s">
        <v>35</v>
      </c>
    </row>
    <row r="25" spans="1:10" x14ac:dyDescent="0.25">
      <c r="A25" s="2" t="s">
        <v>51</v>
      </c>
      <c r="B25" s="2" t="s">
        <v>31</v>
      </c>
      <c r="C25" s="2" t="s">
        <v>21</v>
      </c>
      <c r="D25" s="2">
        <v>0.01</v>
      </c>
      <c r="E25" s="2" t="s">
        <v>6</v>
      </c>
      <c r="F25" s="2" t="s">
        <v>22</v>
      </c>
      <c r="G25" s="2" t="s">
        <v>23</v>
      </c>
      <c r="J25" s="2" t="s">
        <v>35</v>
      </c>
    </row>
    <row r="26" spans="1:10" x14ac:dyDescent="0.25">
      <c r="A26" s="2" t="s">
        <v>52</v>
      </c>
      <c r="B26" s="2" t="s">
        <v>53</v>
      </c>
      <c r="C26" s="2" t="s">
        <v>21</v>
      </c>
      <c r="D26" s="2">
        <v>-1.38</v>
      </c>
      <c r="E26" s="2" t="s">
        <v>6</v>
      </c>
      <c r="F26" s="2" t="s">
        <v>22</v>
      </c>
      <c r="G26" s="2" t="s">
        <v>23</v>
      </c>
      <c r="J26" s="2" t="s">
        <v>35</v>
      </c>
    </row>
    <row r="27" spans="1:10" x14ac:dyDescent="0.25">
      <c r="A27" s="2" t="s">
        <v>54</v>
      </c>
      <c r="B27" s="2" t="s">
        <v>55</v>
      </c>
      <c r="C27" s="2" t="s">
        <v>30</v>
      </c>
      <c r="D27" s="2">
        <v>-0.11</v>
      </c>
      <c r="E27" s="2" t="s">
        <v>6</v>
      </c>
      <c r="F27" s="2" t="s">
        <v>22</v>
      </c>
      <c r="G27" s="2" t="s">
        <v>23</v>
      </c>
      <c r="J27" s="2" t="s">
        <v>35</v>
      </c>
    </row>
    <row r="28" spans="1:10" x14ac:dyDescent="0.25">
      <c r="A28" s="2" t="s">
        <v>54</v>
      </c>
      <c r="B28" s="2" t="s">
        <v>55</v>
      </c>
      <c r="C28" s="2" t="s">
        <v>30</v>
      </c>
      <c r="D28" s="2">
        <v>-1.62</v>
      </c>
      <c r="E28" s="2" t="s">
        <v>6</v>
      </c>
      <c r="F28" s="2" t="s">
        <v>22</v>
      </c>
      <c r="G28" s="2" t="s">
        <v>23</v>
      </c>
      <c r="J28" s="2" t="s">
        <v>35</v>
      </c>
    </row>
    <row r="29" spans="1:10" x14ac:dyDescent="0.25">
      <c r="A29" s="2" t="s">
        <v>56</v>
      </c>
      <c r="D29" s="2">
        <v>5.8399999999999997E-3</v>
      </c>
      <c r="E29" s="2" t="s">
        <v>57</v>
      </c>
      <c r="F29" s="2" t="s">
        <v>58</v>
      </c>
      <c r="G29" s="2" t="s">
        <v>59</v>
      </c>
      <c r="H29" s="2" t="s">
        <v>60</v>
      </c>
      <c r="J29" s="2" t="s">
        <v>35</v>
      </c>
    </row>
    <row r="30" spans="1:10" x14ac:dyDescent="0.25">
      <c r="A30" s="2" t="s">
        <v>61</v>
      </c>
      <c r="D30" s="2">
        <v>5.8399999999999997E-3</v>
      </c>
      <c r="E30" s="2" t="s">
        <v>57</v>
      </c>
      <c r="F30" s="2" t="s">
        <v>58</v>
      </c>
      <c r="G30" s="2" t="s">
        <v>59</v>
      </c>
      <c r="H30" s="2" t="s">
        <v>60</v>
      </c>
      <c r="J30" s="2" t="s">
        <v>35</v>
      </c>
    </row>
    <row r="31" spans="1:10" x14ac:dyDescent="0.25">
      <c r="A31" s="2" t="s">
        <v>62</v>
      </c>
      <c r="D31" s="2">
        <v>1.51</v>
      </c>
      <c r="E31" s="2" t="s">
        <v>6</v>
      </c>
      <c r="F31" s="2" t="s">
        <v>58</v>
      </c>
      <c r="G31" s="2" t="s">
        <v>59</v>
      </c>
      <c r="H31" s="2" t="s">
        <v>82</v>
      </c>
      <c r="J31" s="2" t="s">
        <v>35</v>
      </c>
    </row>
    <row r="32" spans="1:10" x14ac:dyDescent="0.25">
      <c r="A32" s="2" t="s">
        <v>63</v>
      </c>
      <c r="D32" s="2">
        <v>2.2300000000000001E-8</v>
      </c>
      <c r="E32" s="2" t="s">
        <v>6</v>
      </c>
      <c r="F32" s="2" t="s">
        <v>58</v>
      </c>
      <c r="G32" s="2" t="s">
        <v>59</v>
      </c>
      <c r="H32" s="2" t="s">
        <v>83</v>
      </c>
      <c r="J32" s="2" t="s">
        <v>35</v>
      </c>
    </row>
    <row r="33" spans="1:14" x14ac:dyDescent="0.25">
      <c r="A33" s="2" t="s">
        <v>65</v>
      </c>
      <c r="D33" s="2">
        <v>1.1000000000000001E-6</v>
      </c>
      <c r="E33" s="2" t="s">
        <v>6</v>
      </c>
      <c r="F33" s="2" t="s">
        <v>58</v>
      </c>
      <c r="G33" s="2" t="s">
        <v>59</v>
      </c>
      <c r="H33" s="2" t="s">
        <v>82</v>
      </c>
      <c r="J33" s="2" t="s">
        <v>35</v>
      </c>
    </row>
    <row r="34" spans="1:14" x14ac:dyDescent="0.25">
      <c r="A34" s="2" t="s">
        <v>66</v>
      </c>
      <c r="D34" s="2">
        <v>1.5E-6</v>
      </c>
      <c r="E34" s="2" t="s">
        <v>6</v>
      </c>
      <c r="F34" s="2" t="s">
        <v>58</v>
      </c>
      <c r="G34" s="2" t="s">
        <v>59</v>
      </c>
      <c r="H34" s="2" t="s">
        <v>82</v>
      </c>
      <c r="J34" s="2" t="s">
        <v>35</v>
      </c>
    </row>
    <row r="35" spans="1:14" x14ac:dyDescent="0.25">
      <c r="A35" s="2" t="s">
        <v>67</v>
      </c>
      <c r="D35" s="2">
        <v>1.4E-8</v>
      </c>
      <c r="E35" s="2" t="s">
        <v>6</v>
      </c>
      <c r="F35" s="2" t="s">
        <v>58</v>
      </c>
      <c r="G35" s="2" t="s">
        <v>59</v>
      </c>
      <c r="H35" s="2" t="s">
        <v>82</v>
      </c>
      <c r="J35" s="2" t="s">
        <v>35</v>
      </c>
    </row>
    <row r="36" spans="1:14" x14ac:dyDescent="0.25">
      <c r="A36" s="2" t="s">
        <v>68</v>
      </c>
      <c r="D36" s="2">
        <v>7.5999999999999996E-10</v>
      </c>
      <c r="E36" s="2" t="s">
        <v>6</v>
      </c>
      <c r="F36" s="2" t="s">
        <v>58</v>
      </c>
      <c r="G36" s="2" t="s">
        <v>59</v>
      </c>
      <c r="H36" s="2" t="s">
        <v>82</v>
      </c>
      <c r="J36" s="2" t="s">
        <v>35</v>
      </c>
    </row>
    <row r="37" spans="1:14" x14ac:dyDescent="0.25">
      <c r="A37" s="2" t="s">
        <v>69</v>
      </c>
      <c r="D37" s="2">
        <v>4.7999999999999996E-3</v>
      </c>
      <c r="E37" s="2" t="s">
        <v>6</v>
      </c>
      <c r="F37" s="2" t="s">
        <v>58</v>
      </c>
      <c r="G37" s="2" t="s">
        <v>59</v>
      </c>
      <c r="H37" s="2" t="s">
        <v>82</v>
      </c>
      <c r="J37" s="2" t="s">
        <v>35</v>
      </c>
    </row>
    <row r="38" spans="1:14" x14ac:dyDescent="0.25">
      <c r="A38" s="2" t="s">
        <v>70</v>
      </c>
      <c r="D38" s="2">
        <v>1.1000000000000001E-3</v>
      </c>
      <c r="E38" s="2" t="s">
        <v>6</v>
      </c>
      <c r="F38" s="2" t="s">
        <v>58</v>
      </c>
      <c r="G38" s="2" t="s">
        <v>59</v>
      </c>
      <c r="H38" s="2" t="s">
        <v>82</v>
      </c>
      <c r="J38" s="2" t="s">
        <v>35</v>
      </c>
    </row>
    <row r="39" spans="1:14" s="12" customFormat="1" x14ac:dyDescent="0.25"/>
    <row r="40" spans="1:14" s="9" customFormat="1" x14ac:dyDescent="0.25">
      <c r="A40" s="3" t="s">
        <v>0</v>
      </c>
      <c r="B40" s="3" t="s">
        <v>105</v>
      </c>
    </row>
    <row r="41" spans="1:14" s="9" customFormat="1" x14ac:dyDescent="0.25">
      <c r="A41" s="10" t="s">
        <v>1</v>
      </c>
      <c r="B41" s="9" t="s">
        <v>2</v>
      </c>
    </row>
    <row r="42" spans="1:14" s="9" customFormat="1" x14ac:dyDescent="0.25">
      <c r="A42" s="10" t="s">
        <v>3</v>
      </c>
      <c r="B42" s="9" t="s">
        <v>21</v>
      </c>
    </row>
    <row r="43" spans="1:14" s="9" customFormat="1" x14ac:dyDescent="0.25">
      <c r="A43" s="10" t="s">
        <v>4</v>
      </c>
      <c r="B43" s="9">
        <v>1</v>
      </c>
    </row>
    <row r="44" spans="1:14" s="9" customFormat="1" x14ac:dyDescent="0.25">
      <c r="A44" s="10" t="s">
        <v>5</v>
      </c>
      <c r="B44" s="9" t="s">
        <v>6</v>
      </c>
    </row>
    <row r="45" spans="1:14" s="9" customFormat="1" x14ac:dyDescent="0.25">
      <c r="A45" s="10" t="s">
        <v>7</v>
      </c>
      <c r="B45" s="9" t="s">
        <v>8</v>
      </c>
    </row>
    <row r="46" spans="1:14" s="9" customFormat="1" x14ac:dyDescent="0.25">
      <c r="A46" s="10" t="s">
        <v>9</v>
      </c>
    </row>
    <row r="47" spans="1:14" s="9" customFormat="1" x14ac:dyDescent="0.25">
      <c r="A47" s="3" t="s">
        <v>10</v>
      </c>
      <c r="B47" s="3" t="s">
        <v>1</v>
      </c>
      <c r="C47" s="3" t="s">
        <v>3</v>
      </c>
      <c r="D47" s="3" t="s">
        <v>4</v>
      </c>
      <c r="E47" s="3" t="s">
        <v>5</v>
      </c>
      <c r="F47" s="3" t="s">
        <v>11</v>
      </c>
      <c r="G47" s="3" t="s">
        <v>12</v>
      </c>
      <c r="H47" s="3" t="s">
        <v>13</v>
      </c>
      <c r="I47" s="3" t="s">
        <v>14</v>
      </c>
      <c r="J47" s="3" t="s">
        <v>15</v>
      </c>
      <c r="K47" s="3" t="s">
        <v>16</v>
      </c>
      <c r="L47" s="3" t="s">
        <v>17</v>
      </c>
      <c r="M47" s="3" t="s">
        <v>18</v>
      </c>
      <c r="N47" s="3" t="s">
        <v>19</v>
      </c>
    </row>
    <row r="48" spans="1:14" s="9" customFormat="1" x14ac:dyDescent="0.25">
      <c r="A48" s="9" t="str">
        <f>B40</f>
        <v>Chromite ore mining and FeCr production in South Africa/Finland/Kazakhstan through Closed Furnace Smelting (with preheating)</v>
      </c>
      <c r="B48" s="9" t="str">
        <f>B41</f>
        <v>FeCr</v>
      </c>
      <c r="C48" s="9" t="str">
        <f>B42</f>
        <v>GLO</v>
      </c>
      <c r="D48" s="9">
        <v>1</v>
      </c>
      <c r="E48" s="9" t="s">
        <v>6</v>
      </c>
      <c r="F48" s="11" t="str">
        <f>F9</f>
        <v>Chromium</v>
      </c>
      <c r="G48" s="9" t="s">
        <v>20</v>
      </c>
    </row>
    <row r="49" spans="1:14" s="9" customFormat="1" x14ac:dyDescent="0.25">
      <c r="A49" s="9" t="str">
        <f>A9</f>
        <v>[M+C+P+R] Ferrochromium (FeCr) production - Closed Furnace Smelting (with preheating)</v>
      </c>
      <c r="B49" s="9" t="str">
        <f t="shared" ref="B49:F49" si="0">B9</f>
        <v>FeCr</v>
      </c>
      <c r="C49" s="9" t="str">
        <f t="shared" si="0"/>
        <v>GLO</v>
      </c>
      <c r="D49" s="9">
        <v>1</v>
      </c>
      <c r="E49" s="9" t="str">
        <f t="shared" si="0"/>
        <v>kilogram</v>
      </c>
      <c r="F49" s="11" t="str">
        <f t="shared" si="0"/>
        <v>Chromium</v>
      </c>
      <c r="G49" s="9" t="s">
        <v>23</v>
      </c>
    </row>
    <row r="50" spans="1:14" s="12" customFormat="1" x14ac:dyDescent="0.25"/>
    <row r="51" spans="1:14" s="9" customFormat="1" x14ac:dyDescent="0.25">
      <c r="A51" s="3" t="s">
        <v>0</v>
      </c>
      <c r="B51" s="3" t="s">
        <v>106</v>
      </c>
    </row>
    <row r="52" spans="1:14" s="9" customFormat="1" x14ac:dyDescent="0.25">
      <c r="A52" s="10" t="s">
        <v>1</v>
      </c>
      <c r="B52" s="9" t="s">
        <v>100</v>
      </c>
    </row>
    <row r="53" spans="1:14" s="9" customFormat="1" x14ac:dyDescent="0.25">
      <c r="A53" s="10" t="s">
        <v>3</v>
      </c>
      <c r="B53" s="9" t="s">
        <v>21</v>
      </c>
    </row>
    <row r="54" spans="1:14" s="9" customFormat="1" x14ac:dyDescent="0.25">
      <c r="A54" s="10" t="s">
        <v>4</v>
      </c>
      <c r="B54" s="9">
        <v>1</v>
      </c>
    </row>
    <row r="55" spans="1:14" s="9" customFormat="1" x14ac:dyDescent="0.25">
      <c r="A55" s="10" t="s">
        <v>5</v>
      </c>
      <c r="B55" s="9" t="s">
        <v>6</v>
      </c>
    </row>
    <row r="56" spans="1:14" s="9" customFormat="1" x14ac:dyDescent="0.25">
      <c r="A56" s="10" t="s">
        <v>7</v>
      </c>
      <c r="B56" s="9" t="s">
        <v>8</v>
      </c>
    </row>
    <row r="57" spans="1:14" s="9" customFormat="1" x14ac:dyDescent="0.25">
      <c r="A57" s="10" t="s">
        <v>9</v>
      </c>
    </row>
    <row r="58" spans="1:14" s="9" customFormat="1" x14ac:dyDescent="0.25">
      <c r="A58" s="3" t="s">
        <v>10</v>
      </c>
      <c r="B58" s="3" t="s">
        <v>1</v>
      </c>
      <c r="C58" s="3" t="s">
        <v>3</v>
      </c>
      <c r="D58" s="3" t="s">
        <v>4</v>
      </c>
      <c r="E58" s="3" t="s">
        <v>5</v>
      </c>
      <c r="F58" s="3" t="s">
        <v>11</v>
      </c>
      <c r="G58" s="3" t="s">
        <v>12</v>
      </c>
      <c r="H58" s="3" t="s">
        <v>13</v>
      </c>
      <c r="I58" s="3" t="s">
        <v>14</v>
      </c>
      <c r="J58" s="3" t="s">
        <v>15</v>
      </c>
      <c r="K58" s="3" t="s">
        <v>16</v>
      </c>
      <c r="L58" s="3" t="s">
        <v>17</v>
      </c>
      <c r="M58" s="3" t="s">
        <v>18</v>
      </c>
      <c r="N58" s="3" t="s">
        <v>19</v>
      </c>
    </row>
    <row r="59" spans="1:14" s="9" customFormat="1" x14ac:dyDescent="0.25">
      <c r="A59" s="9" t="str">
        <f>B51</f>
        <v>Chromite ore mining and FeCr production in South Africa/Finland/Kazakhstan through Closed Furnace Smelting (with preheating) (Cr content)</v>
      </c>
      <c r="B59" s="9" t="str">
        <f>B52</f>
        <v>FeCr (Cr content)</v>
      </c>
      <c r="C59" s="9" t="str">
        <f>B53</f>
        <v>GLO</v>
      </c>
      <c r="D59" s="9">
        <v>1</v>
      </c>
      <c r="E59" s="9" t="s">
        <v>6</v>
      </c>
      <c r="F59" s="11" t="str">
        <f>F48</f>
        <v>Chromium</v>
      </c>
      <c r="G59" s="9" t="s">
        <v>20</v>
      </c>
    </row>
    <row r="60" spans="1:14" s="9" customFormat="1" x14ac:dyDescent="0.25">
      <c r="A60" s="9" t="str">
        <f>A9</f>
        <v>[M+C+P+R] Ferrochromium (FeCr) production - Closed Furnace Smelting (with preheating)</v>
      </c>
      <c r="B60" s="9" t="str">
        <f t="shared" ref="B60:C60" si="1">B9</f>
        <v>FeCr</v>
      </c>
      <c r="C60" s="9" t="str">
        <f t="shared" si="1"/>
        <v>GLO</v>
      </c>
      <c r="D60" s="9">
        <v>1.7636684303350969</v>
      </c>
      <c r="E60" s="9" t="str">
        <f>E9</f>
        <v>kilogram</v>
      </c>
      <c r="F60" s="11" t="str">
        <f>F9</f>
        <v>Chromium</v>
      </c>
      <c r="G60" s="9" t="s">
        <v>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88C28-EF37-4514-B46B-4CD317AC59F0}">
  <sheetPr>
    <tabColor theme="8" tint="0.39997558519241921"/>
  </sheetPr>
  <dimension ref="A1:N41"/>
  <sheetViews>
    <sheetView tabSelected="1" zoomScaleNormal="100" workbookViewId="0">
      <selection activeCell="D1" sqref="D1:D1048576"/>
    </sheetView>
  </sheetViews>
  <sheetFormatPr baseColWidth="10" defaultColWidth="8.7109375" defaultRowHeight="15" x14ac:dyDescent="0.25"/>
  <cols>
    <col min="1" max="1" width="67.7109375" style="2" customWidth="1"/>
    <col min="2" max="2" width="69.85546875" style="2" bestFit="1" customWidth="1"/>
    <col min="3" max="3" width="7.5703125" style="2" bestFit="1" customWidth="1"/>
    <col min="4" max="5" width="11.85546875" style="2" bestFit="1" customWidth="1"/>
    <col min="6" max="6" width="18.42578125" style="2" bestFit="1" customWidth="1"/>
    <col min="7" max="7" width="12.28515625" style="2" bestFit="1" customWidth="1"/>
    <col min="8" max="8" width="22.5703125" style="2" bestFit="1" customWidth="1"/>
    <col min="9" max="9" width="14.5703125" style="2" bestFit="1" customWidth="1"/>
    <col min="10" max="10" width="8.85546875" style="2" bestFit="1" customWidth="1"/>
    <col min="11" max="11" width="3.140625" style="2" bestFit="1" customWidth="1"/>
    <col min="12" max="12" width="4.85546875" style="2" bestFit="1" customWidth="1"/>
    <col min="13" max="13" width="8.85546875" style="2" bestFit="1" customWidth="1"/>
    <col min="14" max="14" width="9.140625" style="2" bestFit="1" customWidth="1"/>
    <col min="15" max="16384" width="8.7109375" style="2"/>
  </cols>
  <sheetData>
    <row r="1" spans="1:14" x14ac:dyDescent="0.25">
      <c r="A1" s="1" t="s">
        <v>0</v>
      </c>
      <c r="B1" s="1" t="s">
        <v>107</v>
      </c>
    </row>
    <row r="2" spans="1:14" x14ac:dyDescent="0.25">
      <c r="A2" s="13" t="s">
        <v>1</v>
      </c>
      <c r="B2" s="2" t="s">
        <v>71</v>
      </c>
    </row>
    <row r="3" spans="1:14" x14ac:dyDescent="0.25">
      <c r="A3" s="13" t="s">
        <v>3</v>
      </c>
      <c r="B3" s="2" t="s">
        <v>21</v>
      </c>
    </row>
    <row r="4" spans="1:14" x14ac:dyDescent="0.25">
      <c r="A4" s="13" t="s">
        <v>4</v>
      </c>
      <c r="B4" s="2">
        <v>1</v>
      </c>
    </row>
    <row r="5" spans="1:14" x14ac:dyDescent="0.25">
      <c r="A5" s="13" t="s">
        <v>5</v>
      </c>
      <c r="B5" s="2" t="s">
        <v>6</v>
      </c>
    </row>
    <row r="6" spans="1:14" ht="45" x14ac:dyDescent="0.25">
      <c r="A6" s="13" t="s">
        <v>7</v>
      </c>
      <c r="B6" s="6" t="s">
        <v>88</v>
      </c>
    </row>
    <row r="7" spans="1:14" x14ac:dyDescent="0.25">
      <c r="A7" s="13" t="s">
        <v>9</v>
      </c>
    </row>
    <row r="8" spans="1:14" x14ac:dyDescent="0.25">
      <c r="A8" s="1" t="s">
        <v>10</v>
      </c>
      <c r="B8" s="1" t="s">
        <v>1</v>
      </c>
      <c r="C8" s="1" t="s">
        <v>3</v>
      </c>
      <c r="D8" s="1" t="s">
        <v>4</v>
      </c>
      <c r="E8" s="1" t="s">
        <v>5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19</v>
      </c>
    </row>
    <row r="9" spans="1:14" x14ac:dyDescent="0.25">
      <c r="A9" s="2" t="str">
        <f>B1</f>
        <v>[M+C+P+R] Chromium (Cr) metal production</v>
      </c>
      <c r="B9" s="2" t="str">
        <f>B2</f>
        <v>Cr Metal</v>
      </c>
      <c r="C9" s="2" t="str">
        <f>B3</f>
        <v>GLO</v>
      </c>
      <c r="D9" s="2">
        <v>1</v>
      </c>
      <c r="E9" s="2" t="s">
        <v>6</v>
      </c>
      <c r="F9" s="14" t="str">
        <f>Cr_Market_GLO!B1</f>
        <v>Chromium</v>
      </c>
      <c r="G9" s="2" t="s">
        <v>20</v>
      </c>
    </row>
    <row r="10" spans="1:14" x14ac:dyDescent="0.25">
      <c r="A10" s="2" t="s">
        <v>34</v>
      </c>
      <c r="B10" s="2" t="s">
        <v>26</v>
      </c>
      <c r="C10" s="2" t="s">
        <v>21</v>
      </c>
      <c r="D10" s="15">
        <v>4.6518629735815532E-2</v>
      </c>
      <c r="E10" s="2" t="s">
        <v>27</v>
      </c>
      <c r="F10" s="2" t="s">
        <v>22</v>
      </c>
      <c r="G10" s="2" t="s">
        <v>23</v>
      </c>
      <c r="J10" s="2" t="s">
        <v>35</v>
      </c>
    </row>
    <row r="11" spans="1:14" x14ac:dyDescent="0.25">
      <c r="A11" s="2" t="s">
        <v>36</v>
      </c>
      <c r="B11" s="2" t="s">
        <v>37</v>
      </c>
      <c r="C11" s="2" t="s">
        <v>21</v>
      </c>
      <c r="D11" s="15">
        <v>1.0921765242321906</v>
      </c>
      <c r="E11" s="2" t="s">
        <v>6</v>
      </c>
      <c r="F11" s="2" t="s">
        <v>22</v>
      </c>
      <c r="G11" s="2" t="s">
        <v>23</v>
      </c>
      <c r="J11" s="2" t="s">
        <v>35</v>
      </c>
    </row>
    <row r="12" spans="1:14" x14ac:dyDescent="0.25">
      <c r="A12" s="2" t="s">
        <v>38</v>
      </c>
      <c r="B12" s="2" t="s">
        <v>39</v>
      </c>
      <c r="C12" s="2" t="s">
        <v>21</v>
      </c>
      <c r="D12" s="15">
        <v>3.1205043549491164E-4</v>
      </c>
      <c r="E12" s="2" t="s">
        <v>6</v>
      </c>
      <c r="F12" s="2" t="s">
        <v>22</v>
      </c>
      <c r="G12" s="2" t="s">
        <v>23</v>
      </c>
      <c r="J12" s="2" t="s">
        <v>35</v>
      </c>
    </row>
    <row r="13" spans="1:14" x14ac:dyDescent="0.25">
      <c r="A13" s="2" t="s">
        <v>24</v>
      </c>
      <c r="B13" s="2" t="s">
        <v>24</v>
      </c>
      <c r="C13" s="2" t="s">
        <v>21</v>
      </c>
      <c r="D13" s="15">
        <v>7.554220959272653E-3</v>
      </c>
      <c r="E13" s="2" t="s">
        <v>25</v>
      </c>
      <c r="F13" s="2" t="s">
        <v>22</v>
      </c>
      <c r="G13" s="2" t="s">
        <v>23</v>
      </c>
      <c r="J13" s="2" t="s">
        <v>40</v>
      </c>
    </row>
    <row r="14" spans="1:14" x14ac:dyDescent="0.25">
      <c r="A14" s="2" t="s">
        <v>41</v>
      </c>
      <c r="B14" s="2" t="s">
        <v>42</v>
      </c>
      <c r="C14" s="2" t="s">
        <v>21</v>
      </c>
      <c r="D14" s="15">
        <v>5.0342403312981883E-3</v>
      </c>
      <c r="E14" s="2" t="s">
        <v>25</v>
      </c>
      <c r="F14" s="2" t="s">
        <v>22</v>
      </c>
      <c r="G14" s="2" t="s">
        <v>23</v>
      </c>
      <c r="J14" s="2" t="s">
        <v>40</v>
      </c>
    </row>
    <row r="15" spans="1:14" x14ac:dyDescent="0.25">
      <c r="A15" s="2" t="s">
        <v>43</v>
      </c>
      <c r="B15" s="2" t="s">
        <v>44</v>
      </c>
      <c r="C15" s="2" t="s">
        <v>21</v>
      </c>
      <c r="D15" s="15">
        <v>7.444136500084169E-3</v>
      </c>
      <c r="E15" s="2" t="s">
        <v>25</v>
      </c>
      <c r="F15" s="2" t="s">
        <v>22</v>
      </c>
      <c r="G15" s="2" t="s">
        <v>23</v>
      </c>
      <c r="J15" s="2" t="s">
        <v>40</v>
      </c>
    </row>
    <row r="16" spans="1:14" x14ac:dyDescent="0.25">
      <c r="A16" s="2" t="s">
        <v>80</v>
      </c>
      <c r="B16" s="2" t="s">
        <v>81</v>
      </c>
      <c r="C16" s="2" t="s">
        <v>21</v>
      </c>
      <c r="D16" s="15">
        <v>3.4290875633829735E-3</v>
      </c>
      <c r="E16" s="2" t="s">
        <v>25</v>
      </c>
      <c r="F16" s="2" t="s">
        <v>22</v>
      </c>
      <c r="G16" s="2" t="s">
        <v>23</v>
      </c>
      <c r="J16" s="2" t="s">
        <v>40</v>
      </c>
    </row>
    <row r="17" spans="1:10" x14ac:dyDescent="0.25">
      <c r="A17" s="2" t="s">
        <v>41</v>
      </c>
      <c r="B17" s="2" t="s">
        <v>42</v>
      </c>
      <c r="C17" s="2" t="s">
        <v>21</v>
      </c>
      <c r="D17" s="15">
        <v>2.9663861120852404E-2</v>
      </c>
      <c r="E17" s="2" t="s">
        <v>25</v>
      </c>
      <c r="F17" s="2" t="s">
        <v>22</v>
      </c>
      <c r="G17" s="2" t="s">
        <v>23</v>
      </c>
      <c r="J17" s="2" t="s">
        <v>40</v>
      </c>
    </row>
    <row r="18" spans="1:10" x14ac:dyDescent="0.25">
      <c r="A18" s="2" t="s">
        <v>45</v>
      </c>
      <c r="B18" s="2" t="s">
        <v>46</v>
      </c>
      <c r="C18" s="2" t="s">
        <v>21</v>
      </c>
      <c r="D18" s="15">
        <v>8.0901964757940054E-6</v>
      </c>
      <c r="E18" s="2" t="s">
        <v>6</v>
      </c>
      <c r="F18" s="2" t="s">
        <v>22</v>
      </c>
      <c r="G18" s="2" t="s">
        <v>23</v>
      </c>
      <c r="J18" s="2" t="s">
        <v>35</v>
      </c>
    </row>
    <row r="19" spans="1:10" x14ac:dyDescent="0.25">
      <c r="A19" s="2" t="s">
        <v>84</v>
      </c>
      <c r="B19" s="2" t="s">
        <v>85</v>
      </c>
      <c r="C19" s="2" t="s">
        <v>21</v>
      </c>
      <c r="D19" s="15">
        <v>1.5631415333587704</v>
      </c>
      <c r="E19" s="2" t="s">
        <v>25</v>
      </c>
      <c r="F19" s="2" t="s">
        <v>22</v>
      </c>
      <c r="G19" s="2" t="s">
        <v>23</v>
      </c>
      <c r="J19" s="2" t="s">
        <v>35</v>
      </c>
    </row>
    <row r="20" spans="1:10" x14ac:dyDescent="0.25">
      <c r="A20" s="2" t="s">
        <v>72</v>
      </c>
      <c r="B20" s="2" t="s">
        <v>73</v>
      </c>
      <c r="C20" s="2" t="s">
        <v>21</v>
      </c>
      <c r="D20" s="15">
        <v>0.58942860037927758</v>
      </c>
      <c r="E20" s="2" t="s">
        <v>6</v>
      </c>
      <c r="F20" s="2" t="s">
        <v>22</v>
      </c>
      <c r="G20" s="2" t="s">
        <v>23</v>
      </c>
      <c r="J20" s="2" t="s">
        <v>35</v>
      </c>
    </row>
    <row r="21" spans="1:10" x14ac:dyDescent="0.25">
      <c r="A21" s="2" t="s">
        <v>74</v>
      </c>
      <c r="B21" s="2" t="s">
        <v>75</v>
      </c>
      <c r="C21" s="2" t="s">
        <v>30</v>
      </c>
      <c r="D21" s="15">
        <v>0.27246625988120521</v>
      </c>
      <c r="E21" s="2" t="s">
        <v>6</v>
      </c>
      <c r="F21" s="2" t="s">
        <v>22</v>
      </c>
      <c r="G21" s="2" t="s">
        <v>23</v>
      </c>
      <c r="J21" s="2" t="s">
        <v>35</v>
      </c>
    </row>
    <row r="22" spans="1:10" x14ac:dyDescent="0.25">
      <c r="A22" s="2" t="s">
        <v>76</v>
      </c>
      <c r="B22" s="2" t="s">
        <v>77</v>
      </c>
      <c r="C22" s="2" t="s">
        <v>21</v>
      </c>
      <c r="D22" s="15">
        <v>8.899216123373406E-2</v>
      </c>
      <c r="E22" s="2" t="s">
        <v>6</v>
      </c>
      <c r="F22" s="2" t="s">
        <v>22</v>
      </c>
      <c r="G22" s="2" t="s">
        <v>23</v>
      </c>
      <c r="J22" s="2" t="s">
        <v>35</v>
      </c>
    </row>
    <row r="23" spans="1:10" x14ac:dyDescent="0.25">
      <c r="A23" s="2" t="s">
        <v>86</v>
      </c>
      <c r="B23" s="2" t="s">
        <v>87</v>
      </c>
      <c r="C23" s="2" t="s">
        <v>21</v>
      </c>
      <c r="D23" s="15">
        <v>0.14995757039061031</v>
      </c>
      <c r="E23" s="2" t="s">
        <v>6</v>
      </c>
      <c r="F23" s="2" t="s">
        <v>22</v>
      </c>
      <c r="G23" s="2" t="s">
        <v>23</v>
      </c>
      <c r="J23" s="2" t="s">
        <v>35</v>
      </c>
    </row>
    <row r="24" spans="1:10" x14ac:dyDescent="0.25">
      <c r="A24" s="2" t="s">
        <v>52</v>
      </c>
      <c r="B24" s="2" t="s">
        <v>53</v>
      </c>
      <c r="C24" s="2" t="s">
        <v>21</v>
      </c>
      <c r="D24" s="15">
        <v>-0.42184595909497313</v>
      </c>
      <c r="E24" s="2" t="s">
        <v>6</v>
      </c>
      <c r="F24" s="2" t="s">
        <v>22</v>
      </c>
      <c r="G24" s="2" t="s">
        <v>23</v>
      </c>
      <c r="J24" s="2" t="s">
        <v>35</v>
      </c>
    </row>
    <row r="25" spans="1:10" x14ac:dyDescent="0.25">
      <c r="A25" s="2" t="s">
        <v>78</v>
      </c>
      <c r="B25" s="2" t="s">
        <v>79</v>
      </c>
      <c r="C25" s="2" t="s">
        <v>30</v>
      </c>
      <c r="D25" s="15">
        <v>-4.9985856796870103E-5</v>
      </c>
      <c r="E25" s="2" t="s">
        <v>57</v>
      </c>
      <c r="F25" s="2" t="s">
        <v>22</v>
      </c>
      <c r="G25" s="2" t="s">
        <v>23</v>
      </c>
      <c r="J25" s="2" t="s">
        <v>35</v>
      </c>
    </row>
    <row r="26" spans="1:10" s="14" customFormat="1" x14ac:dyDescent="0.25">
      <c r="A26" s="16" t="s">
        <v>89</v>
      </c>
      <c r="B26" s="16" t="s">
        <v>90</v>
      </c>
      <c r="C26" s="16" t="s">
        <v>30</v>
      </c>
      <c r="D26" s="15">
        <v>-0.78879415638991546</v>
      </c>
      <c r="E26" s="16" t="s">
        <v>6</v>
      </c>
      <c r="F26" s="16" t="s">
        <v>22</v>
      </c>
      <c r="G26" s="16" t="s">
        <v>23</v>
      </c>
      <c r="H26" s="16"/>
      <c r="I26" s="16"/>
      <c r="J26" s="16" t="s">
        <v>35</v>
      </c>
    </row>
    <row r="27" spans="1:10" x14ac:dyDescent="0.25">
      <c r="A27" s="2" t="s">
        <v>56</v>
      </c>
      <c r="D27" s="15">
        <v>1.1297381507269486E-3</v>
      </c>
      <c r="E27" s="2" t="s">
        <v>57</v>
      </c>
      <c r="F27" s="2" t="s">
        <v>58</v>
      </c>
      <c r="G27" s="2" t="s">
        <v>59</v>
      </c>
      <c r="H27" s="2" t="s">
        <v>60</v>
      </c>
      <c r="J27" s="2" t="s">
        <v>35</v>
      </c>
    </row>
    <row r="28" spans="1:10" x14ac:dyDescent="0.25">
      <c r="A28" s="2" t="s">
        <v>61</v>
      </c>
      <c r="D28" s="15">
        <v>1.1297381507269486E-3</v>
      </c>
      <c r="E28" s="2" t="s">
        <v>57</v>
      </c>
      <c r="F28" s="2" t="s">
        <v>58</v>
      </c>
      <c r="G28" s="2" t="s">
        <v>59</v>
      </c>
      <c r="H28" s="2" t="s">
        <v>60</v>
      </c>
      <c r="J28" s="2" t="s">
        <v>35</v>
      </c>
    </row>
    <row r="29" spans="1:10" x14ac:dyDescent="0.25">
      <c r="A29" s="2" t="s">
        <v>62</v>
      </c>
      <c r="D29" s="15">
        <v>0.24443950780434745</v>
      </c>
      <c r="E29" s="2" t="s">
        <v>6</v>
      </c>
      <c r="F29" s="2" t="s">
        <v>58</v>
      </c>
      <c r="G29" s="2" t="s">
        <v>59</v>
      </c>
      <c r="H29" s="2" t="s">
        <v>82</v>
      </c>
      <c r="J29" s="2" t="s">
        <v>35</v>
      </c>
    </row>
    <row r="30" spans="1:10" x14ac:dyDescent="0.25">
      <c r="A30" s="2" t="s">
        <v>63</v>
      </c>
      <c r="D30" s="15">
        <v>6.8477734455827828E-9</v>
      </c>
      <c r="E30" s="2" t="s">
        <v>6</v>
      </c>
      <c r="F30" s="2" t="s">
        <v>58</v>
      </c>
      <c r="G30" s="2" t="s">
        <v>59</v>
      </c>
      <c r="H30" s="2" t="s">
        <v>83</v>
      </c>
      <c r="J30" s="2" t="s">
        <v>35</v>
      </c>
    </row>
    <row r="31" spans="1:10" s="12" customFormat="1" x14ac:dyDescent="0.25"/>
    <row r="32" spans="1:10" s="9" customFormat="1" x14ac:dyDescent="0.25">
      <c r="A32" s="3" t="s">
        <v>0</v>
      </c>
      <c r="B32" s="3" t="s">
        <v>108</v>
      </c>
    </row>
    <row r="33" spans="1:14" s="9" customFormat="1" x14ac:dyDescent="0.25">
      <c r="A33" s="10" t="s">
        <v>1</v>
      </c>
      <c r="B33" s="9" t="s">
        <v>109</v>
      </c>
    </row>
    <row r="34" spans="1:14" s="9" customFormat="1" x14ac:dyDescent="0.25">
      <c r="A34" s="10" t="s">
        <v>3</v>
      </c>
      <c r="B34" s="9" t="s">
        <v>21</v>
      </c>
    </row>
    <row r="35" spans="1:14" s="9" customFormat="1" x14ac:dyDescent="0.25">
      <c r="A35" s="10" t="s">
        <v>4</v>
      </c>
      <c r="B35" s="9">
        <v>1</v>
      </c>
    </row>
    <row r="36" spans="1:14" s="9" customFormat="1" x14ac:dyDescent="0.25">
      <c r="A36" s="10" t="s">
        <v>5</v>
      </c>
      <c r="B36" s="9" t="s">
        <v>6</v>
      </c>
    </row>
    <row r="37" spans="1:14" s="9" customFormat="1" x14ac:dyDescent="0.25">
      <c r="A37" s="10" t="s">
        <v>7</v>
      </c>
      <c r="B37" s="9" t="s">
        <v>8</v>
      </c>
    </row>
    <row r="38" spans="1:14" s="9" customFormat="1" x14ac:dyDescent="0.25">
      <c r="A38" s="10" t="s">
        <v>9</v>
      </c>
    </row>
    <row r="39" spans="1:14" s="9" customFormat="1" x14ac:dyDescent="0.25">
      <c r="A39" s="3" t="s">
        <v>10</v>
      </c>
      <c r="B39" s="3" t="s">
        <v>1</v>
      </c>
      <c r="C39" s="3" t="s">
        <v>3</v>
      </c>
      <c r="D39" s="3" t="s">
        <v>4</v>
      </c>
      <c r="E39" s="3" t="s">
        <v>5</v>
      </c>
      <c r="F39" s="3" t="s">
        <v>11</v>
      </c>
      <c r="G39" s="3" t="s">
        <v>12</v>
      </c>
      <c r="H39" s="3" t="s">
        <v>13</v>
      </c>
      <c r="I39" s="3" t="s">
        <v>14</v>
      </c>
      <c r="J39" s="3" t="s">
        <v>15</v>
      </c>
      <c r="K39" s="3" t="s">
        <v>16</v>
      </c>
      <c r="L39" s="3" t="s">
        <v>17</v>
      </c>
      <c r="M39" s="3" t="s">
        <v>18</v>
      </c>
      <c r="N39" s="3" t="s">
        <v>19</v>
      </c>
    </row>
    <row r="40" spans="1:14" s="9" customFormat="1" x14ac:dyDescent="0.25">
      <c r="A40" s="9" t="str">
        <f>B32</f>
        <v>Chromite ore mining and Cr metal production in South Africa/Finland/Kazakhstan</v>
      </c>
      <c r="B40" s="9" t="str">
        <f>B33</f>
        <v>Cr metal</v>
      </c>
      <c r="C40" s="9" t="str">
        <f>B34</f>
        <v>GLO</v>
      </c>
      <c r="D40" s="9">
        <v>1</v>
      </c>
      <c r="E40" s="9" t="s">
        <v>6</v>
      </c>
      <c r="F40" s="11" t="str">
        <f>F9</f>
        <v>Chromium</v>
      </c>
      <c r="G40" s="9" t="s">
        <v>20</v>
      </c>
    </row>
    <row r="41" spans="1:14" s="9" customFormat="1" x14ac:dyDescent="0.25">
      <c r="A41" s="9" t="str">
        <f>A9</f>
        <v>[M+C+P+R] Chromium (Cr) metal production</v>
      </c>
      <c r="B41" s="9" t="str">
        <f t="shared" ref="B41:F41" si="0">B9</f>
        <v>Cr Metal</v>
      </c>
      <c r="C41" s="9" t="str">
        <f t="shared" si="0"/>
        <v>GLO</v>
      </c>
      <c r="D41" s="9">
        <v>1</v>
      </c>
      <c r="E41" s="9" t="str">
        <f t="shared" si="0"/>
        <v>kilogram</v>
      </c>
      <c r="F41" s="11" t="str">
        <f t="shared" si="0"/>
        <v>Chromium</v>
      </c>
      <c r="G41" s="9" t="s">
        <v>23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c0c41a-12c1-4165-8422-5f5ca88e9f6a" xsi:nil="true"/>
    <lcf76f155ced4ddcb4097134ff3c332f xmlns="d78c010b-218d-4be4-b2d9-423b1f51aae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41122952C13D46BBBC92EEAE11CF32" ma:contentTypeVersion="13" ma:contentTypeDescription="Crée un document." ma:contentTypeScope="" ma:versionID="d96b5fa62e5213e7d24e66b2bac0c378">
  <xsd:schema xmlns:xsd="http://www.w3.org/2001/XMLSchema" xmlns:xs="http://www.w3.org/2001/XMLSchema" xmlns:p="http://schemas.microsoft.com/office/2006/metadata/properties" xmlns:ns2="d78c010b-218d-4be4-b2d9-423b1f51aae5" xmlns:ns3="adc0c41a-12c1-4165-8422-5f5ca88e9f6a" targetNamespace="http://schemas.microsoft.com/office/2006/metadata/properties" ma:root="true" ma:fieldsID="c2e8fc9a9c70fab2c0f7259df75af726" ns2:_="" ns3:_="">
    <xsd:import namespace="d78c010b-218d-4be4-b2d9-423b1f51aae5"/>
    <xsd:import namespace="adc0c41a-12c1-4165-8422-5f5ca88e9f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8c010b-218d-4be4-b2d9-423b1f51aa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dd53d8bb-88b5-477e-9788-ab5cb1008f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0c41a-12c1-4165-8422-5f5ca88e9f6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f8ce134-c725-4f6f-a6f6-5df0359a5c7e}" ma:internalName="TaxCatchAll" ma:showField="CatchAllData" ma:web="adc0c41a-12c1-4165-8422-5f5ca88e9f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78F32A-6441-4D5E-BCF5-2EFAD48B5A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8399CC-F321-46E1-9B3F-4879D7FAF070}">
  <ds:schemaRefs>
    <ds:schemaRef ds:uri="http://schemas.microsoft.com/office/2006/metadata/properties"/>
    <ds:schemaRef ds:uri="http://schemas.microsoft.com/office/infopath/2007/PartnerControls"/>
    <ds:schemaRef ds:uri="adc0c41a-12c1-4165-8422-5f5ca88e9f6a"/>
    <ds:schemaRef ds:uri="d78c010b-218d-4be4-b2d9-423b1f51aae5"/>
  </ds:schemaRefs>
</ds:datastoreItem>
</file>

<file path=customXml/itemProps3.xml><?xml version="1.0" encoding="utf-8"?>
<ds:datastoreItem xmlns:ds="http://schemas.openxmlformats.org/officeDocument/2006/customXml" ds:itemID="{A2CD32C0-5ECE-4D57-8B1D-65CF40BBBF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Note</vt:lpstr>
      <vt:lpstr>Cr_Market_GLO</vt:lpstr>
      <vt:lpstr>PR1_FeCr_GLO_OpenFurnace</vt:lpstr>
      <vt:lpstr>PR2_FeCr_GLO_ClosedFurnace</vt:lpstr>
      <vt:lpstr>PR3_FeCr_GLO_ClosedFurnaceHeat</vt:lpstr>
      <vt:lpstr>PR4_Cr_GLO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Lai Frederic</cp:lastModifiedBy>
  <dcterms:created xsi:type="dcterms:W3CDTF">2015-06-05T18:19:34Z</dcterms:created>
  <dcterms:modified xsi:type="dcterms:W3CDTF">2025-06-24T13:05:52Z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0x0101004741122952C13D46BBBC92EEAE11CF32</vt:lpwstr>
  </property>
  <property fmtid="{D5CDD505-2E9C-101B-9397-08002B2CF9AE}" pid="3" name="MediaServiceImageTags">
    <vt:lpwstr/>
  </property>
</Properties>
</file>