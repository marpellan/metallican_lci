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Ag_Silver/"/>
    </mc:Choice>
  </mc:AlternateContent>
  <xr:revisionPtr revIDLastSave="2" documentId="8_{C26BA667-F63D-4801-A1F0-AC4BDEF58F6D}" xr6:coauthVersionLast="47" xr6:coauthVersionMax="47" xr10:uidLastSave="{7825C550-D038-4A53-A1E8-FECEF1F5E592}"/>
  <bookViews>
    <workbookView xWindow="-23148" yWindow="-108" windowWidth="23256" windowHeight="12576" tabRatio="857" activeTab="4" xr2:uid="{00000000-000D-0000-FFFF-FFFF00000000}"/>
  </bookViews>
  <sheets>
    <sheet name="Note" sheetId="1" r:id="rId1"/>
    <sheet name="Ag_Market_GLO" sheetId="7" r:id="rId2"/>
    <sheet name="PR1_Ag_CN_CuSlime" sheetId="17" r:id="rId3"/>
    <sheet name="PR2_Ag_AU" sheetId="16" r:id="rId4"/>
    <sheet name="PR3_Ag_SE_Pyro" sheetId="18" r:id="rId5"/>
    <sheet name="PR4_Ag_RoW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7" l="1"/>
  <c r="B15" i="7"/>
  <c r="C15" i="7"/>
  <c r="E15" i="7"/>
  <c r="F15" i="7"/>
  <c r="A15" i="7"/>
  <c r="B14" i="7"/>
  <c r="C14" i="7"/>
  <c r="E14" i="7"/>
  <c r="F14" i="7"/>
  <c r="A14" i="7"/>
  <c r="B13" i="7"/>
  <c r="C13" i="7"/>
  <c r="E13" i="7"/>
  <c r="F13" i="7"/>
  <c r="A13" i="7"/>
  <c r="E12" i="7"/>
  <c r="F9" i="18"/>
  <c r="F9" i="16"/>
  <c r="F144" i="18" l="1"/>
  <c r="E144" i="18"/>
  <c r="C144" i="18"/>
  <c r="E143" i="18"/>
  <c r="C143" i="18"/>
  <c r="B142" i="18"/>
  <c r="A142" i="18"/>
  <c r="F60" i="18"/>
  <c r="F143" i="18" s="1"/>
  <c r="B60" i="18"/>
  <c r="B143" i="18" s="1"/>
  <c r="A60" i="18"/>
  <c r="A143" i="18" s="1"/>
  <c r="B9" i="18"/>
  <c r="B144" i="18" s="1"/>
  <c r="A9" i="18"/>
  <c r="A144" i="18" s="1"/>
  <c r="F142" i="18" l="1"/>
  <c r="E32" i="17" l="1"/>
  <c r="C31" i="17"/>
  <c r="C12" i="7" s="1"/>
  <c r="B31" i="17"/>
  <c r="B12" i="7" s="1"/>
  <c r="A31" i="17"/>
  <c r="A12" i="7" s="1"/>
  <c r="F32" i="17"/>
  <c r="C9" i="17"/>
  <c r="C32" i="17" s="1"/>
  <c r="B9" i="17"/>
  <c r="B32" i="17" s="1"/>
  <c r="A9" i="17"/>
  <c r="A32" i="17" s="1"/>
  <c r="F32" i="16"/>
  <c r="E32" i="16"/>
  <c r="F31" i="16"/>
  <c r="C31" i="16"/>
  <c r="B31" i="16"/>
  <c r="A31" i="16"/>
  <c r="C9" i="16"/>
  <c r="C32" i="16" s="1"/>
  <c r="B9" i="16"/>
  <c r="B32" i="16" s="1"/>
  <c r="A9" i="16"/>
  <c r="A32" i="16" s="1"/>
  <c r="F31" i="17" l="1"/>
  <c r="F12" i="7" s="1"/>
  <c r="F9" i="15"/>
  <c r="F57" i="15" s="1"/>
  <c r="E57" i="15"/>
  <c r="C57" i="15"/>
  <c r="B57" i="15"/>
  <c r="A57" i="15"/>
  <c r="E56" i="15"/>
  <c r="C56" i="15"/>
  <c r="B55" i="15"/>
  <c r="A55" i="15"/>
  <c r="B31" i="15"/>
  <c r="B56" i="15" s="1"/>
  <c r="A31" i="15"/>
  <c r="A56" i="15" s="1"/>
  <c r="F11" i="7"/>
  <c r="E11" i="7"/>
  <c r="C11" i="7"/>
  <c r="B11" i="7"/>
  <c r="A11" i="7"/>
  <c r="F31" i="15" l="1"/>
  <c r="F56" i="15" l="1"/>
  <c r="F55" i="15"/>
</calcChain>
</file>

<file path=xl/sharedStrings.xml><?xml version="1.0" encoding="utf-8"?>
<sst xmlns="http://schemas.openxmlformats.org/spreadsheetml/2006/main" count="1427" uniqueCount="239">
  <si>
    <t>Activity</t>
  </si>
  <si>
    <t>reference product</t>
  </si>
  <si>
    <t>Zn concentrate</t>
  </si>
  <si>
    <t>location</t>
  </si>
  <si>
    <t>CN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</si>
  <si>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</si>
  <si>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</si>
  <si>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</si>
  <si>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</si>
  <si>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</si>
  <si>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</si>
  <si>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</si>
  <si>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</si>
  <si>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</si>
  <si>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</si>
  <si>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</si>
  <si>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</si>
  <si>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</si>
  <si>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</si>
  <si>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</si>
  <si>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</si>
  <si>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explosive, tovex</t>
  </si>
  <si>
    <t>explosive, tovex</t>
  </si>
  <si>
    <t>GLO</t>
  </si>
  <si>
    <t>ecoinvent 3.10 cutoff</t>
  </si>
  <si>
    <t>technosphere</t>
  </si>
  <si>
    <t>market for lime, packed</t>
  </si>
  <si>
    <t>lime, packed</t>
  </si>
  <si>
    <t>RoW</t>
  </si>
  <si>
    <t>market for diesel, burned in building machine</t>
  </si>
  <si>
    <t>diesel, burned in building machine</t>
  </si>
  <si>
    <t>megajoule</t>
  </si>
  <si>
    <t>market group for electricity, medium voltage</t>
  </si>
  <si>
    <t>electricity, medium voltage</t>
  </si>
  <si>
    <t>kilowatt hour</t>
  </si>
  <si>
    <t>cubic meter</t>
  </si>
  <si>
    <t>inert waste, for final disposal</t>
  </si>
  <si>
    <t>biosphere3</t>
  </si>
  <si>
    <t>biosphere</t>
  </si>
  <si>
    <t>natural resource::in ground</t>
  </si>
  <si>
    <t>Water, unspecified natural origin</t>
  </si>
  <si>
    <t>natural resource::land</t>
  </si>
  <si>
    <t>market for zinc</t>
  </si>
  <si>
    <t>zinc</t>
  </si>
  <si>
    <t>ton kilometer</t>
  </si>
  <si>
    <t>Sulfur dioxide</t>
  </si>
  <si>
    <t>air</t>
  </si>
  <si>
    <t>Lead II</t>
  </si>
  <si>
    <t>Mercury II</t>
  </si>
  <si>
    <t>water</t>
  </si>
  <si>
    <t>Nitrogen</t>
  </si>
  <si>
    <t>Zinc II</t>
  </si>
  <si>
    <t>Copper ion</t>
  </si>
  <si>
    <t>Chromium III</t>
  </si>
  <si>
    <t>Arsenic ion</t>
  </si>
  <si>
    <t>Nickel II</t>
  </si>
  <si>
    <t>Cadmium II</t>
  </si>
  <si>
    <t>n/a</t>
  </si>
  <si>
    <t>market for chemical, inorganic</t>
  </si>
  <si>
    <t>chemical, inorganic</t>
  </si>
  <si>
    <t>market for hazardous waste, for underground deposit</t>
  </si>
  <si>
    <t>hazardous waste, for underground deposit</t>
  </si>
  <si>
    <t>Nitrogen oxides</t>
  </si>
  <si>
    <t>market for inert waste, for final disposal</t>
  </si>
  <si>
    <t>heat, district or industrial, other than natural gas</t>
  </si>
  <si>
    <t>market for sulfuric acid</t>
  </si>
  <si>
    <t>sulfuric acid</t>
  </si>
  <si>
    <t>market for chemical, organic</t>
  </si>
  <si>
    <t>chemical, organic</t>
  </si>
  <si>
    <t>market for tap water</t>
  </si>
  <si>
    <t>tap water</t>
  </si>
  <si>
    <t>market for sulfidic tailings, from zinc-lead mine operation</t>
  </si>
  <si>
    <t>sulfidic tailings, from zinc-lead mine operation</t>
  </si>
  <si>
    <t>Silver</t>
  </si>
  <si>
    <t>[M+C] Zinc (Zn) ore mining and concentration</t>
  </si>
  <si>
    <t>market for limestone, crushed, washed</t>
  </si>
  <si>
    <t>limestone, crushed, washed</t>
  </si>
  <si>
    <t>municipal solid waste</t>
  </si>
  <si>
    <t>Occupation, mineral extraction site</t>
  </si>
  <si>
    <t>square meter-year</t>
  </si>
  <si>
    <t>market for silica sand</t>
  </si>
  <si>
    <t>silica sand</t>
  </si>
  <si>
    <t>Antimony ion</t>
  </si>
  <si>
    <t>(1,1,5,1,1)</t>
  </si>
  <si>
    <t>heat production, heavy fuel oil, at industrial furnace 1MW</t>
  </si>
  <si>
    <t>Carbon dioxide, fossil</t>
  </si>
  <si>
    <t>Particulate Matter, &gt; 10 um</t>
  </si>
  <si>
    <t>Sulfur oxides</t>
  </si>
  <si>
    <t>Particulate Matter, &lt; 2.5 um</t>
  </si>
  <si>
    <t>[P+R] Refined Silver (Ag) production</t>
  </si>
  <si>
    <t>Refined Ag</t>
  </si>
  <si>
    <t>Ag recovery from Pb/Zn production in Canada/Peru/Chile/the US</t>
  </si>
  <si>
    <t>Silver (Ag) global market</t>
  </si>
  <si>
    <t>[M+C+P+R] Silver (Ag) production (from gold ore)</t>
  </si>
  <si>
    <t>AU</t>
  </si>
  <si>
    <r>
      <rPr>
        <sz val="11"/>
        <color theme="5"/>
        <rFont val="Calibri"/>
        <family val="2"/>
        <scheme val="minor"/>
      </rPr>
      <t xml:space="preserve">Allocated unit process, considering as allocation factors (AF): 99.9% for Au (1 kg) and </t>
    </r>
    <r>
      <rPr>
        <b/>
        <sz val="11"/>
        <color theme="5"/>
        <rFont val="Calibri"/>
        <family val="2"/>
        <scheme val="minor"/>
      </rPr>
      <t>0.1% for Ag (0.1 kg)</t>
    </r>
    <r>
      <rPr>
        <sz val="11"/>
        <color theme="5"/>
        <rFont val="Calibri"/>
        <family val="2"/>
        <scheme val="minor"/>
      </rPr>
      <t>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7030A0"/>
        <rFont val="Calibri"/>
        <family val="2"/>
        <scheme val="minor"/>
      </rPr>
      <t>The co-produced sulfuric acid is dealt through substitution.</t>
    </r>
  </si>
  <si>
    <t>(2,5,5,1,1)</t>
  </si>
  <si>
    <t>market for iron pellet</t>
  </si>
  <si>
    <t>iron pellet</t>
  </si>
  <si>
    <t>market for sodium cyanide</t>
  </si>
  <si>
    <t>sodium cyanide</t>
  </si>
  <si>
    <t>market for sodium hydroxide, without water, in 50% solution state</t>
  </si>
  <si>
    <t>sodium hydroxide, without water, in 50% solution state</t>
  </si>
  <si>
    <t>market for carbon black</t>
  </si>
  <si>
    <t>carbon black</t>
  </si>
  <si>
    <t>market for hydrochloric acid, without water, in 30% solution state</t>
  </si>
  <si>
    <t>hydrochloric acid, without water, in 30% solution state</t>
  </si>
  <si>
    <t>market for steam, in chemical industry</t>
  </si>
  <si>
    <t>steam, in chemical industry</t>
  </si>
  <si>
    <t>market for mercury</t>
  </si>
  <si>
    <t>mercury</t>
  </si>
  <si>
    <t>market for electricity, medium voltage</t>
  </si>
  <si>
    <t>Ag recovery from Au production in Australia</t>
  </si>
  <si>
    <t>[P+R] Silver (Ag) production (from anode slime)</t>
  </si>
  <si>
    <r>
      <t>Allocated unit process, considering as allocation factors (AF): 75.4% for Au (1 kg)</t>
    </r>
    <r>
      <rPr>
        <b/>
        <sz val="11"/>
        <color theme="5"/>
        <rFont val="Calibri"/>
        <family val="2"/>
        <scheme val="minor"/>
      </rPr>
      <t>, 22.2% for Ag (23 kg)</t>
    </r>
    <r>
      <rPr>
        <sz val="11"/>
        <color theme="5"/>
        <rFont val="Calibri"/>
        <family val="2"/>
        <scheme val="minor"/>
      </rPr>
      <t>, 1.3% for Te (14 kg CuTe) and 1.1% for Se (27 kg).</t>
    </r>
  </si>
  <si>
    <t>(1,5,1,1,1)</t>
  </si>
  <si>
    <t>market for soda ash, dense</t>
  </si>
  <si>
    <t>soda ash, dense</t>
  </si>
  <si>
    <t>market for nitric acid, without water, in 50% solution state</t>
  </si>
  <si>
    <t>nitric acid, without water, in 50% solution state</t>
  </si>
  <si>
    <t>market for sodium chlorate, powder</t>
  </si>
  <si>
    <t>sodium chlorate, powder</t>
  </si>
  <si>
    <t>market for ammonium chloride</t>
  </si>
  <si>
    <t>ammonium chloride</t>
  </si>
  <si>
    <t>market for copper slag</t>
  </si>
  <si>
    <t>copper slag</t>
  </si>
  <si>
    <t>Ag production in China through Cu anode slime processing</t>
  </si>
  <si>
    <t>[M+C] Copper (Cu) ore mining and concentration (Sweden)</t>
  </si>
  <si>
    <t>Cu concentrate</t>
  </si>
  <si>
    <t>SE</t>
  </si>
  <si>
    <t>(1,1,3,1,1)</t>
  </si>
  <si>
    <t>market for electricity, high voltage</t>
  </si>
  <si>
    <t>electricity, high voltage</t>
  </si>
  <si>
    <t>heat production, wood pellet, at furnace 25kW, state-of-the-art 2014</t>
  </si>
  <si>
    <t>heat, central or small-scale, other than natural gas</t>
  </si>
  <si>
    <t>Europe without Switzerland</t>
  </si>
  <si>
    <t>market for sodium chloride, powder</t>
  </si>
  <si>
    <t>sodium chloride, powder</t>
  </si>
  <si>
    <t>market for sodium chloride, brine solution</t>
  </si>
  <si>
    <t>sodium chloride, brine solution</t>
  </si>
  <si>
    <t>market for aluminium hydroxide</t>
  </si>
  <si>
    <t>aluminium hydroxide</t>
  </si>
  <si>
    <t>market for light fuel oil</t>
  </si>
  <si>
    <t>light fuel oil</t>
  </si>
  <si>
    <t>transport, freight train, electricity</t>
  </si>
  <si>
    <t>transport, freight train</t>
  </si>
  <si>
    <t>market for non-sulfidic overburden, off-site</t>
  </si>
  <si>
    <t>non-sulfidic overburden, off-site</t>
  </si>
  <si>
    <t>treatment of hazardous waste, underground deposit</t>
  </si>
  <si>
    <t>market for waste mineral oil</t>
  </si>
  <si>
    <t>waste mineral oil</t>
  </si>
  <si>
    <t>market for sewage sludge</t>
  </si>
  <si>
    <t>sewage sludge</t>
  </si>
  <si>
    <t>treatment of hazardous waste, hazardous waste incineration</t>
  </si>
  <si>
    <t>hazardous waste, for incineration</t>
  </si>
  <si>
    <t>Copper</t>
  </si>
  <si>
    <t>Water, river</t>
  </si>
  <si>
    <t>natural resource::in water</t>
  </si>
  <si>
    <t>Water, well, in ground</t>
  </si>
  <si>
    <t>Aluminium III</t>
  </si>
  <si>
    <t>[P+R] Silver (Ag) production - Pyrometallurgy (Sweden)</t>
  </si>
  <si>
    <t>market for heavy fuel oil</t>
  </si>
  <si>
    <t>heavy fuel oil</t>
  </si>
  <si>
    <t>market for liquefied petroleum gas</t>
  </si>
  <si>
    <t>liquefied petroleum gas</t>
  </si>
  <si>
    <t>market for lime</t>
  </si>
  <si>
    <t>lime</t>
  </si>
  <si>
    <t>RER</t>
  </si>
  <si>
    <t>market for compressed air, 800 kPa gauge</t>
  </si>
  <si>
    <t>compressed air, 800 kPa gauge</t>
  </si>
  <si>
    <t>market for borax, anhydrous, powder</t>
  </si>
  <si>
    <t>borax, anhydrous, powder</t>
  </si>
  <si>
    <t>market for barite</t>
  </si>
  <si>
    <t>barite</t>
  </si>
  <si>
    <t>market for ammonia, anhydrous, liquid</t>
  </si>
  <si>
    <t>ammonia, anhydrous, liquid</t>
  </si>
  <si>
    <t>market for paraffin</t>
  </si>
  <si>
    <t>paraffin</t>
  </si>
  <si>
    <t>market for graphite</t>
  </si>
  <si>
    <t>graphite</t>
  </si>
  <si>
    <t>market for iron sulfate</t>
  </si>
  <si>
    <t>iron sulfate</t>
  </si>
  <si>
    <t>market for chlorine, gaseous</t>
  </si>
  <si>
    <t>chlorine, gaseous</t>
  </si>
  <si>
    <t>chemical production, inorganic</t>
  </si>
  <si>
    <t>market for polyacrylamide</t>
  </si>
  <si>
    <t>polyacrylamide</t>
  </si>
  <si>
    <t>market for sodium sulfide</t>
  </si>
  <si>
    <t>sodium sulfide</t>
  </si>
  <si>
    <t>market for sodium formate</t>
  </si>
  <si>
    <t>sodium formate</t>
  </si>
  <si>
    <t>market for dithiocarbamate-compound</t>
  </si>
  <si>
    <t>dithiocarbamate-compound</t>
  </si>
  <si>
    <t>market for sodium phosphate</t>
  </si>
  <si>
    <t>sodium phosphate</t>
  </si>
  <si>
    <t>market for wax, lost-wax casting</t>
  </si>
  <si>
    <t>wax, lost-wax casting</t>
  </si>
  <si>
    <t>market for hydrogen peroxide, without water, in 50% solution state</t>
  </si>
  <si>
    <t>hydrogen peroxide, without water, in 50% solution state</t>
  </si>
  <si>
    <t>treatment of waste paper, unsorted, sorting</t>
  </si>
  <si>
    <t>waste paper, sorted</t>
  </si>
  <si>
    <t>market for ferrous metal, in mixed metal scrap</t>
  </si>
  <si>
    <t>ferrous metal, in mixed metal scrap</t>
  </si>
  <si>
    <t>treatment of waste wood, untreated, municipal incineration</t>
  </si>
  <si>
    <t>waste wood, untreated</t>
  </si>
  <si>
    <t>treatment of waste mineral oil, hazardous waste incineration</t>
  </si>
  <si>
    <t>market for waste plastic, mixture</t>
  </si>
  <si>
    <t>waste plastic, mixture</t>
  </si>
  <si>
    <t>market for used Li-ion battery</t>
  </si>
  <si>
    <t>used Li-ion battery</t>
  </si>
  <si>
    <t>market for waste emulsion paint</t>
  </si>
  <si>
    <t>waste emulsion paint</t>
  </si>
  <si>
    <t>market for used fluorescent lamp</t>
  </si>
  <si>
    <t>used fluorescent lamp</t>
  </si>
  <si>
    <t>market for refinery sludge</t>
  </si>
  <si>
    <t>refinery sludge</t>
  </si>
  <si>
    <t>treatment of municipal solid waste, municipal incineration</t>
  </si>
  <si>
    <t>market for sulfur dioxide, liquid</t>
  </si>
  <si>
    <t>sulfur dioxide, liquid</t>
  </si>
  <si>
    <t>Dioxins, measured as 2,3,7,8-tetrachlorodibenzo-p-dioxin</t>
  </si>
  <si>
    <t>Ag recovery from Cu production in Sweden/Rönnskärsverken</t>
  </si>
  <si>
    <r>
      <t xml:space="preserve">Applied AF: "Cu concentrate" input = </t>
    </r>
    <r>
      <rPr>
        <b/>
        <sz val="11"/>
        <color theme="5"/>
        <rFont val="Calibri"/>
        <family val="2"/>
        <scheme val="minor"/>
      </rPr>
      <t>16.2%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</si>
  <si>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55.37% for Zn (1 kg refined), 12.61% for Pb (0.28 kg refined), </t>
    </r>
    <r>
      <rPr>
        <b/>
        <sz val="11"/>
        <color theme="5"/>
        <rFont val="Calibri"/>
        <family val="2"/>
        <scheme val="minor"/>
      </rPr>
      <t>28.81% for Ag (0.002 kg refined)</t>
    </r>
    <r>
      <rPr>
        <sz val="11"/>
        <color theme="5"/>
        <rFont val="Calibri"/>
        <family val="2"/>
        <scheme val="minor"/>
      </rPr>
      <t>, 0.01% for Bi (0.00006 kg refined), 0.62% for In (0.0001 kg refined) and 2.57% for Ge (0.00009 kg refined).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</si>
  <si>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28.81%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</si>
  <si>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45.7% for Cu (1 kg cathode), 0.02% for Cu (0.002 kg CuSO4), 0.5% for Ni (0.02 kg NiSO4), 30.6% for Au (0.00009 kg), </t>
    </r>
    <r>
      <rPr>
        <b/>
        <sz val="11"/>
        <color theme="5"/>
        <rFont val="Calibri"/>
        <family val="2"/>
        <scheme val="minor"/>
      </rPr>
      <t>16.2% for Ag (0.004 kg)</t>
    </r>
    <r>
      <rPr>
        <sz val="11"/>
        <color theme="5"/>
        <rFont val="Calibri"/>
        <family val="2"/>
        <scheme val="minor"/>
      </rPr>
      <t xml:space="preserve">, 0.03% for Te (0.0002 kg CuTe), 0.07% for Se (0.0004 kg), 4.3% for Zn (0.2 kg ZnO2), 2.4% for Pb (0.2 kg) and 0.06% for Fe (1.8 kg sand).
</t>
    </r>
    <r>
      <rPr>
        <sz val="11"/>
        <color rgb="FF7030A0"/>
        <rFont val="Calibri"/>
        <family val="2"/>
        <scheme val="minor"/>
      </rPr>
      <t>The co-produced sulfuric acid, sulfur dioxide, electricity and heat are dealt through substitution.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</si>
  <si>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</si>
  <si>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</si>
  <si>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</si>
  <si>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Silver (Ag)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</si>
  <si>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Ag global market</t>
  </si>
  <si>
    <t>Ag_Market_GLO</t>
  </si>
  <si>
    <t>PR1_Ag_CN_CuSlime</t>
  </si>
  <si>
    <t>PR2_Ag_AU</t>
  </si>
  <si>
    <t>PR3_Ag_SE_Pyro</t>
  </si>
  <si>
    <t>PR4_Ag_RoW</t>
  </si>
  <si>
    <t>Water, salt, ocean</t>
  </si>
  <si>
    <r>
      <rPr>
        <sz val="11"/>
        <color theme="8"/>
        <rFont val="Calibri"/>
        <family val="2"/>
        <scheme val="minor"/>
      </rPr>
      <t>An ecoinvent activity is here included to model the upstream anode slime production.</t>
    </r>
    <r>
      <rPr>
        <sz val="11"/>
        <color theme="5"/>
        <rFont val="Calibri"/>
        <family val="2"/>
        <scheme val="minor"/>
      </rPr>
      <t xml:space="preserve">
Applied AF: "Anode slime" input = </t>
    </r>
    <r>
      <rPr>
        <b/>
        <sz val="11"/>
        <color theme="5"/>
        <rFont val="Calibri"/>
        <family val="2"/>
        <scheme val="minor"/>
      </rPr>
      <t>22.2%</t>
    </r>
    <r>
      <rPr>
        <sz val="11"/>
        <color theme="5"/>
        <rFont val="Calibri"/>
        <family val="2"/>
        <scheme val="minor"/>
      </rPr>
      <t>.</t>
    </r>
  </si>
  <si>
    <t>market for anode slime from electrorefining of copper, anode</t>
  </si>
  <si>
    <t>anode slime from electrorefining of copper, anode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</si>
</sst>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2" borderId="0" xfId="0" applyFill="1" applyAlignment="1">
      <alignment horizontal="left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10" fillId="0" borderId="4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10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15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8"/>
  <sheetViews>
    <sheetView showGridLines="0" workbookViewId="0">
      <selection activeCell="B2" sqref="B2:Q31"/>
    </sheetView>
  </sheetViews>
  <sheetFormatPr baseColWidth="10" defaultRowHeight="14.5" x14ac:dyDescent="0.35"/>
  <cols>
    <col min="1" max="1" width="1.81640625" customWidth="1"/>
    <col min="2" max="2" width="31.81640625" bestFit="1" customWidth="1"/>
  </cols>
  <sheetData>
    <row r="1" spans="1:17" ht="15" thickBot="1" x14ac:dyDescent="0.4">
      <c r="A1" t="s">
        <v>225</v>
      </c>
    </row>
    <row r="2" spans="1:17" ht="15" customHeight="1" x14ac:dyDescent="0.35">
      <c r="B2" s="32" t="s">
        <v>228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1:17" x14ac:dyDescent="0.3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1:17" x14ac:dyDescent="0.3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1:17" x14ac:dyDescent="0.3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1:17" x14ac:dyDescent="0.3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7"/>
    </row>
    <row r="7" spans="1:17" x14ac:dyDescent="0.35"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7"/>
    </row>
    <row r="8" spans="1:17" x14ac:dyDescent="0.35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</row>
    <row r="9" spans="1:17" x14ac:dyDescent="0.35"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</row>
    <row r="10" spans="1:17" x14ac:dyDescent="0.35"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/>
    </row>
    <row r="11" spans="1:17" x14ac:dyDescent="0.35"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7"/>
    </row>
    <row r="12" spans="1:17" x14ac:dyDescent="0.35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7"/>
    </row>
    <row r="13" spans="1:17" x14ac:dyDescent="0.35"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7"/>
    </row>
    <row r="14" spans="1:17" x14ac:dyDescent="0.35"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</row>
    <row r="15" spans="1:17" x14ac:dyDescent="0.35"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</row>
    <row r="16" spans="1:17" x14ac:dyDescent="0.35"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</row>
    <row r="17" spans="2:17" x14ac:dyDescent="0.35"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</row>
    <row r="18" spans="2:17" x14ac:dyDescent="0.35"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</row>
    <row r="19" spans="2:17" x14ac:dyDescent="0.35"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</row>
    <row r="20" spans="2:17" x14ac:dyDescent="0.3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</row>
    <row r="21" spans="2:17" x14ac:dyDescent="0.35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</row>
    <row r="22" spans="2:17" x14ac:dyDescent="0.35"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7"/>
    </row>
    <row r="23" spans="2:17" x14ac:dyDescent="0.35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7"/>
    </row>
    <row r="24" spans="2:17" ht="15" customHeight="1" x14ac:dyDescent="0.35"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7"/>
    </row>
    <row r="25" spans="2:17" x14ac:dyDescent="0.35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7"/>
    </row>
    <row r="26" spans="2:17" x14ac:dyDescent="0.35"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7"/>
    </row>
    <row r="27" spans="2:17" x14ac:dyDescent="0.35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7"/>
    </row>
    <row r="28" spans="2:17" x14ac:dyDescent="0.35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</row>
    <row r="29" spans="2:17" x14ac:dyDescent="0.35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/>
    </row>
    <row r="30" spans="2:17" x14ac:dyDescent="0.35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/>
    </row>
    <row r="31" spans="2:17" ht="15" thickBot="1" x14ac:dyDescent="0.4"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40"/>
    </row>
    <row r="32" spans="2:17" ht="15" thickBot="1" x14ac:dyDescent="0.4"/>
    <row r="33" spans="2:11" x14ac:dyDescent="0.35">
      <c r="B33" s="20" t="s">
        <v>226</v>
      </c>
      <c r="C33" s="21" t="s">
        <v>227</v>
      </c>
      <c r="D33" s="22"/>
      <c r="E33" s="22"/>
      <c r="F33" s="22"/>
      <c r="G33" s="22"/>
      <c r="H33" s="22"/>
      <c r="I33" s="22"/>
      <c r="J33" s="22"/>
      <c r="K33" s="23"/>
    </row>
    <row r="34" spans="2:11" x14ac:dyDescent="0.35">
      <c r="B34" s="24" t="s">
        <v>230</v>
      </c>
      <c r="C34" s="10" t="s">
        <v>229</v>
      </c>
      <c r="D34" s="25"/>
      <c r="E34" s="25"/>
      <c r="F34" s="25"/>
      <c r="G34" s="25"/>
      <c r="H34" s="25"/>
      <c r="I34" s="25"/>
      <c r="J34" s="25"/>
      <c r="K34" s="26"/>
    </row>
    <row r="35" spans="2:11" x14ac:dyDescent="0.35">
      <c r="B35" s="24" t="s">
        <v>231</v>
      </c>
      <c r="C35" s="10" t="s">
        <v>126</v>
      </c>
      <c r="D35" s="25"/>
      <c r="E35" s="25"/>
      <c r="F35" s="25"/>
      <c r="G35" s="25"/>
      <c r="H35" s="25"/>
      <c r="I35" s="25"/>
      <c r="J35" s="25"/>
      <c r="K35" s="26"/>
    </row>
    <row r="36" spans="2:11" x14ac:dyDescent="0.35">
      <c r="B36" s="24" t="s">
        <v>232</v>
      </c>
      <c r="C36" s="10" t="s">
        <v>112</v>
      </c>
      <c r="D36" s="25"/>
      <c r="E36" s="25"/>
      <c r="F36" s="25"/>
      <c r="G36" s="25"/>
      <c r="H36" s="25"/>
      <c r="I36" s="25"/>
      <c r="J36" s="25"/>
      <c r="K36" s="26"/>
    </row>
    <row r="37" spans="2:11" x14ac:dyDescent="0.35">
      <c r="B37" s="24" t="s">
        <v>233</v>
      </c>
      <c r="C37" s="10" t="s">
        <v>220</v>
      </c>
      <c r="D37" s="25"/>
      <c r="E37" s="25"/>
      <c r="F37" s="25"/>
      <c r="G37" s="25"/>
      <c r="H37" s="25"/>
      <c r="I37" s="25"/>
      <c r="J37" s="25"/>
      <c r="K37" s="26"/>
    </row>
    <row r="38" spans="2:11" ht="15" thickBot="1" x14ac:dyDescent="0.4">
      <c r="B38" s="27" t="s">
        <v>234</v>
      </c>
      <c r="C38" s="28" t="s">
        <v>91</v>
      </c>
      <c r="D38" s="29"/>
      <c r="E38" s="29"/>
      <c r="F38" s="29"/>
      <c r="G38" s="29"/>
      <c r="H38" s="29"/>
      <c r="I38" s="29"/>
      <c r="J38" s="29"/>
      <c r="K38" s="30"/>
    </row>
  </sheetData>
  <mergeCells count="1">
    <mergeCell ref="B2:Q31"/>
  </mergeCells>
  <hyperlinks>
    <hyperlink ref="B34" location="Ag_Market_GLO!A1" display="Ag_Market_GLO" xr:uid="{4AB162BF-F7C5-40D2-BAEE-1B47E7514B17}"/>
    <hyperlink ref="B35" location="PR1_Ag_CN_CuSlime!A1" display="PR1_Ag_CN_CuSlime" xr:uid="{9AA2CEDA-5352-48E0-ABE8-C7659647FE97}"/>
    <hyperlink ref="B36" location="PR2_Ag_AU!A1" display="PR2_Ag_AU" xr:uid="{BEC0CB4D-EBB9-481E-B33C-6003CA99898C}"/>
    <hyperlink ref="B37" location="PR3_Ag_SE_Pyro!A1" display="PR3_Ag_SE_Pyro" xr:uid="{2D4EC38C-177C-4352-B382-8B543E123878}"/>
    <hyperlink ref="B38" location="PR4_Ag_RoW!A1" display="PR4_Ag_RoW" xr:uid="{43F0A263-D24A-4492-BE8E-3FFFC5386E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3F53-79B7-4F8D-93EC-90A8F18C3E62}">
  <sheetPr>
    <tabColor theme="8" tint="0.39997558519241921"/>
  </sheetPr>
  <dimension ref="A1:N22"/>
  <sheetViews>
    <sheetView zoomScaleNormal="100" workbookViewId="0">
      <selection activeCell="D14" sqref="D14"/>
    </sheetView>
  </sheetViews>
  <sheetFormatPr baseColWidth="10" defaultRowHeight="14.5" x14ac:dyDescent="0.35"/>
  <cols>
    <col min="1" max="1" width="88.1796875" bestFit="1" customWidth="1"/>
    <col min="2" max="2" width="25.81640625" bestFit="1" customWidth="1"/>
    <col min="3" max="3" width="8.1796875" bestFit="1" customWidth="1"/>
    <col min="4" max="4" width="12" bestFit="1" customWidth="1"/>
    <col min="5" max="5" width="8.7265625" bestFit="1" customWidth="1"/>
    <col min="6" max="6" width="9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11</v>
      </c>
      <c r="B1" s="4" t="s">
        <v>73</v>
      </c>
    </row>
    <row r="2" spans="1:14" s="5" customFormat="1" x14ac:dyDescent="0.35"/>
    <row r="3" spans="1:14" x14ac:dyDescent="0.35">
      <c r="A3" s="6" t="s">
        <v>0</v>
      </c>
      <c r="B3" s="2" t="s">
        <v>92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1" t="s">
        <v>90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1" t="s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5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3" t="s">
        <v>6</v>
      </c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3" t="s">
        <v>8</v>
      </c>
      <c r="B8" s="1" t="s">
        <v>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10</v>
      </c>
      <c r="B10" s="6" t="s">
        <v>1</v>
      </c>
      <c r="C10" s="6" t="s">
        <v>3</v>
      </c>
      <c r="D10" s="6" t="s">
        <v>5</v>
      </c>
      <c r="E10" s="6" t="s">
        <v>6</v>
      </c>
      <c r="F10" s="6" t="s">
        <v>11</v>
      </c>
      <c r="G10" s="6" t="s">
        <v>12</v>
      </c>
      <c r="H10" s="6" t="s">
        <v>13</v>
      </c>
      <c r="I10" s="6" t="s">
        <v>14</v>
      </c>
      <c r="J10" s="6" t="s">
        <v>15</v>
      </c>
      <c r="K10" s="6" t="s">
        <v>16</v>
      </c>
      <c r="L10" s="6" t="s">
        <v>17</v>
      </c>
      <c r="M10" s="6" t="s">
        <v>18</v>
      </c>
      <c r="N10" s="6" t="s">
        <v>19</v>
      </c>
    </row>
    <row r="11" spans="1:14" x14ac:dyDescent="0.35">
      <c r="A11" t="str">
        <f>B3</f>
        <v>Silver (Ag) global market</v>
      </c>
      <c r="B11" t="str">
        <f>B4</f>
        <v>Refined Ag</v>
      </c>
      <c r="C11" t="str">
        <f>B5</f>
        <v>GLO</v>
      </c>
      <c r="D11" s="1">
        <v>1</v>
      </c>
      <c r="E11" s="1" t="str">
        <f>B7</f>
        <v>kilogram</v>
      </c>
      <c r="F11" s="4" t="str">
        <f>B1</f>
        <v>Silver</v>
      </c>
      <c r="G11" s="1" t="s">
        <v>20</v>
      </c>
    </row>
    <row r="12" spans="1:14" s="1" customFormat="1" x14ac:dyDescent="0.35">
      <c r="A12" s="1" t="str">
        <f>PR1_Ag_CN_CuSlime!A31</f>
        <v>Ag production in China through Cu anode slime processing</v>
      </c>
      <c r="B12" s="1" t="str">
        <f>PR1_Ag_CN_CuSlime!B31</f>
        <v>Refined Ag</v>
      </c>
      <c r="C12" s="1" t="str">
        <f>PR1_Ag_CN_CuSlime!C31</f>
        <v>CN</v>
      </c>
      <c r="D12" s="1">
        <v>0.31062170222528102</v>
      </c>
      <c r="E12" s="1" t="str">
        <f>PR1_Ag_CN_CuSlime!E31</f>
        <v>kilogram</v>
      </c>
      <c r="F12" s="4" t="str">
        <f>PR1_Ag_CN_CuSlime!F31</f>
        <v>Silver</v>
      </c>
      <c r="G12" s="10" t="s">
        <v>25</v>
      </c>
    </row>
    <row r="13" spans="1:14" s="1" customFormat="1" x14ac:dyDescent="0.35">
      <c r="A13" s="1" t="str">
        <f>PR2_Ag_AU!A31</f>
        <v>Ag recovery from Au production in Australia</v>
      </c>
      <c r="B13" s="1" t="str">
        <f>PR2_Ag_AU!B31</f>
        <v>Refined Ag</v>
      </c>
      <c r="C13" s="1" t="str">
        <f>PR2_Ag_AU!C31</f>
        <v>AU</v>
      </c>
      <c r="D13" s="1">
        <v>0.11768754301445285</v>
      </c>
      <c r="E13" s="1" t="str">
        <f>PR2_Ag_AU!E31</f>
        <v>kilogram</v>
      </c>
      <c r="F13" s="4" t="str">
        <f>PR2_Ag_AU!F31</f>
        <v>Silver</v>
      </c>
      <c r="G13" s="10" t="s">
        <v>25</v>
      </c>
    </row>
    <row r="14" spans="1:14" s="1" customFormat="1" x14ac:dyDescent="0.35">
      <c r="A14" s="1" t="str">
        <f>PR3_Ag_SE_Pyro!A142</f>
        <v>Ag recovery from Cu production in Sweden/Rönnskärsverken</v>
      </c>
      <c r="B14" s="1" t="str">
        <f>PR3_Ag_SE_Pyro!B142</f>
        <v>Refined Ag</v>
      </c>
      <c r="C14" s="1" t="str">
        <f>PR3_Ag_SE_Pyro!C142</f>
        <v>SE</v>
      </c>
      <c r="D14" s="1">
        <v>3.7852718513420508E-2</v>
      </c>
      <c r="E14" s="1" t="str">
        <f>PR3_Ag_SE_Pyro!E142</f>
        <v>kilogram</v>
      </c>
      <c r="F14" s="4" t="str">
        <f>PR3_Ag_SE_Pyro!F142</f>
        <v>Silver</v>
      </c>
      <c r="G14" s="10" t="s">
        <v>25</v>
      </c>
    </row>
    <row r="15" spans="1:14" s="1" customFormat="1" x14ac:dyDescent="0.35">
      <c r="A15" s="1" t="str">
        <f>PR4_Ag_RoW!A55</f>
        <v>Ag recovery from Pb/Zn production in Canada/Peru/Chile/the US</v>
      </c>
      <c r="B15" s="1" t="str">
        <f>PR4_Ag_RoW!B55</f>
        <v>Refined Ag</v>
      </c>
      <c r="C15" s="1" t="str">
        <f>PR4_Ag_RoW!C55</f>
        <v>RoW</v>
      </c>
      <c r="D15" s="1">
        <v>0.53383803624684567</v>
      </c>
      <c r="E15" s="1" t="str">
        <f>PR4_Ag_RoW!E55</f>
        <v>kilogram</v>
      </c>
      <c r="F15" s="4" t="str">
        <f>PR4_Ag_RoW!F55</f>
        <v>Silver</v>
      </c>
      <c r="G15" s="10" t="s">
        <v>25</v>
      </c>
    </row>
    <row r="16" spans="1:14" s="1" customFormat="1" x14ac:dyDescent="0.35">
      <c r="F16" s="4"/>
    </row>
    <row r="17" spans="6:6" s="1" customFormat="1" x14ac:dyDescent="0.35">
      <c r="F17" s="4"/>
    </row>
    <row r="18" spans="6:6" s="1" customFormat="1" x14ac:dyDescent="0.35">
      <c r="F18" s="4"/>
    </row>
    <row r="19" spans="6:6" s="1" customFormat="1" x14ac:dyDescent="0.35">
      <c r="F19" s="4"/>
    </row>
    <row r="20" spans="6:6" s="1" customFormat="1" x14ac:dyDescent="0.35">
      <c r="F20" s="4"/>
    </row>
    <row r="21" spans="6:6" s="1" customFormat="1" x14ac:dyDescent="0.35">
      <c r="F21" s="4"/>
    </row>
    <row r="22" spans="6:6" s="1" customFormat="1" x14ac:dyDescent="0.35">
      <c r="F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C00-0404-4934-B7EB-C0052890E4EA}">
  <sheetPr>
    <tabColor theme="8" tint="0.39997558519241921"/>
  </sheetPr>
  <dimension ref="A1:N33"/>
  <sheetViews>
    <sheetView workbookViewId="0">
      <selection activeCell="B6" sqref="B6"/>
    </sheetView>
  </sheetViews>
  <sheetFormatPr baseColWidth="10" defaultColWidth="9.1796875" defaultRowHeight="14.5" x14ac:dyDescent="0.35"/>
  <cols>
    <col min="1" max="1" width="60.81640625" style="10" bestFit="1" customWidth="1"/>
    <col min="2" max="2" width="61.54296875" style="10" customWidth="1"/>
    <col min="3" max="3" width="8.1796875" style="10" bestFit="1" customWidth="1"/>
    <col min="4" max="4" width="12.7265625" style="10" bestFit="1" customWidth="1"/>
    <col min="5" max="5" width="12.81640625" style="10" bestFit="1" customWidth="1"/>
    <col min="6" max="6" width="19.7265625" style="10" bestFit="1" customWidth="1"/>
    <col min="7" max="7" width="13.26953125" style="10" bestFit="1" customWidth="1"/>
    <col min="8" max="8" width="25.2695312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9.1796875" style="10"/>
  </cols>
  <sheetData>
    <row r="1" spans="1:14" x14ac:dyDescent="0.35">
      <c r="A1" s="8" t="s">
        <v>0</v>
      </c>
      <c r="B1" s="9" t="s">
        <v>113</v>
      </c>
    </row>
    <row r="2" spans="1:14" x14ac:dyDescent="0.35">
      <c r="A2" s="11" t="s">
        <v>1</v>
      </c>
      <c r="B2" s="10" t="s">
        <v>90</v>
      </c>
    </row>
    <row r="3" spans="1:14" x14ac:dyDescent="0.35">
      <c r="A3" s="11" t="s">
        <v>3</v>
      </c>
      <c r="B3" s="10" t="s">
        <v>4</v>
      </c>
    </row>
    <row r="4" spans="1:14" x14ac:dyDescent="0.35">
      <c r="A4" s="11" t="s">
        <v>5</v>
      </c>
      <c r="B4" s="10">
        <v>1</v>
      </c>
    </row>
    <row r="5" spans="1:14" x14ac:dyDescent="0.35">
      <c r="A5" s="11" t="s">
        <v>6</v>
      </c>
      <c r="B5" s="10" t="s">
        <v>7</v>
      </c>
    </row>
    <row r="6" spans="1:14" ht="43.5" x14ac:dyDescent="0.35">
      <c r="A6" s="11" t="s">
        <v>8</v>
      </c>
      <c r="B6" s="17" t="s">
        <v>114</v>
      </c>
    </row>
    <row r="7" spans="1:14" x14ac:dyDescent="0.35">
      <c r="A7" s="11" t="s">
        <v>9</v>
      </c>
    </row>
    <row r="8" spans="1:14" x14ac:dyDescent="0.35">
      <c r="A8" s="8" t="s">
        <v>10</v>
      </c>
      <c r="B8" s="8" t="s">
        <v>1</v>
      </c>
      <c r="C8" s="8" t="s">
        <v>3</v>
      </c>
      <c r="D8" s="8" t="s">
        <v>5</v>
      </c>
      <c r="E8" s="8" t="s">
        <v>6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8" t="s">
        <v>16</v>
      </c>
      <c r="L8" s="8" t="s">
        <v>17</v>
      </c>
      <c r="M8" s="8" t="s">
        <v>18</v>
      </c>
      <c r="N8" s="8" t="s">
        <v>19</v>
      </c>
    </row>
    <row r="9" spans="1:14" x14ac:dyDescent="0.35">
      <c r="A9" s="10" t="str">
        <f>B1</f>
        <v>[P+R] Silver (Ag) production (from anode slime)</v>
      </c>
      <c r="B9" s="10" t="str">
        <f>B2</f>
        <v>Refined Ag</v>
      </c>
      <c r="C9" s="10" t="str">
        <f>B3</f>
        <v>CN</v>
      </c>
      <c r="D9" s="10">
        <v>1</v>
      </c>
      <c r="E9" s="10" t="s">
        <v>7</v>
      </c>
      <c r="F9" s="13" t="str">
        <f>Ag_Market_GLO!B1</f>
        <v>Silver</v>
      </c>
      <c r="G9" s="10" t="s">
        <v>20</v>
      </c>
    </row>
    <row r="10" spans="1:14" x14ac:dyDescent="0.35">
      <c r="A10" s="10" t="s">
        <v>65</v>
      </c>
      <c r="B10" s="10" t="s">
        <v>66</v>
      </c>
      <c r="C10" s="10" t="s">
        <v>28</v>
      </c>
      <c r="D10" s="14">
        <v>0.23209175188125494</v>
      </c>
      <c r="E10" s="10" t="s">
        <v>7</v>
      </c>
      <c r="F10" s="10" t="s">
        <v>24</v>
      </c>
      <c r="G10" s="10" t="s">
        <v>25</v>
      </c>
      <c r="J10" s="10" t="s">
        <v>115</v>
      </c>
    </row>
    <row r="11" spans="1:14" x14ac:dyDescent="0.35">
      <c r="A11" s="10" t="s">
        <v>80</v>
      </c>
      <c r="B11" s="10" t="s">
        <v>81</v>
      </c>
      <c r="C11" s="10" t="s">
        <v>23</v>
      </c>
      <c r="D11" s="14">
        <v>0.28692211022574127</v>
      </c>
      <c r="E11" s="10" t="s">
        <v>7</v>
      </c>
      <c r="F11" s="10" t="s">
        <v>24</v>
      </c>
      <c r="G11" s="10" t="s">
        <v>25</v>
      </c>
      <c r="J11" s="10" t="s">
        <v>115</v>
      </c>
    </row>
    <row r="12" spans="1:14" x14ac:dyDescent="0.35">
      <c r="A12" s="10" t="s">
        <v>116</v>
      </c>
      <c r="B12" s="10" t="s">
        <v>117</v>
      </c>
      <c r="C12" s="10" t="s">
        <v>23</v>
      </c>
      <c r="D12" s="14">
        <v>0.32798629954143033</v>
      </c>
      <c r="E12" s="10" t="s">
        <v>7</v>
      </c>
      <c r="F12" s="10" t="s">
        <v>24</v>
      </c>
      <c r="G12" s="10" t="s">
        <v>25</v>
      </c>
      <c r="J12" s="10" t="s">
        <v>115</v>
      </c>
    </row>
    <row r="13" spans="1:14" x14ac:dyDescent="0.35">
      <c r="A13" s="10" t="s">
        <v>101</v>
      </c>
      <c r="B13" s="10" t="s">
        <v>102</v>
      </c>
      <c r="C13" s="10" t="s">
        <v>28</v>
      </c>
      <c r="D13" s="14">
        <v>4.1980957593564208</v>
      </c>
      <c r="E13" s="10" t="s">
        <v>7</v>
      </c>
      <c r="F13" s="10" t="s">
        <v>24</v>
      </c>
      <c r="G13" s="10" t="s">
        <v>25</v>
      </c>
      <c r="J13" s="10" t="s">
        <v>115</v>
      </c>
    </row>
    <row r="14" spans="1:14" x14ac:dyDescent="0.35">
      <c r="A14" s="10" t="s">
        <v>105</v>
      </c>
      <c r="B14" s="10" t="s">
        <v>106</v>
      </c>
      <c r="C14" s="10" t="s">
        <v>28</v>
      </c>
      <c r="D14" s="14">
        <v>0.18932875872796973</v>
      </c>
      <c r="E14" s="10" t="s">
        <v>7</v>
      </c>
      <c r="F14" s="10" t="s">
        <v>24</v>
      </c>
      <c r="G14" s="10" t="s">
        <v>25</v>
      </c>
      <c r="J14" s="10" t="s">
        <v>115</v>
      </c>
    </row>
    <row r="15" spans="1:14" x14ac:dyDescent="0.35">
      <c r="A15" s="10" t="s">
        <v>118</v>
      </c>
      <c r="B15" s="10" t="s">
        <v>119</v>
      </c>
      <c r="C15" s="10" t="s">
        <v>28</v>
      </c>
      <c r="D15" s="14">
        <v>4.9851105717048969E-2</v>
      </c>
      <c r="E15" s="10" t="s">
        <v>7</v>
      </c>
      <c r="F15" s="10" t="s">
        <v>24</v>
      </c>
      <c r="G15" s="10" t="s">
        <v>25</v>
      </c>
      <c r="J15" s="10" t="s">
        <v>115</v>
      </c>
    </row>
    <row r="16" spans="1:14" x14ac:dyDescent="0.35">
      <c r="A16" s="10" t="s">
        <v>120</v>
      </c>
      <c r="B16" s="10" t="s">
        <v>121</v>
      </c>
      <c r="C16" s="10" t="s">
        <v>28</v>
      </c>
      <c r="D16" s="14">
        <v>9.9585052548746434E-3</v>
      </c>
      <c r="E16" s="10" t="s">
        <v>7</v>
      </c>
      <c r="F16" s="10" t="s">
        <v>24</v>
      </c>
      <c r="G16" s="10" t="s">
        <v>25</v>
      </c>
      <c r="J16" s="10" t="s">
        <v>115</v>
      </c>
    </row>
    <row r="17" spans="1:14" x14ac:dyDescent="0.35">
      <c r="A17" s="10" t="s">
        <v>122</v>
      </c>
      <c r="B17" s="10" t="s">
        <v>123</v>
      </c>
      <c r="C17" s="10" t="s">
        <v>23</v>
      </c>
      <c r="D17" s="14">
        <v>3.5147665605439926E-4</v>
      </c>
      <c r="E17" s="10" t="s">
        <v>7</v>
      </c>
      <c r="F17" s="10" t="s">
        <v>24</v>
      </c>
      <c r="G17" s="10" t="s">
        <v>25</v>
      </c>
      <c r="J17" s="10" t="s">
        <v>115</v>
      </c>
    </row>
    <row r="18" spans="1:14" x14ac:dyDescent="0.35">
      <c r="A18" s="10" t="s">
        <v>32</v>
      </c>
      <c r="B18" s="10" t="s">
        <v>33</v>
      </c>
      <c r="C18" s="10" t="s">
        <v>4</v>
      </c>
      <c r="D18" s="14">
        <v>18.427921076932158</v>
      </c>
      <c r="E18" s="10" t="s">
        <v>34</v>
      </c>
      <c r="F18" s="10" t="s">
        <v>24</v>
      </c>
      <c r="G18" s="10" t="s">
        <v>25</v>
      </c>
      <c r="J18" s="10" t="s">
        <v>115</v>
      </c>
    </row>
    <row r="19" spans="1:14" x14ac:dyDescent="0.35">
      <c r="A19" s="10" t="s">
        <v>124</v>
      </c>
      <c r="B19" s="10" t="s">
        <v>125</v>
      </c>
      <c r="C19" s="10" t="s">
        <v>23</v>
      </c>
      <c r="D19" s="14">
        <v>-2.8138635289288456</v>
      </c>
      <c r="E19" s="10" t="s">
        <v>7</v>
      </c>
      <c r="F19" s="10" t="s">
        <v>24</v>
      </c>
      <c r="G19" s="10" t="s">
        <v>25</v>
      </c>
      <c r="J19" s="10" t="s">
        <v>115</v>
      </c>
    </row>
    <row r="20" spans="1:14" x14ac:dyDescent="0.35">
      <c r="A20" s="10" t="s">
        <v>40</v>
      </c>
      <c r="D20" s="14">
        <v>6.712091121228188E-3</v>
      </c>
      <c r="E20" s="10" t="s">
        <v>35</v>
      </c>
      <c r="F20" s="10" t="s">
        <v>37</v>
      </c>
      <c r="G20" s="10" t="s">
        <v>38</v>
      </c>
      <c r="H20" s="10" t="s">
        <v>39</v>
      </c>
      <c r="J20" s="10" t="s">
        <v>115</v>
      </c>
    </row>
    <row r="21" spans="1:14" x14ac:dyDescent="0.35">
      <c r="A21" s="10" t="s">
        <v>85</v>
      </c>
      <c r="D21" s="14">
        <v>6.5607804207967693</v>
      </c>
      <c r="E21" s="10" t="s">
        <v>7</v>
      </c>
      <c r="F21" s="10" t="s">
        <v>37</v>
      </c>
      <c r="G21" s="10" t="s">
        <v>38</v>
      </c>
      <c r="H21" s="10" t="s">
        <v>46</v>
      </c>
      <c r="J21" s="10" t="s">
        <v>115</v>
      </c>
    </row>
    <row r="22" spans="1:14" s="7" customFormat="1" x14ac:dyDescent="0.35"/>
    <row r="23" spans="1:14" x14ac:dyDescent="0.35">
      <c r="A23" s="8" t="s">
        <v>0</v>
      </c>
      <c r="B23" s="8" t="s">
        <v>126</v>
      </c>
    </row>
    <row r="24" spans="1:14" x14ac:dyDescent="0.35">
      <c r="A24" s="11" t="s">
        <v>1</v>
      </c>
      <c r="B24" s="10" t="s">
        <v>90</v>
      </c>
    </row>
    <row r="25" spans="1:14" x14ac:dyDescent="0.35">
      <c r="A25" s="11" t="s">
        <v>3</v>
      </c>
      <c r="B25" s="10" t="s">
        <v>4</v>
      </c>
    </row>
    <row r="26" spans="1:14" x14ac:dyDescent="0.35">
      <c r="A26" s="11" t="s">
        <v>5</v>
      </c>
      <c r="B26" s="10">
        <v>1</v>
      </c>
    </row>
    <row r="27" spans="1:14" x14ac:dyDescent="0.35">
      <c r="A27" s="11" t="s">
        <v>6</v>
      </c>
      <c r="B27" s="10" t="s">
        <v>7</v>
      </c>
    </row>
    <row r="28" spans="1:14" ht="43.5" x14ac:dyDescent="0.35">
      <c r="A28" s="11" t="s">
        <v>8</v>
      </c>
      <c r="B28" s="17" t="s">
        <v>236</v>
      </c>
    </row>
    <row r="29" spans="1:14" x14ac:dyDescent="0.35">
      <c r="A29" s="11" t="s">
        <v>9</v>
      </c>
    </row>
    <row r="30" spans="1:14" x14ac:dyDescent="0.35">
      <c r="A30" s="8" t="s">
        <v>10</v>
      </c>
      <c r="B30" s="8" t="s">
        <v>1</v>
      </c>
      <c r="C30" s="8" t="s">
        <v>3</v>
      </c>
      <c r="D30" s="8" t="s">
        <v>5</v>
      </c>
      <c r="E30" s="8" t="s">
        <v>6</v>
      </c>
      <c r="F30" s="8" t="s">
        <v>11</v>
      </c>
      <c r="G30" s="8" t="s">
        <v>12</v>
      </c>
      <c r="H30" s="8" t="s">
        <v>13</v>
      </c>
      <c r="I30" s="8" t="s">
        <v>14</v>
      </c>
      <c r="J30" s="8" t="s">
        <v>15</v>
      </c>
      <c r="K30" s="8" t="s">
        <v>16</v>
      </c>
      <c r="L30" s="8" t="s">
        <v>17</v>
      </c>
      <c r="M30" s="8" t="s">
        <v>18</v>
      </c>
      <c r="N30" s="8" t="s">
        <v>19</v>
      </c>
    </row>
    <row r="31" spans="1:14" x14ac:dyDescent="0.35">
      <c r="A31" s="10" t="str">
        <f>B23</f>
        <v>Ag production in China through Cu anode slime processing</v>
      </c>
      <c r="B31" s="10" t="str">
        <f>B24</f>
        <v>Refined Ag</v>
      </c>
      <c r="C31" s="10" t="str">
        <f>B25</f>
        <v>CN</v>
      </c>
      <c r="D31" s="10">
        <v>1</v>
      </c>
      <c r="E31" s="10" t="s">
        <v>7</v>
      </c>
      <c r="F31" s="13" t="str">
        <f>F9</f>
        <v>Silver</v>
      </c>
      <c r="G31" s="10" t="s">
        <v>20</v>
      </c>
    </row>
    <row r="32" spans="1:14" x14ac:dyDescent="0.35">
      <c r="A32" s="10" t="str">
        <f>A9</f>
        <v>[P+R] Silver (Ag) production (from anode slime)</v>
      </c>
      <c r="B32" s="10" t="str">
        <f>B9</f>
        <v>Refined Ag</v>
      </c>
      <c r="C32" s="10" t="str">
        <f>C9</f>
        <v>CN</v>
      </c>
      <c r="D32" s="10">
        <v>1</v>
      </c>
      <c r="E32" s="10" t="str">
        <f>E9</f>
        <v>kilogram</v>
      </c>
      <c r="F32" s="13" t="str">
        <f>F9</f>
        <v>Silver</v>
      </c>
      <c r="G32" s="10" t="s">
        <v>25</v>
      </c>
    </row>
    <row r="33" spans="1:7" x14ac:dyDescent="0.35">
      <c r="A33" s="31" t="s">
        <v>237</v>
      </c>
      <c r="B33" s="31" t="s">
        <v>238</v>
      </c>
      <c r="C33" s="31" t="s">
        <v>23</v>
      </c>
      <c r="D33" s="14">
        <v>5.8579442675733215</v>
      </c>
      <c r="E33" s="31" t="s">
        <v>7</v>
      </c>
      <c r="F33" s="31" t="s">
        <v>24</v>
      </c>
      <c r="G33" s="3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7C35-DB1F-45AF-85B9-5118ED43215D}">
  <sheetPr>
    <tabColor theme="8" tint="0.39997558519241921"/>
  </sheetPr>
  <dimension ref="A1:N32"/>
  <sheetViews>
    <sheetView workbookViewId="0"/>
  </sheetViews>
  <sheetFormatPr baseColWidth="10" defaultColWidth="9.1796875" defaultRowHeight="14.5" x14ac:dyDescent="0.35"/>
  <cols>
    <col min="1" max="1" width="60.81640625" style="10" bestFit="1" customWidth="1"/>
    <col min="2" max="2" width="55.54296875" style="10" customWidth="1"/>
    <col min="3" max="3" width="8.1796875" style="10" bestFit="1" customWidth="1"/>
    <col min="4" max="4" width="12" style="10" bestFit="1" customWidth="1"/>
    <col min="5" max="5" width="12.81640625" style="10" bestFit="1" customWidth="1"/>
    <col min="6" max="6" width="19.7265625" style="10" bestFit="1" customWidth="1"/>
    <col min="7" max="7" width="13.26953125" style="10" bestFit="1" customWidth="1"/>
    <col min="8" max="8" width="10.179687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9.1796875" style="10"/>
  </cols>
  <sheetData>
    <row r="1" spans="1:14" x14ac:dyDescent="0.35">
      <c r="A1" s="8" t="s">
        <v>0</v>
      </c>
      <c r="B1" s="9" t="s">
        <v>93</v>
      </c>
    </row>
    <row r="2" spans="1:14" x14ac:dyDescent="0.35">
      <c r="A2" s="11" t="s">
        <v>1</v>
      </c>
      <c r="B2" s="10" t="s">
        <v>90</v>
      </c>
    </row>
    <row r="3" spans="1:14" x14ac:dyDescent="0.35">
      <c r="A3" s="11" t="s">
        <v>3</v>
      </c>
      <c r="B3" s="10" t="s">
        <v>94</v>
      </c>
    </row>
    <row r="4" spans="1:14" x14ac:dyDescent="0.35">
      <c r="A4" s="11" t="s">
        <v>5</v>
      </c>
      <c r="B4" s="10">
        <v>1</v>
      </c>
    </row>
    <row r="5" spans="1:14" x14ac:dyDescent="0.35">
      <c r="A5" s="11" t="s">
        <v>6</v>
      </c>
      <c r="B5" s="10" t="s">
        <v>7</v>
      </c>
    </row>
    <row r="6" spans="1:14" ht="43.5" x14ac:dyDescent="0.35">
      <c r="A6" s="11" t="s">
        <v>8</v>
      </c>
      <c r="B6" s="12" t="s">
        <v>95</v>
      </c>
    </row>
    <row r="7" spans="1:14" x14ac:dyDescent="0.35">
      <c r="A7" s="11" t="s">
        <v>9</v>
      </c>
    </row>
    <row r="8" spans="1:14" x14ac:dyDescent="0.35">
      <c r="A8" s="8" t="s">
        <v>10</v>
      </c>
      <c r="B8" s="8" t="s">
        <v>1</v>
      </c>
      <c r="C8" s="8" t="s">
        <v>3</v>
      </c>
      <c r="D8" s="8" t="s">
        <v>5</v>
      </c>
      <c r="E8" s="8" t="s">
        <v>6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8" t="s">
        <v>16</v>
      </c>
      <c r="L8" s="8" t="s">
        <v>17</v>
      </c>
      <c r="M8" s="8" t="s">
        <v>18</v>
      </c>
      <c r="N8" s="8" t="s">
        <v>19</v>
      </c>
    </row>
    <row r="9" spans="1:14" x14ac:dyDescent="0.35">
      <c r="A9" s="10" t="str">
        <f>B1</f>
        <v>[M+C+P+R] Silver (Ag) production (from gold ore)</v>
      </c>
      <c r="B9" s="10" t="str">
        <f>B2</f>
        <v>Refined Ag</v>
      </c>
      <c r="C9" s="10" t="str">
        <f>B3</f>
        <v>AU</v>
      </c>
      <c r="D9" s="10">
        <v>1</v>
      </c>
      <c r="E9" s="10" t="s">
        <v>7</v>
      </c>
      <c r="F9" s="13" t="str">
        <f>Ag_Market_GLO!B1</f>
        <v>Silver</v>
      </c>
      <c r="G9" s="10" t="s">
        <v>20</v>
      </c>
    </row>
    <row r="10" spans="1:14" x14ac:dyDescent="0.35">
      <c r="A10" s="15" t="s">
        <v>65</v>
      </c>
      <c r="B10" s="15" t="s">
        <v>66</v>
      </c>
      <c r="C10" s="15" t="s">
        <v>28</v>
      </c>
      <c r="D10" s="14">
        <v>-0.39306371027781761</v>
      </c>
      <c r="E10" s="15" t="s">
        <v>7</v>
      </c>
      <c r="F10" s="15" t="s">
        <v>24</v>
      </c>
      <c r="G10" s="15" t="s">
        <v>25</v>
      </c>
      <c r="J10" s="10" t="s">
        <v>96</v>
      </c>
    </row>
    <row r="11" spans="1:14" x14ac:dyDescent="0.35">
      <c r="A11" s="10" t="s">
        <v>97</v>
      </c>
      <c r="B11" s="10" t="s">
        <v>98</v>
      </c>
      <c r="C11" s="10" t="s">
        <v>23</v>
      </c>
      <c r="D11" s="14">
        <v>1.1230391722223374</v>
      </c>
      <c r="E11" s="10" t="s">
        <v>7</v>
      </c>
      <c r="F11" s="10" t="s">
        <v>24</v>
      </c>
      <c r="G11" s="10" t="s">
        <v>25</v>
      </c>
      <c r="J11" s="10" t="s">
        <v>96</v>
      </c>
    </row>
    <row r="12" spans="1:14" x14ac:dyDescent="0.35">
      <c r="A12" s="10" t="s">
        <v>99</v>
      </c>
      <c r="B12" s="10" t="s">
        <v>100</v>
      </c>
      <c r="C12" s="10" t="s">
        <v>28</v>
      </c>
      <c r="D12" s="14">
        <v>0.24620474160258932</v>
      </c>
      <c r="E12" s="10" t="s">
        <v>7</v>
      </c>
      <c r="F12" s="10" t="s">
        <v>24</v>
      </c>
      <c r="G12" s="10" t="s">
        <v>25</v>
      </c>
      <c r="J12" s="10" t="s">
        <v>96</v>
      </c>
    </row>
    <row r="13" spans="1:14" x14ac:dyDescent="0.35">
      <c r="A13" s="10" t="s">
        <v>26</v>
      </c>
      <c r="B13" s="10" t="s">
        <v>27</v>
      </c>
      <c r="C13" s="10" t="s">
        <v>28</v>
      </c>
      <c r="D13" s="14">
        <v>0.8206824720086312</v>
      </c>
      <c r="E13" s="10" t="s">
        <v>7</v>
      </c>
      <c r="F13" s="10" t="s">
        <v>24</v>
      </c>
      <c r="G13" s="10" t="s">
        <v>25</v>
      </c>
      <c r="J13" s="10" t="s">
        <v>96</v>
      </c>
    </row>
    <row r="14" spans="1:14" x14ac:dyDescent="0.35">
      <c r="A14" s="10" t="s">
        <v>101</v>
      </c>
      <c r="B14" s="10" t="s">
        <v>102</v>
      </c>
      <c r="C14" s="10" t="s">
        <v>28</v>
      </c>
      <c r="D14" s="14">
        <v>15.117835010685312</v>
      </c>
      <c r="E14" s="10" t="s">
        <v>7</v>
      </c>
      <c r="F14" s="10" t="s">
        <v>24</v>
      </c>
      <c r="G14" s="10" t="s">
        <v>25</v>
      </c>
      <c r="J14" s="10" t="s">
        <v>96</v>
      </c>
    </row>
    <row r="15" spans="1:14" x14ac:dyDescent="0.35">
      <c r="A15" s="10" t="s">
        <v>65</v>
      </c>
      <c r="B15" s="10" t="s">
        <v>66</v>
      </c>
      <c r="C15" s="10" t="s">
        <v>28</v>
      </c>
      <c r="D15" s="14">
        <v>8.638762863248748E-3</v>
      </c>
      <c r="E15" s="10" t="s">
        <v>7</v>
      </c>
      <c r="F15" s="10" t="s">
        <v>24</v>
      </c>
      <c r="G15" s="10" t="s">
        <v>25</v>
      </c>
      <c r="J15" s="10" t="s">
        <v>96</v>
      </c>
    </row>
    <row r="16" spans="1:14" x14ac:dyDescent="0.35">
      <c r="A16" s="10" t="s">
        <v>103</v>
      </c>
      <c r="B16" s="10" t="s">
        <v>104</v>
      </c>
      <c r="C16" s="10" t="s">
        <v>23</v>
      </c>
      <c r="D16" s="14">
        <v>0.22028845301284308</v>
      </c>
      <c r="E16" s="10" t="s">
        <v>7</v>
      </c>
      <c r="F16" s="10" t="s">
        <v>24</v>
      </c>
      <c r="G16" s="10" t="s">
        <v>25</v>
      </c>
      <c r="J16" s="10" t="s">
        <v>96</v>
      </c>
    </row>
    <row r="17" spans="1:14" x14ac:dyDescent="0.35">
      <c r="A17" s="10" t="s">
        <v>105</v>
      </c>
      <c r="B17" s="10" t="s">
        <v>106</v>
      </c>
      <c r="C17" s="10" t="s">
        <v>28</v>
      </c>
      <c r="D17" s="14">
        <v>1.770946386965994</v>
      </c>
      <c r="E17" s="10" t="s">
        <v>7</v>
      </c>
      <c r="F17" s="10" t="s">
        <v>24</v>
      </c>
      <c r="G17" s="10" t="s">
        <v>25</v>
      </c>
      <c r="J17" s="10" t="s">
        <v>96</v>
      </c>
    </row>
    <row r="18" spans="1:14" x14ac:dyDescent="0.35">
      <c r="A18" s="10" t="s">
        <v>107</v>
      </c>
      <c r="B18" s="10" t="s">
        <v>108</v>
      </c>
      <c r="C18" s="10" t="s">
        <v>28</v>
      </c>
      <c r="D18" s="14">
        <v>3.3691175166670115</v>
      </c>
      <c r="E18" s="10" t="s">
        <v>7</v>
      </c>
      <c r="F18" s="10" t="s">
        <v>24</v>
      </c>
      <c r="G18" s="10" t="s">
        <v>25</v>
      </c>
      <c r="J18" s="10" t="s">
        <v>96</v>
      </c>
    </row>
    <row r="19" spans="1:14" x14ac:dyDescent="0.35">
      <c r="A19" s="10" t="s">
        <v>109</v>
      </c>
      <c r="B19" s="10" t="s">
        <v>110</v>
      </c>
      <c r="C19" s="10" t="s">
        <v>23</v>
      </c>
      <c r="D19" s="14">
        <v>1.6845587583335059E-10</v>
      </c>
      <c r="E19" s="10" t="s">
        <v>7</v>
      </c>
      <c r="F19" s="10" t="s">
        <v>24</v>
      </c>
      <c r="G19" s="10" t="s">
        <v>25</v>
      </c>
      <c r="J19" s="10" t="s">
        <v>96</v>
      </c>
    </row>
    <row r="20" spans="1:14" x14ac:dyDescent="0.35">
      <c r="A20" s="10" t="s">
        <v>42</v>
      </c>
      <c r="B20" s="10" t="s">
        <v>43</v>
      </c>
      <c r="C20" s="10" t="s">
        <v>23</v>
      </c>
      <c r="D20" s="14">
        <v>3.7578618455132051E-2</v>
      </c>
      <c r="E20" s="10" t="s">
        <v>7</v>
      </c>
      <c r="F20" s="10" t="s">
        <v>24</v>
      </c>
      <c r="G20" s="10" t="s">
        <v>25</v>
      </c>
      <c r="J20" s="10" t="s">
        <v>96</v>
      </c>
    </row>
    <row r="21" spans="1:14" x14ac:dyDescent="0.35">
      <c r="A21" s="10" t="s">
        <v>111</v>
      </c>
      <c r="B21" s="10" t="s">
        <v>33</v>
      </c>
      <c r="C21" s="10" t="s">
        <v>94</v>
      </c>
      <c r="D21" s="14">
        <v>56.151958611116861</v>
      </c>
      <c r="E21" s="10" t="s">
        <v>34</v>
      </c>
      <c r="F21" s="10" t="s">
        <v>24</v>
      </c>
      <c r="G21" s="10" t="s">
        <v>25</v>
      </c>
      <c r="J21" s="10" t="s">
        <v>96</v>
      </c>
    </row>
    <row r="22" spans="1:14" s="7" customFormat="1" x14ac:dyDescent="0.35"/>
    <row r="23" spans="1:14" x14ac:dyDescent="0.35">
      <c r="A23" s="8" t="s">
        <v>0</v>
      </c>
      <c r="B23" s="8" t="s">
        <v>112</v>
      </c>
    </row>
    <row r="24" spans="1:14" x14ac:dyDescent="0.35">
      <c r="A24" s="11" t="s">
        <v>1</v>
      </c>
      <c r="B24" s="10" t="s">
        <v>90</v>
      </c>
    </row>
    <row r="25" spans="1:14" x14ac:dyDescent="0.35">
      <c r="A25" s="11" t="s">
        <v>3</v>
      </c>
      <c r="B25" s="10" t="s">
        <v>94</v>
      </c>
    </row>
    <row r="26" spans="1:14" x14ac:dyDescent="0.35">
      <c r="A26" s="11" t="s">
        <v>5</v>
      </c>
      <c r="B26" s="10">
        <v>1</v>
      </c>
    </row>
    <row r="27" spans="1:14" x14ac:dyDescent="0.35">
      <c r="A27" s="11" t="s">
        <v>6</v>
      </c>
      <c r="B27" s="10" t="s">
        <v>7</v>
      </c>
    </row>
    <row r="28" spans="1:14" x14ac:dyDescent="0.35">
      <c r="A28" s="11" t="s">
        <v>8</v>
      </c>
      <c r="B28" s="10" t="s">
        <v>57</v>
      </c>
    </row>
    <row r="29" spans="1:14" x14ac:dyDescent="0.35">
      <c r="A29" s="11" t="s">
        <v>9</v>
      </c>
    </row>
    <row r="30" spans="1:14" x14ac:dyDescent="0.35">
      <c r="A30" s="8" t="s">
        <v>10</v>
      </c>
      <c r="B30" s="8" t="s">
        <v>1</v>
      </c>
      <c r="C30" s="8" t="s">
        <v>3</v>
      </c>
      <c r="D30" s="8" t="s">
        <v>5</v>
      </c>
      <c r="E30" s="8" t="s">
        <v>6</v>
      </c>
      <c r="F30" s="8" t="s">
        <v>11</v>
      </c>
      <c r="G30" s="8" t="s">
        <v>12</v>
      </c>
      <c r="H30" s="8" t="s">
        <v>13</v>
      </c>
      <c r="I30" s="8" t="s">
        <v>14</v>
      </c>
      <c r="J30" s="8" t="s">
        <v>15</v>
      </c>
      <c r="K30" s="8" t="s">
        <v>16</v>
      </c>
      <c r="L30" s="8" t="s">
        <v>17</v>
      </c>
      <c r="M30" s="8" t="s">
        <v>18</v>
      </c>
      <c r="N30" s="8" t="s">
        <v>19</v>
      </c>
    </row>
    <row r="31" spans="1:14" x14ac:dyDescent="0.35">
      <c r="A31" s="10" t="str">
        <f>B23</f>
        <v>Ag recovery from Au production in Australia</v>
      </c>
      <c r="B31" s="10" t="str">
        <f>B24</f>
        <v>Refined Ag</v>
      </c>
      <c r="C31" s="10" t="str">
        <f>B25</f>
        <v>AU</v>
      </c>
      <c r="D31" s="10">
        <v>1</v>
      </c>
      <c r="E31" s="10" t="s">
        <v>7</v>
      </c>
      <c r="F31" s="13" t="str">
        <f>F9</f>
        <v>Silver</v>
      </c>
      <c r="G31" s="10" t="s">
        <v>20</v>
      </c>
    </row>
    <row r="32" spans="1:14" x14ac:dyDescent="0.35">
      <c r="A32" s="10" t="str">
        <f>A9</f>
        <v>[M+C+P+R] Silver (Ag) production (from gold ore)</v>
      </c>
      <c r="B32" s="10" t="str">
        <f>B9</f>
        <v>Refined Ag</v>
      </c>
      <c r="C32" s="10" t="str">
        <f>C9</f>
        <v>AU</v>
      </c>
      <c r="D32" s="10">
        <v>1</v>
      </c>
      <c r="E32" s="10" t="str">
        <f>E9</f>
        <v>kilogram</v>
      </c>
      <c r="F32" s="13" t="str">
        <f>F9</f>
        <v>Silver</v>
      </c>
      <c r="G32" s="1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E05A-CA1E-426B-BCC0-0CFD6A1C6D02}">
  <sheetPr>
    <tabColor theme="8" tint="0.39997558519241921"/>
  </sheetPr>
  <dimension ref="A1:N144"/>
  <sheetViews>
    <sheetView tabSelected="1" topLeftCell="A87" workbookViewId="0">
      <selection activeCell="D103" sqref="D103"/>
    </sheetView>
  </sheetViews>
  <sheetFormatPr baseColWidth="10" defaultColWidth="8.54296875" defaultRowHeight="14.5" x14ac:dyDescent="0.35"/>
  <cols>
    <col min="1" max="2" width="71.81640625" style="10" bestFit="1" customWidth="1"/>
    <col min="3" max="3" width="25.81640625" style="10" bestFit="1" customWidth="1"/>
    <col min="4" max="4" width="12.7265625" style="10" bestFit="1" customWidth="1"/>
    <col min="5" max="5" width="17.54296875" style="10" bestFit="1" customWidth="1"/>
    <col min="6" max="6" width="19.7265625" style="10" bestFit="1" customWidth="1"/>
    <col min="7" max="7" width="13.26953125" style="10" bestFit="1" customWidth="1"/>
    <col min="8" max="8" width="25.2695312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8.54296875" style="10"/>
  </cols>
  <sheetData>
    <row r="1" spans="1:14" x14ac:dyDescent="0.35">
      <c r="A1" s="9" t="s">
        <v>0</v>
      </c>
      <c r="B1" s="9" t="s">
        <v>127</v>
      </c>
    </row>
    <row r="2" spans="1:14" x14ac:dyDescent="0.35">
      <c r="A2" s="11" t="s">
        <v>1</v>
      </c>
      <c r="B2" s="10" t="s">
        <v>128</v>
      </c>
    </row>
    <row r="3" spans="1:14" x14ac:dyDescent="0.35">
      <c r="A3" s="11" t="s">
        <v>3</v>
      </c>
      <c r="B3" s="10" t="s">
        <v>129</v>
      </c>
    </row>
    <row r="4" spans="1:14" x14ac:dyDescent="0.35">
      <c r="A4" s="11" t="s">
        <v>5</v>
      </c>
      <c r="B4" s="10">
        <v>1</v>
      </c>
    </row>
    <row r="5" spans="1:14" x14ac:dyDescent="0.35">
      <c r="A5" s="11" t="s">
        <v>6</v>
      </c>
      <c r="B5" s="10" t="s">
        <v>7</v>
      </c>
    </row>
    <row r="6" spans="1:14" x14ac:dyDescent="0.35">
      <c r="A6" s="11" t="s">
        <v>8</v>
      </c>
      <c r="B6" s="19" t="s">
        <v>57</v>
      </c>
    </row>
    <row r="7" spans="1:14" x14ac:dyDescent="0.35">
      <c r="A7" s="11" t="s">
        <v>9</v>
      </c>
    </row>
    <row r="8" spans="1:14" x14ac:dyDescent="0.35">
      <c r="A8" s="9" t="s">
        <v>10</v>
      </c>
      <c r="B8" s="9" t="s">
        <v>1</v>
      </c>
      <c r="C8" s="9" t="s">
        <v>3</v>
      </c>
      <c r="D8" s="9" t="s">
        <v>5</v>
      </c>
      <c r="E8" s="9" t="s">
        <v>6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14" x14ac:dyDescent="0.35">
      <c r="A9" s="10" t="str">
        <f>B1</f>
        <v>[M+C] Copper (Cu) ore mining and concentration (Sweden)</v>
      </c>
      <c r="B9" s="10" t="str">
        <f>B2</f>
        <v>Cu concentrate</v>
      </c>
      <c r="C9" s="10" t="s">
        <v>129</v>
      </c>
      <c r="D9" s="10">
        <v>1</v>
      </c>
      <c r="E9" s="10" t="s">
        <v>7</v>
      </c>
      <c r="F9" s="13" t="str">
        <f>Ag_Market_GLO!B1</f>
        <v>Silver</v>
      </c>
      <c r="G9" s="10" t="s">
        <v>20</v>
      </c>
    </row>
    <row r="10" spans="1:14" x14ac:dyDescent="0.35">
      <c r="A10" s="10" t="s">
        <v>29</v>
      </c>
      <c r="B10" s="10" t="s">
        <v>30</v>
      </c>
      <c r="C10" s="10" t="s">
        <v>23</v>
      </c>
      <c r="D10" s="10">
        <v>4.0289823311875042</v>
      </c>
      <c r="E10" s="10" t="s">
        <v>31</v>
      </c>
      <c r="F10" s="10" t="s">
        <v>24</v>
      </c>
      <c r="G10" s="10" t="s">
        <v>25</v>
      </c>
      <c r="J10" s="10" t="s">
        <v>130</v>
      </c>
    </row>
    <row r="11" spans="1:14" x14ac:dyDescent="0.35">
      <c r="A11" s="10" t="s">
        <v>131</v>
      </c>
      <c r="B11" s="10" t="s">
        <v>132</v>
      </c>
      <c r="C11" s="10" t="s">
        <v>129</v>
      </c>
      <c r="D11" s="10">
        <v>0.2417770559805896</v>
      </c>
      <c r="E11" s="10" t="s">
        <v>34</v>
      </c>
      <c r="F11" s="10" t="s">
        <v>24</v>
      </c>
      <c r="G11" s="10" t="s">
        <v>25</v>
      </c>
      <c r="J11" s="10" t="s">
        <v>130</v>
      </c>
    </row>
    <row r="12" spans="1:14" x14ac:dyDescent="0.35">
      <c r="A12" s="10" t="s">
        <v>133</v>
      </c>
      <c r="B12" s="10" t="s">
        <v>134</v>
      </c>
      <c r="C12" s="10" t="s">
        <v>28</v>
      </c>
      <c r="D12" s="10">
        <v>2.5828164439313569E-2</v>
      </c>
      <c r="E12" s="10" t="s">
        <v>31</v>
      </c>
      <c r="F12" s="10" t="s">
        <v>24</v>
      </c>
      <c r="G12" s="10" t="s">
        <v>25</v>
      </c>
      <c r="J12" s="10" t="s">
        <v>130</v>
      </c>
    </row>
    <row r="13" spans="1:14" x14ac:dyDescent="0.35">
      <c r="A13" s="10" t="s">
        <v>21</v>
      </c>
      <c r="B13" s="10" t="s">
        <v>22</v>
      </c>
      <c r="C13" s="10" t="s">
        <v>23</v>
      </c>
      <c r="D13" s="10">
        <v>8.2326295810749892E-2</v>
      </c>
      <c r="E13" s="10" t="s">
        <v>7</v>
      </c>
      <c r="F13" s="10" t="s">
        <v>24</v>
      </c>
      <c r="G13" s="10" t="s">
        <v>25</v>
      </c>
      <c r="J13" s="10" t="s">
        <v>130</v>
      </c>
    </row>
    <row r="14" spans="1:14" x14ac:dyDescent="0.35">
      <c r="A14" s="10" t="s">
        <v>26</v>
      </c>
      <c r="B14" s="10" t="s">
        <v>27</v>
      </c>
      <c r="C14" s="10" t="s">
        <v>135</v>
      </c>
      <c r="D14" s="10">
        <v>2.582490330743992E-2</v>
      </c>
      <c r="E14" s="10" t="s">
        <v>7</v>
      </c>
      <c r="F14" s="10" t="s">
        <v>24</v>
      </c>
      <c r="G14" s="10" t="s">
        <v>25</v>
      </c>
      <c r="J14" s="10" t="s">
        <v>130</v>
      </c>
    </row>
    <row r="15" spans="1:14" x14ac:dyDescent="0.35">
      <c r="A15" s="10" t="s">
        <v>136</v>
      </c>
      <c r="B15" s="10" t="s">
        <v>137</v>
      </c>
      <c r="C15" s="10" t="s">
        <v>23</v>
      </c>
      <c r="D15" s="10">
        <v>4.5916736781001924E-3</v>
      </c>
      <c r="E15" s="10" t="s">
        <v>7</v>
      </c>
      <c r="F15" s="10" t="s">
        <v>24</v>
      </c>
      <c r="G15" s="10" t="s">
        <v>25</v>
      </c>
      <c r="J15" s="10" t="s">
        <v>130</v>
      </c>
    </row>
    <row r="16" spans="1:14" x14ac:dyDescent="0.35">
      <c r="A16" s="10" t="s">
        <v>138</v>
      </c>
      <c r="B16" s="10" t="s">
        <v>139</v>
      </c>
      <c r="C16" s="10" t="s">
        <v>23</v>
      </c>
      <c r="D16" s="10">
        <v>1.9155888625824229E-4</v>
      </c>
      <c r="E16" s="10" t="s">
        <v>7</v>
      </c>
      <c r="F16" s="10" t="s">
        <v>24</v>
      </c>
      <c r="G16" s="10" t="s">
        <v>25</v>
      </c>
      <c r="J16" s="10" t="s">
        <v>130</v>
      </c>
    </row>
    <row r="17" spans="1:10" x14ac:dyDescent="0.35">
      <c r="A17" s="10" t="s">
        <v>131</v>
      </c>
      <c r="B17" s="10" t="s">
        <v>132</v>
      </c>
      <c r="C17" s="10" t="s">
        <v>129</v>
      </c>
      <c r="D17" s="10">
        <v>2.2461111002406691</v>
      </c>
      <c r="E17" s="10" t="s">
        <v>34</v>
      </c>
      <c r="F17" s="10" t="s">
        <v>24</v>
      </c>
      <c r="G17" s="10" t="s">
        <v>25</v>
      </c>
      <c r="J17" s="10" t="s">
        <v>130</v>
      </c>
    </row>
    <row r="18" spans="1:10" x14ac:dyDescent="0.35">
      <c r="A18" s="10" t="s">
        <v>133</v>
      </c>
      <c r="B18" s="10" t="s">
        <v>134</v>
      </c>
      <c r="C18" s="10" t="s">
        <v>28</v>
      </c>
      <c r="D18" s="10">
        <v>2.8657522452892908E-2</v>
      </c>
      <c r="E18" s="10" t="s">
        <v>31</v>
      </c>
      <c r="F18" s="10" t="s">
        <v>24</v>
      </c>
      <c r="G18" s="10" t="s">
        <v>25</v>
      </c>
      <c r="J18" s="10" t="s">
        <v>130</v>
      </c>
    </row>
    <row r="19" spans="1:10" x14ac:dyDescent="0.35">
      <c r="A19" s="10" t="s">
        <v>140</v>
      </c>
      <c r="B19" s="10" t="s">
        <v>141</v>
      </c>
      <c r="C19" s="10" t="s">
        <v>23</v>
      </c>
      <c r="D19" s="10">
        <v>2.282792311555492E-5</v>
      </c>
      <c r="E19" s="10" t="s">
        <v>7</v>
      </c>
      <c r="F19" s="10" t="s">
        <v>24</v>
      </c>
      <c r="G19" s="10" t="s">
        <v>25</v>
      </c>
      <c r="J19" s="10" t="s">
        <v>130</v>
      </c>
    </row>
    <row r="20" spans="1:10" x14ac:dyDescent="0.35">
      <c r="A20" s="10" t="s">
        <v>58</v>
      </c>
      <c r="B20" s="10" t="s">
        <v>59</v>
      </c>
      <c r="C20" s="10" t="s">
        <v>23</v>
      </c>
      <c r="D20" s="10">
        <v>1.8001447942551879E-3</v>
      </c>
      <c r="E20" s="10" t="s">
        <v>7</v>
      </c>
      <c r="F20" s="10" t="s">
        <v>24</v>
      </c>
      <c r="G20" s="10" t="s">
        <v>25</v>
      </c>
      <c r="J20" s="10" t="s">
        <v>130</v>
      </c>
    </row>
    <row r="21" spans="1:10" x14ac:dyDescent="0.35">
      <c r="A21" s="10" t="s">
        <v>142</v>
      </c>
      <c r="B21" s="10" t="s">
        <v>143</v>
      </c>
      <c r="C21" s="10" t="s">
        <v>135</v>
      </c>
      <c r="D21" s="10">
        <v>2.5436828614475492E-6</v>
      </c>
      <c r="E21" s="10" t="s">
        <v>7</v>
      </c>
      <c r="F21" s="10" t="s">
        <v>24</v>
      </c>
      <c r="G21" s="10" t="s">
        <v>25</v>
      </c>
      <c r="J21" s="10" t="s">
        <v>130</v>
      </c>
    </row>
    <row r="22" spans="1:10" x14ac:dyDescent="0.35">
      <c r="A22" s="10" t="s">
        <v>144</v>
      </c>
      <c r="B22" s="10" t="s">
        <v>145</v>
      </c>
      <c r="C22" s="10" t="s">
        <v>135</v>
      </c>
      <c r="D22" s="10">
        <v>0.40999999999999959</v>
      </c>
      <c r="E22" s="10" t="s">
        <v>44</v>
      </c>
      <c r="F22" s="10" t="s">
        <v>24</v>
      </c>
      <c r="G22" s="10" t="s">
        <v>25</v>
      </c>
      <c r="J22" s="10" t="s">
        <v>130</v>
      </c>
    </row>
    <row r="23" spans="1:10" x14ac:dyDescent="0.35">
      <c r="A23" s="10" t="s">
        <v>146</v>
      </c>
      <c r="B23" s="10" t="s">
        <v>147</v>
      </c>
      <c r="C23" s="10" t="s">
        <v>23</v>
      </c>
      <c r="D23" s="10">
        <v>-89.257179381819711</v>
      </c>
      <c r="E23" s="10" t="s">
        <v>7</v>
      </c>
      <c r="F23" s="10" t="s">
        <v>24</v>
      </c>
      <c r="G23" s="10" t="s">
        <v>25</v>
      </c>
      <c r="J23" s="10" t="s">
        <v>130</v>
      </c>
    </row>
    <row r="24" spans="1:10" x14ac:dyDescent="0.35">
      <c r="A24" s="10" t="s">
        <v>148</v>
      </c>
      <c r="B24" s="10" t="s">
        <v>61</v>
      </c>
      <c r="C24" s="10" t="s">
        <v>28</v>
      </c>
      <c r="D24" s="10">
        <v>-1.7355743831569039E-3</v>
      </c>
      <c r="E24" s="10" t="s">
        <v>7</v>
      </c>
      <c r="F24" s="10" t="s">
        <v>24</v>
      </c>
      <c r="G24" s="10" t="s">
        <v>25</v>
      </c>
      <c r="J24" s="10" t="s">
        <v>130</v>
      </c>
    </row>
    <row r="25" spans="1:10" x14ac:dyDescent="0.35">
      <c r="A25" s="10" t="s">
        <v>149</v>
      </c>
      <c r="B25" s="10" t="s">
        <v>150</v>
      </c>
      <c r="C25" s="10" t="s">
        <v>135</v>
      </c>
      <c r="D25" s="10">
        <v>-1.754488948024079E-3</v>
      </c>
      <c r="E25" s="10" t="s">
        <v>7</v>
      </c>
      <c r="F25" s="10" t="s">
        <v>24</v>
      </c>
      <c r="G25" s="10" t="s">
        <v>25</v>
      </c>
      <c r="J25" s="10" t="s">
        <v>130</v>
      </c>
    </row>
    <row r="26" spans="1:10" x14ac:dyDescent="0.35">
      <c r="A26" s="10" t="s">
        <v>151</v>
      </c>
      <c r="B26" s="10" t="s">
        <v>152</v>
      </c>
      <c r="C26" s="10" t="s">
        <v>28</v>
      </c>
      <c r="D26" s="10">
        <v>-6.3298569667560143E-5</v>
      </c>
      <c r="E26" s="10" t="s">
        <v>35</v>
      </c>
      <c r="F26" s="10" t="s">
        <v>24</v>
      </c>
      <c r="G26" s="10" t="s">
        <v>25</v>
      </c>
      <c r="J26" s="10" t="s">
        <v>130</v>
      </c>
    </row>
    <row r="27" spans="1:10" x14ac:dyDescent="0.35">
      <c r="A27" s="10" t="s">
        <v>153</v>
      </c>
      <c r="B27" s="10" t="s">
        <v>154</v>
      </c>
      <c r="C27" s="10" t="s">
        <v>135</v>
      </c>
      <c r="D27" s="10">
        <v>-1.4022867056698031E-4</v>
      </c>
      <c r="E27" s="10" t="s">
        <v>7</v>
      </c>
      <c r="F27" s="10" t="s">
        <v>24</v>
      </c>
      <c r="G27" s="10" t="s">
        <v>25</v>
      </c>
      <c r="J27" s="10" t="s">
        <v>130</v>
      </c>
    </row>
    <row r="28" spans="1:10" x14ac:dyDescent="0.35">
      <c r="A28" s="10" t="s">
        <v>153</v>
      </c>
      <c r="B28" s="10" t="s">
        <v>154</v>
      </c>
      <c r="C28" s="10" t="s">
        <v>135</v>
      </c>
      <c r="D28" s="10">
        <v>-1.0370399358209239E-4</v>
      </c>
      <c r="E28" s="10" t="s">
        <v>7</v>
      </c>
      <c r="F28" s="10" t="s">
        <v>24</v>
      </c>
      <c r="G28" s="10" t="s">
        <v>25</v>
      </c>
      <c r="J28" s="10" t="s">
        <v>130</v>
      </c>
    </row>
    <row r="29" spans="1:10" x14ac:dyDescent="0.35">
      <c r="A29" s="10" t="s">
        <v>153</v>
      </c>
      <c r="B29" s="10" t="s">
        <v>154</v>
      </c>
      <c r="C29" s="10" t="s">
        <v>135</v>
      </c>
      <c r="D29" s="10">
        <v>-1.177268606387904E-4</v>
      </c>
      <c r="E29" s="10" t="s">
        <v>7</v>
      </c>
      <c r="F29" s="10" t="s">
        <v>24</v>
      </c>
      <c r="G29" s="10" t="s">
        <v>25</v>
      </c>
      <c r="J29" s="10" t="s">
        <v>130</v>
      </c>
    </row>
    <row r="30" spans="1:10" x14ac:dyDescent="0.35">
      <c r="A30" s="10" t="s">
        <v>153</v>
      </c>
      <c r="B30" s="10" t="s">
        <v>154</v>
      </c>
      <c r="C30" s="10" t="s">
        <v>135</v>
      </c>
      <c r="D30" s="10">
        <v>-7.1744901220315452E-5</v>
      </c>
      <c r="E30" s="10" t="s">
        <v>7</v>
      </c>
      <c r="F30" s="10" t="s">
        <v>24</v>
      </c>
      <c r="G30" s="10" t="s">
        <v>25</v>
      </c>
      <c r="J30" s="10" t="s">
        <v>130</v>
      </c>
    </row>
    <row r="31" spans="1:10" x14ac:dyDescent="0.35">
      <c r="A31" s="10" t="s">
        <v>153</v>
      </c>
      <c r="B31" s="10" t="s">
        <v>154</v>
      </c>
      <c r="C31" s="10" t="s">
        <v>135</v>
      </c>
      <c r="D31" s="10">
        <v>-3.913358248380844E-5</v>
      </c>
      <c r="E31" s="10" t="s">
        <v>7</v>
      </c>
      <c r="F31" s="10" t="s">
        <v>24</v>
      </c>
      <c r="G31" s="10" t="s">
        <v>25</v>
      </c>
      <c r="J31" s="10" t="s">
        <v>130</v>
      </c>
    </row>
    <row r="32" spans="1:10" x14ac:dyDescent="0.35">
      <c r="A32" s="10" t="s">
        <v>153</v>
      </c>
      <c r="B32" s="10" t="s">
        <v>154</v>
      </c>
      <c r="C32" s="10" t="s">
        <v>135</v>
      </c>
      <c r="D32" s="10">
        <v>-1.819711585497093E-5</v>
      </c>
      <c r="E32" s="10" t="s">
        <v>7</v>
      </c>
      <c r="F32" s="10" t="s">
        <v>24</v>
      </c>
      <c r="G32" s="10" t="s">
        <v>25</v>
      </c>
      <c r="J32" s="10" t="s">
        <v>130</v>
      </c>
    </row>
    <row r="33" spans="1:10" x14ac:dyDescent="0.35">
      <c r="A33" s="10" t="s">
        <v>78</v>
      </c>
      <c r="D33" s="10">
        <v>8.1528296841267583E-2</v>
      </c>
      <c r="E33" s="10" t="s">
        <v>79</v>
      </c>
      <c r="F33" s="10" t="s">
        <v>37</v>
      </c>
      <c r="G33" s="10" t="s">
        <v>38</v>
      </c>
      <c r="H33" s="10" t="s">
        <v>41</v>
      </c>
      <c r="J33" s="10" t="s">
        <v>130</v>
      </c>
    </row>
    <row r="34" spans="1:10" x14ac:dyDescent="0.35">
      <c r="A34" s="10" t="s">
        <v>155</v>
      </c>
      <c r="D34" s="10">
        <v>0.21319388733441569</v>
      </c>
      <c r="E34" s="10" t="s">
        <v>7</v>
      </c>
      <c r="F34" s="10" t="s">
        <v>37</v>
      </c>
      <c r="G34" s="10" t="s">
        <v>38</v>
      </c>
      <c r="H34" s="10" t="s">
        <v>39</v>
      </c>
      <c r="J34" s="10" t="s">
        <v>130</v>
      </c>
    </row>
    <row r="35" spans="1:10" x14ac:dyDescent="0.35">
      <c r="A35" s="10" t="s">
        <v>156</v>
      </c>
      <c r="D35" s="10">
        <v>1.9566791241904229E-3</v>
      </c>
      <c r="E35" s="10" t="s">
        <v>35</v>
      </c>
      <c r="F35" s="10" t="s">
        <v>37</v>
      </c>
      <c r="G35" s="10" t="s">
        <v>38</v>
      </c>
      <c r="H35" s="10" t="s">
        <v>157</v>
      </c>
      <c r="J35" s="10" t="s">
        <v>130</v>
      </c>
    </row>
    <row r="36" spans="1:10" x14ac:dyDescent="0.35">
      <c r="A36" s="10" t="s">
        <v>158</v>
      </c>
      <c r="D36" s="10">
        <v>3.2611318736507132E-4</v>
      </c>
      <c r="E36" s="10" t="s">
        <v>35</v>
      </c>
      <c r="F36" s="10" t="s">
        <v>37</v>
      </c>
      <c r="G36" s="10" t="s">
        <v>38</v>
      </c>
      <c r="H36" s="10" t="s">
        <v>157</v>
      </c>
      <c r="J36" s="10" t="s">
        <v>130</v>
      </c>
    </row>
    <row r="37" spans="1:10" x14ac:dyDescent="0.35">
      <c r="A37" s="10" t="s">
        <v>62</v>
      </c>
      <c r="D37" s="10">
        <v>1.1692462219787231E-4</v>
      </c>
      <c r="E37" s="10" t="s">
        <v>7</v>
      </c>
      <c r="F37" s="10" t="s">
        <v>37</v>
      </c>
      <c r="G37" s="10" t="s">
        <v>38</v>
      </c>
      <c r="H37" s="10" t="s">
        <v>46</v>
      </c>
      <c r="J37" s="10" t="s">
        <v>130</v>
      </c>
    </row>
    <row r="38" spans="1:10" x14ac:dyDescent="0.35">
      <c r="A38" s="10" t="s">
        <v>85</v>
      </c>
      <c r="D38" s="10">
        <v>1.2392301119872669E-3</v>
      </c>
      <c r="E38" s="10" t="s">
        <v>7</v>
      </c>
      <c r="F38" s="10" t="s">
        <v>37</v>
      </c>
      <c r="G38" s="10" t="s">
        <v>38</v>
      </c>
      <c r="H38" s="10" t="s">
        <v>46</v>
      </c>
      <c r="J38" s="10" t="s">
        <v>130</v>
      </c>
    </row>
    <row r="39" spans="1:10" x14ac:dyDescent="0.35">
      <c r="A39" s="10" t="s">
        <v>52</v>
      </c>
      <c r="D39" s="10">
        <v>2.8404458619497609E-7</v>
      </c>
      <c r="E39" s="10" t="s">
        <v>7</v>
      </c>
      <c r="F39" s="10" t="s">
        <v>37</v>
      </c>
      <c r="G39" s="10" t="s">
        <v>38</v>
      </c>
      <c r="H39" s="10" t="s">
        <v>49</v>
      </c>
      <c r="J39" s="10" t="s">
        <v>130</v>
      </c>
    </row>
    <row r="40" spans="1:10" x14ac:dyDescent="0.35">
      <c r="A40" s="10" t="s">
        <v>159</v>
      </c>
      <c r="D40" s="10">
        <v>7.5593036831223307E-6</v>
      </c>
      <c r="E40" s="10" t="s">
        <v>7</v>
      </c>
      <c r="F40" s="10" t="s">
        <v>37</v>
      </c>
      <c r="G40" s="10" t="s">
        <v>38</v>
      </c>
      <c r="H40" s="10" t="s">
        <v>49</v>
      </c>
      <c r="J40" s="10" t="s">
        <v>130</v>
      </c>
    </row>
    <row r="41" spans="1:10" x14ac:dyDescent="0.35">
      <c r="A41" s="10" t="s">
        <v>54</v>
      </c>
      <c r="D41" s="10">
        <v>2.5436828614475491E-9</v>
      </c>
      <c r="E41" s="10" t="s">
        <v>7</v>
      </c>
      <c r="F41" s="10" t="s">
        <v>37</v>
      </c>
      <c r="G41" s="10" t="s">
        <v>38</v>
      </c>
      <c r="H41" s="10" t="s">
        <v>49</v>
      </c>
      <c r="J41" s="10" t="s">
        <v>130</v>
      </c>
    </row>
    <row r="42" spans="1:10" x14ac:dyDescent="0.35">
      <c r="A42" s="10" t="s">
        <v>47</v>
      </c>
      <c r="D42" s="10">
        <v>9.7833956209521104E-9</v>
      </c>
      <c r="E42" s="10" t="s">
        <v>7</v>
      </c>
      <c r="F42" s="10" t="s">
        <v>37</v>
      </c>
      <c r="G42" s="10" t="s">
        <v>38</v>
      </c>
      <c r="H42" s="10" t="s">
        <v>49</v>
      </c>
      <c r="J42" s="10" t="s">
        <v>130</v>
      </c>
    </row>
    <row r="43" spans="1:10" x14ac:dyDescent="0.35">
      <c r="A43" s="10" t="s">
        <v>56</v>
      </c>
      <c r="D43" s="10">
        <v>3.2611318736507039E-9</v>
      </c>
      <c r="E43" s="10" t="s">
        <v>7</v>
      </c>
      <c r="F43" s="10" t="s">
        <v>37</v>
      </c>
      <c r="G43" s="10" t="s">
        <v>38</v>
      </c>
      <c r="H43" s="10" t="s">
        <v>49</v>
      </c>
      <c r="J43" s="10" t="s">
        <v>130</v>
      </c>
    </row>
    <row r="44" spans="1:10" x14ac:dyDescent="0.35">
      <c r="A44" s="10" t="s">
        <v>52</v>
      </c>
      <c r="D44" s="10">
        <v>2.4621545646062808E-7</v>
      </c>
      <c r="E44" s="10" t="s">
        <v>7</v>
      </c>
      <c r="F44" s="10" t="s">
        <v>37</v>
      </c>
      <c r="G44" s="10" t="s">
        <v>38</v>
      </c>
      <c r="H44" s="10" t="s">
        <v>49</v>
      </c>
      <c r="J44" s="10" t="s">
        <v>130</v>
      </c>
    </row>
    <row r="45" spans="1:10" x14ac:dyDescent="0.35">
      <c r="A45" s="10" t="s">
        <v>53</v>
      </c>
      <c r="D45" s="10">
        <v>8.5767768277013486E-9</v>
      </c>
      <c r="E45" s="10" t="s">
        <v>7</v>
      </c>
      <c r="F45" s="10" t="s">
        <v>37</v>
      </c>
      <c r="G45" s="10" t="s">
        <v>38</v>
      </c>
      <c r="H45" s="10" t="s">
        <v>49</v>
      </c>
      <c r="J45" s="10" t="s">
        <v>130</v>
      </c>
    </row>
    <row r="46" spans="1:10" x14ac:dyDescent="0.35">
      <c r="A46" s="10" t="s">
        <v>48</v>
      </c>
      <c r="D46" s="10">
        <v>1.9566791241904219E-10</v>
      </c>
      <c r="E46" s="10" t="s">
        <v>7</v>
      </c>
      <c r="F46" s="10" t="s">
        <v>37</v>
      </c>
      <c r="G46" s="10" t="s">
        <v>38</v>
      </c>
      <c r="H46" s="10" t="s">
        <v>49</v>
      </c>
      <c r="J46" s="10" t="s">
        <v>130</v>
      </c>
    </row>
    <row r="47" spans="1:10" x14ac:dyDescent="0.35">
      <c r="A47" s="10" t="s">
        <v>55</v>
      </c>
      <c r="D47" s="10">
        <v>1.2066187932507601E-7</v>
      </c>
      <c r="E47" s="10" t="s">
        <v>7</v>
      </c>
      <c r="F47" s="10" t="s">
        <v>37</v>
      </c>
      <c r="G47" s="10" t="s">
        <v>38</v>
      </c>
      <c r="H47" s="10" t="s">
        <v>49</v>
      </c>
      <c r="J47" s="10" t="s">
        <v>130</v>
      </c>
    </row>
    <row r="48" spans="1:10" x14ac:dyDescent="0.35">
      <c r="A48" s="10" t="s">
        <v>51</v>
      </c>
      <c r="D48" s="10">
        <v>2.5110715427110409E-7</v>
      </c>
      <c r="E48" s="10" t="s">
        <v>7</v>
      </c>
      <c r="F48" s="10" t="s">
        <v>37</v>
      </c>
      <c r="G48" s="10" t="s">
        <v>38</v>
      </c>
      <c r="H48" s="10" t="s">
        <v>49</v>
      </c>
      <c r="J48" s="10" t="s">
        <v>130</v>
      </c>
    </row>
    <row r="49" spans="1:14" x14ac:dyDescent="0.35">
      <c r="A49" s="10" t="s">
        <v>82</v>
      </c>
      <c r="D49" s="10">
        <v>3.3263545111237179E-7</v>
      </c>
      <c r="E49" s="10" t="s">
        <v>7</v>
      </c>
      <c r="F49" s="10" t="s">
        <v>37</v>
      </c>
      <c r="G49" s="10" t="s">
        <v>38</v>
      </c>
      <c r="H49" s="10" t="s">
        <v>49</v>
      </c>
      <c r="J49" s="10" t="s">
        <v>130</v>
      </c>
    </row>
    <row r="50" spans="1:14" x14ac:dyDescent="0.35">
      <c r="A50" s="10" t="s">
        <v>50</v>
      </c>
      <c r="D50" s="10">
        <v>1.6461867585001389E-4</v>
      </c>
      <c r="E50" s="10" t="s">
        <v>7</v>
      </c>
      <c r="F50" s="10" t="s">
        <v>37</v>
      </c>
      <c r="G50" s="10" t="s">
        <v>38</v>
      </c>
      <c r="H50" s="10" t="s">
        <v>49</v>
      </c>
      <c r="J50" s="10" t="s">
        <v>130</v>
      </c>
    </row>
    <row r="51" spans="1:14" s="16" customFormat="1" x14ac:dyDescent="0.35"/>
    <row r="52" spans="1:14" x14ac:dyDescent="0.35">
      <c r="A52" s="9" t="s">
        <v>0</v>
      </c>
      <c r="B52" s="9" t="s">
        <v>160</v>
      </c>
    </row>
    <row r="53" spans="1:14" x14ac:dyDescent="0.35">
      <c r="A53" s="11" t="s">
        <v>1</v>
      </c>
      <c r="B53" s="10" t="s">
        <v>90</v>
      </c>
    </row>
    <row r="54" spans="1:14" x14ac:dyDescent="0.35">
      <c r="A54" s="11" t="s">
        <v>3</v>
      </c>
      <c r="B54" s="10" t="s">
        <v>129</v>
      </c>
    </row>
    <row r="55" spans="1:14" x14ac:dyDescent="0.35">
      <c r="A55" s="11" t="s">
        <v>5</v>
      </c>
      <c r="B55" s="10">
        <v>1</v>
      </c>
    </row>
    <row r="56" spans="1:14" x14ac:dyDescent="0.35">
      <c r="A56" s="11" t="s">
        <v>6</v>
      </c>
      <c r="B56" s="10" t="s">
        <v>7</v>
      </c>
    </row>
    <row r="57" spans="1:14" ht="101.5" x14ac:dyDescent="0.35">
      <c r="A57" s="11" t="s">
        <v>8</v>
      </c>
      <c r="B57" s="17" t="s">
        <v>224</v>
      </c>
    </row>
    <row r="58" spans="1:14" x14ac:dyDescent="0.35">
      <c r="A58" s="11" t="s">
        <v>9</v>
      </c>
    </row>
    <row r="59" spans="1:14" x14ac:dyDescent="0.35">
      <c r="A59" s="9" t="s">
        <v>10</v>
      </c>
      <c r="B59" s="9" t="s">
        <v>1</v>
      </c>
      <c r="C59" s="9" t="s">
        <v>3</v>
      </c>
      <c r="D59" s="9" t="s">
        <v>5</v>
      </c>
      <c r="E59" s="9" t="s">
        <v>6</v>
      </c>
      <c r="F59" s="9" t="s">
        <v>11</v>
      </c>
      <c r="G59" s="9" t="s">
        <v>12</v>
      </c>
      <c r="H59" s="9" t="s">
        <v>13</v>
      </c>
      <c r="I59" s="9" t="s">
        <v>14</v>
      </c>
      <c r="J59" s="9" t="s">
        <v>15</v>
      </c>
      <c r="K59" s="9" t="s">
        <v>16</v>
      </c>
      <c r="L59" s="9" t="s">
        <v>17</v>
      </c>
      <c r="M59" s="9" t="s">
        <v>18</v>
      </c>
      <c r="N59" s="9" t="s">
        <v>19</v>
      </c>
    </row>
    <row r="60" spans="1:14" x14ac:dyDescent="0.35">
      <c r="A60" s="10" t="str">
        <f>B52</f>
        <v>[P+R] Silver (Ag) production - Pyrometallurgy (Sweden)</v>
      </c>
      <c r="B60" s="10" t="str">
        <f>B53</f>
        <v>Refined Ag</v>
      </c>
      <c r="C60" s="10" t="s">
        <v>129</v>
      </c>
      <c r="D60" s="10">
        <v>1</v>
      </c>
      <c r="E60" s="10" t="s">
        <v>7</v>
      </c>
      <c r="F60" s="13" t="str">
        <f>F9</f>
        <v>Silver</v>
      </c>
      <c r="G60" s="10" t="s">
        <v>20</v>
      </c>
    </row>
    <row r="61" spans="1:14" x14ac:dyDescent="0.35">
      <c r="A61" s="10" t="s">
        <v>29</v>
      </c>
      <c r="B61" s="10" t="s">
        <v>30</v>
      </c>
      <c r="C61" s="10" t="s">
        <v>23</v>
      </c>
      <c r="D61" s="14">
        <v>14.546616488786569</v>
      </c>
      <c r="E61" s="10" t="s">
        <v>31</v>
      </c>
      <c r="F61" s="10" t="s">
        <v>24</v>
      </c>
      <c r="G61" s="10" t="s">
        <v>25</v>
      </c>
      <c r="J61" s="10" t="s">
        <v>130</v>
      </c>
    </row>
    <row r="62" spans="1:14" x14ac:dyDescent="0.35">
      <c r="A62" s="10" t="s">
        <v>142</v>
      </c>
      <c r="B62" s="10" t="s">
        <v>143</v>
      </c>
      <c r="C62" s="10" t="s">
        <v>135</v>
      </c>
      <c r="D62" s="14">
        <v>9.670369741573601E-3</v>
      </c>
      <c r="E62" s="10" t="s">
        <v>7</v>
      </c>
      <c r="F62" s="10" t="s">
        <v>24</v>
      </c>
      <c r="G62" s="10" t="s">
        <v>25</v>
      </c>
      <c r="J62" s="10" t="s">
        <v>130</v>
      </c>
    </row>
    <row r="63" spans="1:14" x14ac:dyDescent="0.35">
      <c r="A63" s="10" t="s">
        <v>161</v>
      </c>
      <c r="B63" s="10" t="s">
        <v>162</v>
      </c>
      <c r="C63" s="10" t="s">
        <v>135</v>
      </c>
      <c r="D63" s="14">
        <v>4.7864622359278881</v>
      </c>
      <c r="E63" s="10" t="s">
        <v>7</v>
      </c>
      <c r="F63" s="10" t="s">
        <v>24</v>
      </c>
      <c r="G63" s="10" t="s">
        <v>25</v>
      </c>
      <c r="J63" s="10" t="s">
        <v>130</v>
      </c>
    </row>
    <row r="64" spans="1:14" x14ac:dyDescent="0.35">
      <c r="A64" s="10" t="s">
        <v>163</v>
      </c>
      <c r="B64" s="10" t="s">
        <v>164</v>
      </c>
      <c r="C64" s="10" t="s">
        <v>135</v>
      </c>
      <c r="D64" s="14">
        <v>0.2126209148703001</v>
      </c>
      <c r="E64" s="10" t="s">
        <v>7</v>
      </c>
      <c r="F64" s="10" t="s">
        <v>24</v>
      </c>
      <c r="G64" s="10" t="s">
        <v>25</v>
      </c>
      <c r="J64" s="10" t="s">
        <v>130</v>
      </c>
    </row>
    <row r="65" spans="1:10" x14ac:dyDescent="0.35">
      <c r="A65" s="10" t="s">
        <v>131</v>
      </c>
      <c r="B65" s="10" t="s">
        <v>132</v>
      </c>
      <c r="C65" s="10" t="s">
        <v>129</v>
      </c>
      <c r="D65" s="14">
        <v>286.36313044817399</v>
      </c>
      <c r="E65" s="10" t="s">
        <v>34</v>
      </c>
      <c r="F65" s="10" t="s">
        <v>24</v>
      </c>
      <c r="G65" s="10" t="s">
        <v>25</v>
      </c>
      <c r="J65" s="10" t="s">
        <v>130</v>
      </c>
    </row>
    <row r="66" spans="1:10" x14ac:dyDescent="0.35">
      <c r="A66" s="10" t="s">
        <v>69</v>
      </c>
      <c r="B66" s="10" t="s">
        <v>70</v>
      </c>
      <c r="C66" s="10" t="s">
        <v>135</v>
      </c>
      <c r="D66" s="14">
        <v>1182.4380628224565</v>
      </c>
      <c r="E66" s="10" t="s">
        <v>7</v>
      </c>
      <c r="F66" s="10" t="s">
        <v>24</v>
      </c>
      <c r="G66" s="10" t="s">
        <v>25</v>
      </c>
      <c r="J66" s="10" t="s">
        <v>130</v>
      </c>
    </row>
    <row r="67" spans="1:10" x14ac:dyDescent="0.35">
      <c r="A67" s="10" t="s">
        <v>80</v>
      </c>
      <c r="B67" s="10" t="s">
        <v>81</v>
      </c>
      <c r="C67" s="10" t="s">
        <v>23</v>
      </c>
      <c r="D67" s="14">
        <v>65.465315248206409</v>
      </c>
      <c r="E67" s="10" t="s">
        <v>7</v>
      </c>
      <c r="F67" s="10" t="s">
        <v>24</v>
      </c>
      <c r="G67" s="10" t="s">
        <v>25</v>
      </c>
      <c r="J67" s="10" t="s">
        <v>130</v>
      </c>
    </row>
    <row r="68" spans="1:10" x14ac:dyDescent="0.35">
      <c r="A68" s="10" t="s">
        <v>165</v>
      </c>
      <c r="B68" s="10" t="s">
        <v>166</v>
      </c>
      <c r="C68" s="10" t="s">
        <v>167</v>
      </c>
      <c r="D68" s="14">
        <v>2.150761478060641</v>
      </c>
      <c r="E68" s="10" t="s">
        <v>7</v>
      </c>
      <c r="F68" s="10" t="s">
        <v>24</v>
      </c>
      <c r="G68" s="10" t="s">
        <v>25</v>
      </c>
      <c r="J68" s="10" t="s">
        <v>130</v>
      </c>
    </row>
    <row r="69" spans="1:10" x14ac:dyDescent="0.35">
      <c r="A69" s="10" t="s">
        <v>75</v>
      </c>
      <c r="B69" s="10" t="s">
        <v>76</v>
      </c>
      <c r="C69" s="10" t="s">
        <v>28</v>
      </c>
      <c r="D69" s="14">
        <v>4.0680799873830749</v>
      </c>
      <c r="E69" s="10" t="s">
        <v>7</v>
      </c>
      <c r="F69" s="10" t="s">
        <v>24</v>
      </c>
      <c r="G69" s="10" t="s">
        <v>25</v>
      </c>
      <c r="J69" s="10" t="s">
        <v>130</v>
      </c>
    </row>
    <row r="70" spans="1:10" x14ac:dyDescent="0.35">
      <c r="A70" s="10" t="s">
        <v>168</v>
      </c>
      <c r="B70" s="10" t="s">
        <v>169</v>
      </c>
      <c r="C70" s="10" t="s">
        <v>167</v>
      </c>
      <c r="D70" s="14">
        <v>18.998555905985558</v>
      </c>
      <c r="E70" s="10" t="s">
        <v>35</v>
      </c>
      <c r="F70" s="10" t="s">
        <v>24</v>
      </c>
      <c r="G70" s="10" t="s">
        <v>25</v>
      </c>
      <c r="J70" s="10" t="s">
        <v>130</v>
      </c>
    </row>
    <row r="71" spans="1:10" x14ac:dyDescent="0.35">
      <c r="A71" s="10" t="s">
        <v>116</v>
      </c>
      <c r="B71" s="10" t="s">
        <v>117</v>
      </c>
      <c r="C71" s="10" t="s">
        <v>23</v>
      </c>
      <c r="D71" s="14">
        <v>0.11232462813748668</v>
      </c>
      <c r="E71" s="10" t="s">
        <v>7</v>
      </c>
      <c r="F71" s="10" t="s">
        <v>24</v>
      </c>
      <c r="G71" s="10" t="s">
        <v>25</v>
      </c>
      <c r="J71" s="10" t="s">
        <v>130</v>
      </c>
    </row>
    <row r="72" spans="1:10" x14ac:dyDescent="0.35">
      <c r="A72" s="10" t="s">
        <v>170</v>
      </c>
      <c r="B72" s="10" t="s">
        <v>171</v>
      </c>
      <c r="C72" s="10" t="s">
        <v>23</v>
      </c>
      <c r="D72" s="14">
        <v>1.5563467867758457E-4</v>
      </c>
      <c r="E72" s="10" t="s">
        <v>7</v>
      </c>
      <c r="F72" s="10" t="s">
        <v>24</v>
      </c>
      <c r="G72" s="10" t="s">
        <v>25</v>
      </c>
      <c r="J72" s="10" t="s">
        <v>130</v>
      </c>
    </row>
    <row r="73" spans="1:10" x14ac:dyDescent="0.35">
      <c r="A73" s="10" t="s">
        <v>172</v>
      </c>
      <c r="B73" s="10" t="s">
        <v>173</v>
      </c>
      <c r="C73" s="10" t="s">
        <v>23</v>
      </c>
      <c r="D73" s="14">
        <v>0.22967083377514053</v>
      </c>
      <c r="E73" s="10" t="s">
        <v>7</v>
      </c>
      <c r="F73" s="10" t="s">
        <v>24</v>
      </c>
      <c r="G73" s="10" t="s">
        <v>25</v>
      </c>
      <c r="J73" s="10" t="s">
        <v>130</v>
      </c>
    </row>
    <row r="74" spans="1:10" x14ac:dyDescent="0.35">
      <c r="A74" s="10" t="s">
        <v>101</v>
      </c>
      <c r="B74" s="10" t="s">
        <v>102</v>
      </c>
      <c r="C74" s="10" t="s">
        <v>167</v>
      </c>
      <c r="D74" s="14">
        <v>11.625885715385959</v>
      </c>
      <c r="E74" s="10" t="s">
        <v>7</v>
      </c>
      <c r="F74" s="10" t="s">
        <v>24</v>
      </c>
      <c r="G74" s="10" t="s">
        <v>25</v>
      </c>
      <c r="J74" s="10" t="s">
        <v>130</v>
      </c>
    </row>
    <row r="75" spans="1:10" x14ac:dyDescent="0.35">
      <c r="A75" s="10" t="s">
        <v>101</v>
      </c>
      <c r="B75" s="10" t="s">
        <v>102</v>
      </c>
      <c r="C75" s="10" t="s">
        <v>167</v>
      </c>
      <c r="D75" s="14">
        <v>2.0597651128060328E-2</v>
      </c>
      <c r="E75" s="10" t="s">
        <v>7</v>
      </c>
      <c r="F75" s="10" t="s">
        <v>24</v>
      </c>
      <c r="G75" s="10" t="s">
        <v>25</v>
      </c>
      <c r="J75" s="10" t="s">
        <v>130</v>
      </c>
    </row>
    <row r="76" spans="1:10" x14ac:dyDescent="0.35">
      <c r="A76" s="10" t="s">
        <v>116</v>
      </c>
      <c r="B76" s="10" t="s">
        <v>117</v>
      </c>
      <c r="C76" s="10" t="s">
        <v>23</v>
      </c>
      <c r="D76" s="14">
        <v>5.9571064823786362</v>
      </c>
      <c r="E76" s="10" t="s">
        <v>7</v>
      </c>
      <c r="F76" s="10" t="s">
        <v>24</v>
      </c>
      <c r="G76" s="10" t="s">
        <v>25</v>
      </c>
      <c r="J76" s="10" t="s">
        <v>130</v>
      </c>
    </row>
    <row r="77" spans="1:10" x14ac:dyDescent="0.35">
      <c r="A77" s="10" t="s">
        <v>174</v>
      </c>
      <c r="B77" s="10" t="s">
        <v>175</v>
      </c>
      <c r="C77" s="10" t="s">
        <v>167</v>
      </c>
      <c r="D77" s="14">
        <v>0.72250616458429628</v>
      </c>
      <c r="E77" s="10" t="s">
        <v>7</v>
      </c>
      <c r="F77" s="10" t="s">
        <v>24</v>
      </c>
      <c r="G77" s="10" t="s">
        <v>25</v>
      </c>
      <c r="J77" s="10" t="s">
        <v>130</v>
      </c>
    </row>
    <row r="78" spans="1:10" x14ac:dyDescent="0.35">
      <c r="A78" s="10" t="s">
        <v>174</v>
      </c>
      <c r="B78" s="10" t="s">
        <v>175</v>
      </c>
      <c r="C78" s="10" t="s">
        <v>167</v>
      </c>
      <c r="D78" s="14">
        <v>3.4550898666423765E-3</v>
      </c>
      <c r="E78" s="10" t="s">
        <v>7</v>
      </c>
      <c r="F78" s="10" t="s">
        <v>24</v>
      </c>
      <c r="G78" s="10" t="s">
        <v>25</v>
      </c>
      <c r="J78" s="10" t="s">
        <v>130</v>
      </c>
    </row>
    <row r="79" spans="1:10" x14ac:dyDescent="0.35">
      <c r="A79" s="10" t="s">
        <v>67</v>
      </c>
      <c r="B79" s="10" t="s">
        <v>68</v>
      </c>
      <c r="C79" s="10" t="s">
        <v>23</v>
      </c>
      <c r="D79" s="14">
        <v>8.6126562665677711E-3</v>
      </c>
      <c r="E79" s="10" t="s">
        <v>7</v>
      </c>
      <c r="F79" s="10" t="s">
        <v>24</v>
      </c>
      <c r="G79" s="10" t="s">
        <v>25</v>
      </c>
      <c r="J79" s="10" t="s">
        <v>130</v>
      </c>
    </row>
    <row r="80" spans="1:10" x14ac:dyDescent="0.35">
      <c r="A80" s="10" t="s">
        <v>58</v>
      </c>
      <c r="B80" s="10" t="s">
        <v>59</v>
      </c>
      <c r="C80" s="10" t="s">
        <v>23</v>
      </c>
      <c r="D80" s="14">
        <v>8.7575133802108218E-4</v>
      </c>
      <c r="E80" s="10" t="s">
        <v>7</v>
      </c>
      <c r="F80" s="10" t="s">
        <v>24</v>
      </c>
      <c r="G80" s="10" t="s">
        <v>25</v>
      </c>
      <c r="J80" s="10" t="s">
        <v>130</v>
      </c>
    </row>
    <row r="81" spans="1:10" x14ac:dyDescent="0.35">
      <c r="A81" s="10" t="s">
        <v>58</v>
      </c>
      <c r="B81" s="10" t="s">
        <v>59</v>
      </c>
      <c r="C81" s="10" t="s">
        <v>23</v>
      </c>
      <c r="D81" s="14">
        <v>7.9732843076362539E-3</v>
      </c>
      <c r="E81" s="10" t="s">
        <v>7</v>
      </c>
      <c r="F81" s="10" t="s">
        <v>24</v>
      </c>
      <c r="G81" s="10" t="s">
        <v>25</v>
      </c>
      <c r="J81" s="10" t="s">
        <v>130</v>
      </c>
    </row>
    <row r="82" spans="1:10" x14ac:dyDescent="0.35">
      <c r="A82" s="10" t="s">
        <v>176</v>
      </c>
      <c r="B82" s="10" t="s">
        <v>177</v>
      </c>
      <c r="C82" s="10" t="s">
        <v>23</v>
      </c>
      <c r="D82" s="14">
        <v>0.72955551414871744</v>
      </c>
      <c r="E82" s="10" t="s">
        <v>7</v>
      </c>
      <c r="F82" s="10" t="s">
        <v>24</v>
      </c>
      <c r="G82" s="10" t="s">
        <v>25</v>
      </c>
      <c r="J82" s="10" t="s">
        <v>130</v>
      </c>
    </row>
    <row r="83" spans="1:10" x14ac:dyDescent="0.35">
      <c r="A83" s="10" t="s">
        <v>178</v>
      </c>
      <c r="B83" s="10" t="s">
        <v>179</v>
      </c>
      <c r="C83" s="10" t="s">
        <v>23</v>
      </c>
      <c r="D83" s="14">
        <v>5.1161907640665957E-2</v>
      </c>
      <c r="E83" s="10" t="s">
        <v>7</v>
      </c>
      <c r="F83" s="10" t="s">
        <v>24</v>
      </c>
      <c r="G83" s="10" t="s">
        <v>25</v>
      </c>
      <c r="J83" s="10" t="s">
        <v>130</v>
      </c>
    </row>
    <row r="84" spans="1:10" x14ac:dyDescent="0.35">
      <c r="A84" s="10" t="s">
        <v>58</v>
      </c>
      <c r="B84" s="10" t="s">
        <v>59</v>
      </c>
      <c r="C84" s="10" t="s">
        <v>23</v>
      </c>
      <c r="D84" s="14">
        <v>2.6577614358787509E-3</v>
      </c>
      <c r="E84" s="10" t="s">
        <v>7</v>
      </c>
      <c r="F84" s="10" t="s">
        <v>24</v>
      </c>
      <c r="G84" s="10" t="s">
        <v>25</v>
      </c>
      <c r="J84" s="10" t="s">
        <v>130</v>
      </c>
    </row>
    <row r="85" spans="1:10" x14ac:dyDescent="0.35">
      <c r="A85" s="10" t="s">
        <v>180</v>
      </c>
      <c r="B85" s="10" t="s">
        <v>181</v>
      </c>
      <c r="C85" s="10" t="s">
        <v>167</v>
      </c>
      <c r="D85" s="14">
        <v>0.2119564745113304</v>
      </c>
      <c r="E85" s="10" t="s">
        <v>7</v>
      </c>
      <c r="F85" s="10" t="s">
        <v>24</v>
      </c>
      <c r="G85" s="10" t="s">
        <v>25</v>
      </c>
      <c r="J85" s="10" t="s">
        <v>130</v>
      </c>
    </row>
    <row r="86" spans="1:10" x14ac:dyDescent="0.35">
      <c r="A86" s="10" t="s">
        <v>182</v>
      </c>
      <c r="B86" s="10" t="s">
        <v>183</v>
      </c>
      <c r="C86" s="10" t="s">
        <v>28</v>
      </c>
      <c r="D86" s="14">
        <v>9.3021650255756278E-3</v>
      </c>
      <c r="E86" s="10" t="s">
        <v>7</v>
      </c>
      <c r="F86" s="10" t="s">
        <v>24</v>
      </c>
      <c r="G86" s="10" t="s">
        <v>25</v>
      </c>
      <c r="J86" s="10" t="s">
        <v>130</v>
      </c>
    </row>
    <row r="87" spans="1:10" x14ac:dyDescent="0.35">
      <c r="A87" s="10" t="s">
        <v>184</v>
      </c>
      <c r="B87" s="10" t="s">
        <v>59</v>
      </c>
      <c r="C87" s="10" t="s">
        <v>23</v>
      </c>
      <c r="D87" s="14">
        <v>6.7772916614908169E-2</v>
      </c>
      <c r="E87" s="10" t="s">
        <v>7</v>
      </c>
      <c r="F87" s="10" t="s">
        <v>24</v>
      </c>
      <c r="G87" s="10" t="s">
        <v>25</v>
      </c>
      <c r="J87" s="10" t="s">
        <v>130</v>
      </c>
    </row>
    <row r="88" spans="1:10" x14ac:dyDescent="0.35">
      <c r="A88" s="10" t="s">
        <v>185</v>
      </c>
      <c r="B88" s="10" t="s">
        <v>186</v>
      </c>
      <c r="C88" s="10" t="s">
        <v>23</v>
      </c>
      <c r="D88" s="14">
        <v>8.6377246666059435E-3</v>
      </c>
      <c r="E88" s="10" t="s">
        <v>7</v>
      </c>
      <c r="F88" s="10" t="s">
        <v>24</v>
      </c>
      <c r="G88" s="10" t="s">
        <v>25</v>
      </c>
      <c r="J88" s="10" t="s">
        <v>130</v>
      </c>
    </row>
    <row r="89" spans="1:10" x14ac:dyDescent="0.35">
      <c r="A89" s="10" t="s">
        <v>185</v>
      </c>
      <c r="B89" s="10" t="s">
        <v>186</v>
      </c>
      <c r="C89" s="10" t="s">
        <v>23</v>
      </c>
      <c r="D89" s="14">
        <v>7.3088439486665635E-3</v>
      </c>
      <c r="E89" s="10" t="s">
        <v>7</v>
      </c>
      <c r="F89" s="10" t="s">
        <v>24</v>
      </c>
      <c r="G89" s="10" t="s">
        <v>25</v>
      </c>
      <c r="J89" s="10" t="s">
        <v>130</v>
      </c>
    </row>
    <row r="90" spans="1:10" x14ac:dyDescent="0.35">
      <c r="A90" s="10" t="s">
        <v>187</v>
      </c>
      <c r="B90" s="10" t="s">
        <v>188</v>
      </c>
      <c r="C90" s="10" t="s">
        <v>23</v>
      </c>
      <c r="D90" s="14">
        <v>7.9732843076362539E-3</v>
      </c>
      <c r="E90" s="10" t="s">
        <v>7</v>
      </c>
      <c r="F90" s="10" t="s">
        <v>24</v>
      </c>
      <c r="G90" s="10" t="s">
        <v>25</v>
      </c>
      <c r="J90" s="10" t="s">
        <v>130</v>
      </c>
    </row>
    <row r="91" spans="1:10" x14ac:dyDescent="0.35">
      <c r="A91" s="10" t="s">
        <v>189</v>
      </c>
      <c r="B91" s="10" t="s">
        <v>190</v>
      </c>
      <c r="C91" s="10" t="s">
        <v>167</v>
      </c>
      <c r="D91" s="14">
        <v>2.6577614358787509E-3</v>
      </c>
      <c r="E91" s="10" t="s">
        <v>7</v>
      </c>
      <c r="F91" s="10" t="s">
        <v>24</v>
      </c>
      <c r="G91" s="10" t="s">
        <v>25</v>
      </c>
      <c r="J91" s="10" t="s">
        <v>130</v>
      </c>
    </row>
    <row r="92" spans="1:10" x14ac:dyDescent="0.35">
      <c r="A92" s="10" t="s">
        <v>136</v>
      </c>
      <c r="B92" s="10" t="s">
        <v>137</v>
      </c>
      <c r="C92" s="10" t="s">
        <v>23</v>
      </c>
      <c r="D92" s="14">
        <v>9.3686090614726006E-2</v>
      </c>
      <c r="E92" s="10" t="s">
        <v>7</v>
      </c>
      <c r="F92" s="10" t="s">
        <v>24</v>
      </c>
      <c r="G92" s="10" t="s">
        <v>25</v>
      </c>
      <c r="J92" s="10" t="s">
        <v>130</v>
      </c>
    </row>
    <row r="93" spans="1:10" x14ac:dyDescent="0.35">
      <c r="A93" s="10" t="s">
        <v>118</v>
      </c>
      <c r="B93" s="10" t="s">
        <v>119</v>
      </c>
      <c r="C93" s="10" t="s">
        <v>28</v>
      </c>
      <c r="D93" s="14">
        <v>4.6510825127878151E-2</v>
      </c>
      <c r="E93" s="10" t="s">
        <v>7</v>
      </c>
      <c r="F93" s="10" t="s">
        <v>24</v>
      </c>
      <c r="G93" s="10" t="s">
        <v>25</v>
      </c>
      <c r="J93" s="10" t="s">
        <v>130</v>
      </c>
    </row>
    <row r="94" spans="1:10" x14ac:dyDescent="0.35">
      <c r="A94" s="10" t="s">
        <v>105</v>
      </c>
      <c r="B94" s="10" t="s">
        <v>106</v>
      </c>
      <c r="C94" s="10" t="s">
        <v>167</v>
      </c>
      <c r="D94" s="14">
        <v>1.8604330051151256E-2</v>
      </c>
      <c r="E94" s="10" t="s">
        <v>7</v>
      </c>
      <c r="F94" s="10" t="s">
        <v>24</v>
      </c>
      <c r="G94" s="10" t="s">
        <v>25</v>
      </c>
      <c r="J94" s="10" t="s">
        <v>130</v>
      </c>
    </row>
    <row r="95" spans="1:10" x14ac:dyDescent="0.35">
      <c r="A95" s="10" t="s">
        <v>58</v>
      </c>
      <c r="B95" s="10" t="s">
        <v>59</v>
      </c>
      <c r="C95" s="10" t="s">
        <v>23</v>
      </c>
      <c r="D95" s="14">
        <v>0.10631045743515002</v>
      </c>
      <c r="E95" s="10" t="s">
        <v>7</v>
      </c>
      <c r="F95" s="10" t="s">
        <v>24</v>
      </c>
      <c r="G95" s="10" t="s">
        <v>25</v>
      </c>
      <c r="J95" s="10" t="s">
        <v>130</v>
      </c>
    </row>
    <row r="96" spans="1:10" x14ac:dyDescent="0.35">
      <c r="A96" s="10" t="s">
        <v>191</v>
      </c>
      <c r="B96" s="10" t="s">
        <v>192</v>
      </c>
      <c r="C96" s="10" t="s">
        <v>23</v>
      </c>
      <c r="D96" s="14">
        <v>7.1772135554731432E-3</v>
      </c>
      <c r="E96" s="10" t="s">
        <v>7</v>
      </c>
      <c r="F96" s="10" t="s">
        <v>24</v>
      </c>
      <c r="G96" s="10" t="s">
        <v>25</v>
      </c>
      <c r="J96" s="10" t="s">
        <v>130</v>
      </c>
    </row>
    <row r="97" spans="1:10" x14ac:dyDescent="0.35">
      <c r="A97" s="10" t="s">
        <v>193</v>
      </c>
      <c r="B97" s="10" t="s">
        <v>194</v>
      </c>
      <c r="C97" s="10" t="s">
        <v>167</v>
      </c>
      <c r="D97" s="14">
        <v>5.1161907640665943E-3</v>
      </c>
      <c r="E97" s="10" t="s">
        <v>7</v>
      </c>
      <c r="F97" s="10" t="s">
        <v>24</v>
      </c>
      <c r="G97" s="10" t="s">
        <v>25</v>
      </c>
      <c r="J97" s="10" t="s">
        <v>130</v>
      </c>
    </row>
    <row r="98" spans="1:10" x14ac:dyDescent="0.35">
      <c r="A98" s="10" t="s">
        <v>195</v>
      </c>
      <c r="B98" s="10" t="s">
        <v>196</v>
      </c>
      <c r="C98" s="10" t="s">
        <v>23</v>
      </c>
      <c r="D98" s="14">
        <v>7.1772135554731432E-3</v>
      </c>
      <c r="E98" s="10" t="s">
        <v>7</v>
      </c>
      <c r="F98" s="10" t="s">
        <v>24</v>
      </c>
      <c r="G98" s="10" t="s">
        <v>25</v>
      </c>
      <c r="J98" s="10" t="s">
        <v>130</v>
      </c>
    </row>
    <row r="99" spans="1:10" x14ac:dyDescent="0.35">
      <c r="A99" s="10" t="s">
        <v>197</v>
      </c>
      <c r="B99" s="10" t="s">
        <v>198</v>
      </c>
      <c r="C99" s="10" t="s">
        <v>167</v>
      </c>
      <c r="D99" s="14">
        <v>0.37320701647580146</v>
      </c>
      <c r="E99" s="10" t="s">
        <v>7</v>
      </c>
      <c r="F99" s="10" t="s">
        <v>24</v>
      </c>
      <c r="G99" s="10" t="s">
        <v>25</v>
      </c>
      <c r="J99" s="10" t="s">
        <v>130</v>
      </c>
    </row>
    <row r="100" spans="1:10" x14ac:dyDescent="0.35">
      <c r="A100" s="10" t="s">
        <v>63</v>
      </c>
      <c r="B100" s="10" t="s">
        <v>36</v>
      </c>
      <c r="C100" s="10" t="s">
        <v>28</v>
      </c>
      <c r="D100" s="14">
        <v>-3.3155573912587431E-4</v>
      </c>
      <c r="E100" s="10" t="s">
        <v>7</v>
      </c>
      <c r="F100" s="10" t="s">
        <v>24</v>
      </c>
      <c r="G100" s="10" t="s">
        <v>25</v>
      </c>
      <c r="J100" s="10" t="s">
        <v>130</v>
      </c>
    </row>
    <row r="101" spans="1:10" x14ac:dyDescent="0.35">
      <c r="A101" s="10" t="s">
        <v>199</v>
      </c>
      <c r="B101" s="10" t="s">
        <v>200</v>
      </c>
      <c r="C101" s="10" t="s">
        <v>135</v>
      </c>
      <c r="D101" s="14">
        <v>7.1493782625138403E-5</v>
      </c>
      <c r="E101" s="10" t="s">
        <v>7</v>
      </c>
      <c r="F101" s="10" t="s">
        <v>24</v>
      </c>
      <c r="G101" s="10" t="s">
        <v>25</v>
      </c>
      <c r="J101" s="10" t="s">
        <v>130</v>
      </c>
    </row>
    <row r="102" spans="1:10" x14ac:dyDescent="0.35">
      <c r="A102" s="10" t="s">
        <v>201</v>
      </c>
      <c r="B102" s="10" t="s">
        <v>202</v>
      </c>
      <c r="C102" s="10" t="s">
        <v>135</v>
      </c>
      <c r="D102" s="14">
        <v>9.8602949271101698E-4</v>
      </c>
      <c r="E102" s="10" t="s">
        <v>7</v>
      </c>
      <c r="F102" s="10" t="s">
        <v>24</v>
      </c>
      <c r="G102" s="10" t="s">
        <v>25</v>
      </c>
      <c r="J102" s="10" t="s">
        <v>130</v>
      </c>
    </row>
    <row r="103" spans="1:10" x14ac:dyDescent="0.35">
      <c r="A103" s="10" t="s">
        <v>203</v>
      </c>
      <c r="B103" s="10" t="s">
        <v>204</v>
      </c>
      <c r="C103" s="10" t="s">
        <v>23</v>
      </c>
      <c r="D103" s="14">
        <v>-4.4783280194556963E-4</v>
      </c>
      <c r="E103" s="10" t="s">
        <v>7</v>
      </c>
      <c r="F103" s="10" t="s">
        <v>24</v>
      </c>
      <c r="G103" s="10" t="s">
        <v>25</v>
      </c>
      <c r="J103" s="10" t="s">
        <v>130</v>
      </c>
    </row>
    <row r="104" spans="1:10" x14ac:dyDescent="0.35">
      <c r="A104" s="10" t="s">
        <v>205</v>
      </c>
      <c r="B104" s="10" t="s">
        <v>150</v>
      </c>
      <c r="C104" s="10" t="s">
        <v>135</v>
      </c>
      <c r="D104" s="14">
        <v>-1.382035946656951E-4</v>
      </c>
      <c r="E104" s="10" t="s">
        <v>7</v>
      </c>
      <c r="F104" s="10" t="s">
        <v>24</v>
      </c>
      <c r="G104" s="10" t="s">
        <v>25</v>
      </c>
      <c r="J104" s="10" t="s">
        <v>130</v>
      </c>
    </row>
    <row r="105" spans="1:10" x14ac:dyDescent="0.35">
      <c r="A105" s="10" t="s">
        <v>206</v>
      </c>
      <c r="B105" s="10" t="s">
        <v>207</v>
      </c>
      <c r="C105" s="10" t="s">
        <v>28</v>
      </c>
      <c r="D105" s="14">
        <v>-5.9799632307271887E-7</v>
      </c>
      <c r="E105" s="10" t="s">
        <v>7</v>
      </c>
      <c r="F105" s="10" t="s">
        <v>24</v>
      </c>
      <c r="G105" s="10" t="s">
        <v>25</v>
      </c>
      <c r="J105" s="10" t="s">
        <v>130</v>
      </c>
    </row>
    <row r="106" spans="1:10" x14ac:dyDescent="0.35">
      <c r="A106" s="10" t="s">
        <v>208</v>
      </c>
      <c r="B106" s="10" t="s">
        <v>209</v>
      </c>
      <c r="C106" s="10" t="s">
        <v>23</v>
      </c>
      <c r="D106" s="14">
        <v>-2.1129203415236084E-6</v>
      </c>
      <c r="E106" s="10" t="s">
        <v>7</v>
      </c>
      <c r="F106" s="10" t="s">
        <v>24</v>
      </c>
      <c r="G106" s="10" t="s">
        <v>25</v>
      </c>
      <c r="J106" s="10" t="s">
        <v>130</v>
      </c>
    </row>
    <row r="107" spans="1:10" x14ac:dyDescent="0.35">
      <c r="A107" s="10" t="s">
        <v>210</v>
      </c>
      <c r="B107" s="10" t="s">
        <v>211</v>
      </c>
      <c r="C107" s="10" t="s">
        <v>28</v>
      </c>
      <c r="D107" s="14">
        <v>-5.7141870871393129E-7</v>
      </c>
      <c r="E107" s="10" t="s">
        <v>7</v>
      </c>
      <c r="F107" s="10" t="s">
        <v>24</v>
      </c>
      <c r="G107" s="10" t="s">
        <v>25</v>
      </c>
      <c r="J107" s="10" t="s">
        <v>130</v>
      </c>
    </row>
    <row r="108" spans="1:10" x14ac:dyDescent="0.35">
      <c r="A108" s="10" t="s">
        <v>212</v>
      </c>
      <c r="B108" s="10" t="s">
        <v>213</v>
      </c>
      <c r="C108" s="10" t="s">
        <v>23</v>
      </c>
      <c r="D108" s="14">
        <v>-5.9799632307271887E-7</v>
      </c>
      <c r="E108" s="10" t="s">
        <v>7</v>
      </c>
      <c r="F108" s="10" t="s">
        <v>24</v>
      </c>
      <c r="G108" s="10" t="s">
        <v>25</v>
      </c>
      <c r="J108" s="10" t="s">
        <v>130</v>
      </c>
    </row>
    <row r="109" spans="1:10" x14ac:dyDescent="0.35">
      <c r="A109" s="10" t="s">
        <v>214</v>
      </c>
      <c r="B109" s="10" t="s">
        <v>215</v>
      </c>
      <c r="C109" s="10" t="s">
        <v>135</v>
      </c>
      <c r="D109" s="14">
        <v>-6.4251382712368816E-4</v>
      </c>
      <c r="E109" s="10" t="s">
        <v>7</v>
      </c>
      <c r="F109" s="10" t="s">
        <v>24</v>
      </c>
      <c r="G109" s="10" t="s">
        <v>25</v>
      </c>
      <c r="J109" s="10" t="s">
        <v>130</v>
      </c>
    </row>
    <row r="110" spans="1:10" x14ac:dyDescent="0.35">
      <c r="A110" s="10" t="s">
        <v>205</v>
      </c>
      <c r="B110" s="10" t="s">
        <v>150</v>
      </c>
      <c r="C110" s="10" t="s">
        <v>135</v>
      </c>
      <c r="D110" s="14">
        <v>-1.421237927836162E-4</v>
      </c>
      <c r="E110" s="10" t="s">
        <v>7</v>
      </c>
      <c r="F110" s="10" t="s">
        <v>24</v>
      </c>
      <c r="G110" s="10" t="s">
        <v>25</v>
      </c>
      <c r="J110" s="10" t="s">
        <v>130</v>
      </c>
    </row>
    <row r="111" spans="1:10" x14ac:dyDescent="0.35">
      <c r="A111" s="10" t="s">
        <v>216</v>
      </c>
      <c r="B111" s="10" t="s">
        <v>77</v>
      </c>
      <c r="C111" s="10" t="s">
        <v>28</v>
      </c>
      <c r="D111" s="14">
        <v>-4.2989291225338798E-6</v>
      </c>
      <c r="E111" s="10" t="s">
        <v>7</v>
      </c>
      <c r="F111" s="10" t="s">
        <v>24</v>
      </c>
      <c r="G111" s="10" t="s">
        <v>25</v>
      </c>
      <c r="J111" s="10" t="s">
        <v>130</v>
      </c>
    </row>
    <row r="112" spans="1:10" x14ac:dyDescent="0.35">
      <c r="A112" s="10" t="s">
        <v>60</v>
      </c>
      <c r="B112" s="10" t="s">
        <v>61</v>
      </c>
      <c r="C112" s="10" t="s">
        <v>167</v>
      </c>
      <c r="D112" s="14">
        <v>-5.3155228717575039E-7</v>
      </c>
      <c r="E112" s="10" t="s">
        <v>7</v>
      </c>
      <c r="F112" s="10" t="s">
        <v>24</v>
      </c>
      <c r="G112" s="10" t="s">
        <v>25</v>
      </c>
      <c r="J112" s="10" t="s">
        <v>130</v>
      </c>
    </row>
    <row r="113" spans="1:10" s="15" customFormat="1" x14ac:dyDescent="0.35">
      <c r="A113" s="15" t="s">
        <v>65</v>
      </c>
      <c r="B113" s="15" t="s">
        <v>66</v>
      </c>
      <c r="C113" s="15" t="s">
        <v>167</v>
      </c>
      <c r="D113" s="14">
        <v>-115.49151126934397</v>
      </c>
      <c r="E113" s="15" t="s">
        <v>7</v>
      </c>
      <c r="F113" s="15" t="s">
        <v>24</v>
      </c>
      <c r="G113" s="15" t="s">
        <v>25</v>
      </c>
    </row>
    <row r="114" spans="1:10" s="15" customFormat="1" x14ac:dyDescent="0.35">
      <c r="A114" s="15" t="s">
        <v>217</v>
      </c>
      <c r="B114" s="15" t="s">
        <v>218</v>
      </c>
      <c r="C114" s="15" t="s">
        <v>167</v>
      </c>
      <c r="D114" s="14">
        <v>-7.963510931319651</v>
      </c>
      <c r="E114" s="15" t="s">
        <v>7</v>
      </c>
      <c r="F114" s="15" t="s">
        <v>24</v>
      </c>
      <c r="G114" s="15" t="s">
        <v>25</v>
      </c>
    </row>
    <row r="115" spans="1:10" s="15" customFormat="1" x14ac:dyDescent="0.35">
      <c r="A115" s="15" t="s">
        <v>131</v>
      </c>
      <c r="B115" s="15" t="s">
        <v>132</v>
      </c>
      <c r="C115" s="15" t="s">
        <v>129</v>
      </c>
      <c r="D115" s="14">
        <v>-11.491788691168221</v>
      </c>
      <c r="E115" s="15" t="s">
        <v>34</v>
      </c>
      <c r="F115" s="15" t="s">
        <v>24</v>
      </c>
      <c r="G115" s="15" t="s">
        <v>25</v>
      </c>
    </row>
    <row r="116" spans="1:10" s="15" customFormat="1" x14ac:dyDescent="0.35">
      <c r="A116" s="15" t="s">
        <v>133</v>
      </c>
      <c r="B116" s="15" t="s">
        <v>134</v>
      </c>
      <c r="C116" s="15" t="s">
        <v>28</v>
      </c>
      <c r="D116" s="14">
        <v>-8.5909193497376197</v>
      </c>
      <c r="E116" s="15" t="s">
        <v>31</v>
      </c>
      <c r="F116" s="15" t="s">
        <v>24</v>
      </c>
      <c r="G116" s="15" t="s">
        <v>25</v>
      </c>
      <c r="J116" s="15" t="s">
        <v>130</v>
      </c>
    </row>
    <row r="117" spans="1:10" x14ac:dyDescent="0.35">
      <c r="A117" s="10" t="s">
        <v>235</v>
      </c>
      <c r="D117" s="14">
        <v>48.129401842328321</v>
      </c>
      <c r="E117" s="10" t="s">
        <v>35</v>
      </c>
      <c r="F117" s="10" t="s">
        <v>37</v>
      </c>
      <c r="G117" s="10" t="s">
        <v>38</v>
      </c>
      <c r="H117" s="10" t="s">
        <v>157</v>
      </c>
      <c r="J117" s="10" t="s">
        <v>130</v>
      </c>
    </row>
    <row r="118" spans="1:10" x14ac:dyDescent="0.35">
      <c r="A118" s="10" t="s">
        <v>52</v>
      </c>
      <c r="D118" s="14">
        <v>5.727416417267569E-4</v>
      </c>
      <c r="E118" s="10" t="s">
        <v>7</v>
      </c>
      <c r="F118" s="10" t="s">
        <v>37</v>
      </c>
      <c r="G118" s="10" t="s">
        <v>38</v>
      </c>
      <c r="H118" s="10" t="s">
        <v>49</v>
      </c>
      <c r="J118" s="10" t="s">
        <v>130</v>
      </c>
    </row>
    <row r="119" spans="1:10" x14ac:dyDescent="0.35">
      <c r="A119" s="10" t="s">
        <v>54</v>
      </c>
      <c r="D119" s="14">
        <v>1.2358590676836192E-4</v>
      </c>
      <c r="E119" s="10" t="s">
        <v>7</v>
      </c>
      <c r="F119" s="10" t="s">
        <v>37</v>
      </c>
      <c r="G119" s="10" t="s">
        <v>38</v>
      </c>
      <c r="H119" s="10" t="s">
        <v>49</v>
      </c>
      <c r="J119" s="10" t="s">
        <v>130</v>
      </c>
    </row>
    <row r="120" spans="1:10" x14ac:dyDescent="0.35">
      <c r="A120" s="10" t="s">
        <v>47</v>
      </c>
      <c r="D120" s="14">
        <v>4.01821840726087E-5</v>
      </c>
      <c r="E120" s="10" t="s">
        <v>7</v>
      </c>
      <c r="F120" s="10" t="s">
        <v>37</v>
      </c>
      <c r="G120" s="10" t="s">
        <v>38</v>
      </c>
      <c r="H120" s="10" t="s">
        <v>49</v>
      </c>
      <c r="J120" s="10" t="s">
        <v>130</v>
      </c>
    </row>
    <row r="121" spans="1:10" x14ac:dyDescent="0.35">
      <c r="A121" s="10" t="s">
        <v>56</v>
      </c>
      <c r="D121" s="14">
        <v>4.7820277862672625E-6</v>
      </c>
      <c r="E121" s="10" t="s">
        <v>7</v>
      </c>
      <c r="F121" s="10" t="s">
        <v>37</v>
      </c>
      <c r="G121" s="10" t="s">
        <v>38</v>
      </c>
      <c r="H121" s="10" t="s">
        <v>49</v>
      </c>
      <c r="J121" s="10" t="s">
        <v>130</v>
      </c>
    </row>
    <row r="122" spans="1:10" x14ac:dyDescent="0.35">
      <c r="A122" s="10" t="s">
        <v>48</v>
      </c>
      <c r="D122" s="14">
        <v>5.979963230727189E-6</v>
      </c>
      <c r="E122" s="10" t="s">
        <v>7</v>
      </c>
      <c r="F122" s="10" t="s">
        <v>37</v>
      </c>
      <c r="G122" s="10" t="s">
        <v>38</v>
      </c>
      <c r="H122" s="10" t="s">
        <v>49</v>
      </c>
      <c r="J122" s="10" t="s">
        <v>130</v>
      </c>
    </row>
    <row r="123" spans="1:10" x14ac:dyDescent="0.35">
      <c r="A123" s="10" t="s">
        <v>55</v>
      </c>
      <c r="D123" s="14">
        <v>3.580627676344112E-5</v>
      </c>
      <c r="E123" s="10" t="s">
        <v>7</v>
      </c>
      <c r="F123" s="10" t="s">
        <v>37</v>
      </c>
      <c r="G123" s="10" t="s">
        <v>38</v>
      </c>
      <c r="H123" s="10" t="s">
        <v>49</v>
      </c>
      <c r="J123" s="10" t="s">
        <v>130</v>
      </c>
    </row>
    <row r="124" spans="1:10" x14ac:dyDescent="0.35">
      <c r="A124" s="10" t="s">
        <v>51</v>
      </c>
      <c r="D124" s="14">
        <v>1.2497766697991243E-3</v>
      </c>
      <c r="E124" s="10" t="s">
        <v>7</v>
      </c>
      <c r="F124" s="10" t="s">
        <v>37</v>
      </c>
      <c r="G124" s="10" t="s">
        <v>38</v>
      </c>
      <c r="H124" s="10" t="s">
        <v>49</v>
      </c>
      <c r="J124" s="10" t="s">
        <v>130</v>
      </c>
    </row>
    <row r="125" spans="1:10" x14ac:dyDescent="0.35">
      <c r="A125" s="10" t="s">
        <v>219</v>
      </c>
      <c r="D125" s="14">
        <v>1.5614348435787665E-10</v>
      </c>
      <c r="E125" s="10" t="s">
        <v>7</v>
      </c>
      <c r="F125" s="10" t="s">
        <v>37</v>
      </c>
      <c r="G125" s="10" t="s">
        <v>38</v>
      </c>
      <c r="H125" s="10" t="s">
        <v>46</v>
      </c>
      <c r="J125" s="10" t="s">
        <v>130</v>
      </c>
    </row>
    <row r="126" spans="1:10" x14ac:dyDescent="0.35">
      <c r="A126" s="10" t="s">
        <v>45</v>
      </c>
      <c r="D126" s="14">
        <v>1.9177099000448883</v>
      </c>
      <c r="E126" s="10" t="s">
        <v>7</v>
      </c>
      <c r="F126" s="10" t="s">
        <v>37</v>
      </c>
      <c r="G126" s="10" t="s">
        <v>38</v>
      </c>
      <c r="H126" s="10" t="s">
        <v>46</v>
      </c>
      <c r="J126" s="10" t="s">
        <v>130</v>
      </c>
    </row>
    <row r="127" spans="1:10" x14ac:dyDescent="0.35">
      <c r="A127" s="10" t="s">
        <v>52</v>
      </c>
      <c r="D127" s="14">
        <v>4.7848090369820935E-4</v>
      </c>
      <c r="E127" s="10" t="s">
        <v>7</v>
      </c>
      <c r="F127" s="10" t="s">
        <v>37</v>
      </c>
      <c r="G127" s="10" t="s">
        <v>38</v>
      </c>
      <c r="H127" s="10" t="s">
        <v>46</v>
      </c>
      <c r="J127" s="10" t="s">
        <v>130</v>
      </c>
    </row>
    <row r="128" spans="1:10" x14ac:dyDescent="0.35">
      <c r="A128" s="10" t="s">
        <v>51</v>
      </c>
      <c r="D128" s="14">
        <v>9.4382127360538039E-4</v>
      </c>
      <c r="E128" s="10" t="s">
        <v>7</v>
      </c>
      <c r="F128" s="10" t="s">
        <v>37</v>
      </c>
      <c r="G128" s="10" t="s">
        <v>38</v>
      </c>
      <c r="H128" s="10" t="s">
        <v>46</v>
      </c>
      <c r="J128" s="10" t="s">
        <v>130</v>
      </c>
    </row>
    <row r="129" spans="1:14" x14ac:dyDescent="0.35">
      <c r="A129" s="10" t="s">
        <v>56</v>
      </c>
      <c r="D129" s="14">
        <v>6.2921418240358688E-6</v>
      </c>
      <c r="E129" s="10" t="s">
        <v>7</v>
      </c>
      <c r="F129" s="10" t="s">
        <v>37</v>
      </c>
      <c r="G129" s="10" t="s">
        <v>38</v>
      </c>
      <c r="H129" s="10" t="s">
        <v>46</v>
      </c>
      <c r="J129" s="10" t="s">
        <v>130</v>
      </c>
    </row>
    <row r="130" spans="1:14" x14ac:dyDescent="0.35">
      <c r="A130" s="10" t="s">
        <v>54</v>
      </c>
      <c r="D130" s="14">
        <v>1.5282128256302821E-4</v>
      </c>
      <c r="E130" s="10" t="s">
        <v>7</v>
      </c>
      <c r="F130" s="10" t="s">
        <v>37</v>
      </c>
      <c r="G130" s="10" t="s">
        <v>38</v>
      </c>
      <c r="H130" s="10" t="s">
        <v>46</v>
      </c>
      <c r="J130" s="10" t="s">
        <v>130</v>
      </c>
    </row>
    <row r="131" spans="1:14" x14ac:dyDescent="0.35">
      <c r="A131" s="10" t="s">
        <v>48</v>
      </c>
      <c r="D131" s="14">
        <v>1.5282128256302823E-5</v>
      </c>
      <c r="E131" s="10" t="s">
        <v>7</v>
      </c>
      <c r="F131" s="10" t="s">
        <v>37</v>
      </c>
      <c r="G131" s="10" t="s">
        <v>38</v>
      </c>
      <c r="H131" s="10" t="s">
        <v>46</v>
      </c>
      <c r="J131" s="10" t="s">
        <v>130</v>
      </c>
    </row>
    <row r="132" spans="1:14" x14ac:dyDescent="0.35">
      <c r="A132" s="10" t="s">
        <v>47</v>
      </c>
      <c r="D132" s="14">
        <v>2.54813850216543E-4</v>
      </c>
      <c r="E132" s="10" t="s">
        <v>7</v>
      </c>
      <c r="F132" s="10" t="s">
        <v>37</v>
      </c>
      <c r="G132" s="10" t="s">
        <v>38</v>
      </c>
      <c r="H132" s="10" t="s">
        <v>46</v>
      </c>
      <c r="J132" s="10" t="s">
        <v>130</v>
      </c>
    </row>
    <row r="133" spans="1:14" s="18" customFormat="1" x14ac:dyDescent="0.35"/>
    <row r="134" spans="1:14" x14ac:dyDescent="0.35">
      <c r="A134" s="9" t="s">
        <v>0</v>
      </c>
      <c r="B134" s="9" t="s">
        <v>220</v>
      </c>
    </row>
    <row r="135" spans="1:14" x14ac:dyDescent="0.35">
      <c r="A135" s="11" t="s">
        <v>1</v>
      </c>
      <c r="B135" s="10" t="s">
        <v>90</v>
      </c>
    </row>
    <row r="136" spans="1:14" x14ac:dyDescent="0.35">
      <c r="A136" s="11" t="s">
        <v>3</v>
      </c>
      <c r="B136" s="10" t="s">
        <v>129</v>
      </c>
    </row>
    <row r="137" spans="1:14" x14ac:dyDescent="0.35">
      <c r="A137" s="11" t="s">
        <v>5</v>
      </c>
      <c r="B137" s="10">
        <v>1</v>
      </c>
    </row>
    <row r="138" spans="1:14" x14ac:dyDescent="0.35">
      <c r="A138" s="11" t="s">
        <v>6</v>
      </c>
      <c r="B138" s="10" t="s">
        <v>7</v>
      </c>
    </row>
    <row r="139" spans="1:14" x14ac:dyDescent="0.35">
      <c r="A139" s="11" t="s">
        <v>8</v>
      </c>
      <c r="B139" s="14" t="s">
        <v>221</v>
      </c>
    </row>
    <row r="140" spans="1:14" x14ac:dyDescent="0.35">
      <c r="A140" s="11" t="s">
        <v>9</v>
      </c>
    </row>
    <row r="141" spans="1:14" x14ac:dyDescent="0.35">
      <c r="A141" s="9" t="s">
        <v>10</v>
      </c>
      <c r="B141" s="9" t="s">
        <v>1</v>
      </c>
      <c r="C141" s="9" t="s">
        <v>3</v>
      </c>
      <c r="D141" s="9" t="s">
        <v>5</v>
      </c>
      <c r="E141" s="9" t="s">
        <v>6</v>
      </c>
      <c r="F141" s="9" t="s">
        <v>11</v>
      </c>
      <c r="G141" s="9" t="s">
        <v>12</v>
      </c>
      <c r="H141" s="9" t="s">
        <v>13</v>
      </c>
      <c r="I141" s="9" t="s">
        <v>14</v>
      </c>
      <c r="J141" s="9" t="s">
        <v>15</v>
      </c>
      <c r="K141" s="9" t="s">
        <v>16</v>
      </c>
      <c r="L141" s="9" t="s">
        <v>17</v>
      </c>
      <c r="M141" s="9" t="s">
        <v>18</v>
      </c>
      <c r="N141" s="9" t="s">
        <v>19</v>
      </c>
    </row>
    <row r="142" spans="1:14" x14ac:dyDescent="0.35">
      <c r="A142" s="10" t="str">
        <f>B134</f>
        <v>Ag recovery from Cu production in Sweden/Rönnskärsverken</v>
      </c>
      <c r="B142" s="10" t="str">
        <f>B135</f>
        <v>Refined Ag</v>
      </c>
      <c r="C142" s="10" t="s">
        <v>129</v>
      </c>
      <c r="D142" s="10">
        <v>1</v>
      </c>
      <c r="E142" s="10" t="s">
        <v>7</v>
      </c>
      <c r="F142" s="13" t="str">
        <f>F60</f>
        <v>Silver</v>
      </c>
      <c r="G142" s="10" t="s">
        <v>20</v>
      </c>
    </row>
    <row r="143" spans="1:14" x14ac:dyDescent="0.35">
      <c r="A143" s="10" t="str">
        <f>A60</f>
        <v>[P+R] Silver (Ag) production - Pyrometallurgy (Sweden)</v>
      </c>
      <c r="B143" s="10" t="str">
        <f>B60</f>
        <v>Refined Ag</v>
      </c>
      <c r="C143" s="10" t="str">
        <f>C60</f>
        <v>SE</v>
      </c>
      <c r="D143" s="10">
        <v>1</v>
      </c>
      <c r="E143" s="10" t="str">
        <f>E60</f>
        <v>kilogram</v>
      </c>
      <c r="F143" s="13" t="str">
        <f>F60</f>
        <v>Silver</v>
      </c>
      <c r="G143" s="10" t="s">
        <v>25</v>
      </c>
    </row>
    <row r="144" spans="1:14" x14ac:dyDescent="0.35">
      <c r="A144" s="10" t="str">
        <f>A9</f>
        <v>[M+C] Copper (Cu) ore mining and concentration (Sweden)</v>
      </c>
      <c r="B144" s="10" t="str">
        <f t="shared" ref="B144:F144" si="0">B9</f>
        <v>Cu concentrate</v>
      </c>
      <c r="C144" s="10" t="str">
        <f t="shared" si="0"/>
        <v>SE</v>
      </c>
      <c r="D144" s="14">
        <v>203.74532055518321</v>
      </c>
      <c r="E144" s="10" t="str">
        <f t="shared" si="0"/>
        <v>kilogram</v>
      </c>
      <c r="F144" s="13" t="str">
        <f t="shared" si="0"/>
        <v>Silver</v>
      </c>
      <c r="G144" s="10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4644-A51E-48F5-B809-F010E442CE66}">
  <sheetPr>
    <tabColor theme="8" tint="0.39997558519241921"/>
  </sheetPr>
  <dimension ref="A1:N57"/>
  <sheetViews>
    <sheetView workbookViewId="0"/>
  </sheetViews>
  <sheetFormatPr baseColWidth="10" defaultColWidth="9.1796875" defaultRowHeight="14.5" x14ac:dyDescent="0.35"/>
  <cols>
    <col min="1" max="1" width="63.26953125" style="10" bestFit="1" customWidth="1"/>
    <col min="2" max="2" width="74.7265625" style="10" customWidth="1"/>
    <col min="3" max="3" width="8.1796875" style="10" bestFit="1" customWidth="1"/>
    <col min="4" max="4" width="12" style="10" bestFit="1" customWidth="1"/>
    <col min="5" max="5" width="12.81640625" style="10" bestFit="1" customWidth="1"/>
    <col min="6" max="6" width="19.7265625" style="10" bestFit="1" customWidth="1"/>
    <col min="7" max="7" width="13.26953125" style="10" bestFit="1" customWidth="1"/>
    <col min="8" max="8" width="10.179687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9.1796875" style="10"/>
  </cols>
  <sheetData>
    <row r="1" spans="1:14" x14ac:dyDescent="0.35">
      <c r="A1" s="9" t="s">
        <v>0</v>
      </c>
      <c r="B1" s="9" t="s">
        <v>74</v>
      </c>
    </row>
    <row r="2" spans="1:14" x14ac:dyDescent="0.35">
      <c r="A2" s="11" t="s">
        <v>1</v>
      </c>
      <c r="B2" s="10" t="s">
        <v>2</v>
      </c>
    </row>
    <row r="3" spans="1:14" x14ac:dyDescent="0.35">
      <c r="A3" s="11" t="s">
        <v>3</v>
      </c>
      <c r="B3" s="10" t="s">
        <v>28</v>
      </c>
    </row>
    <row r="4" spans="1:14" x14ac:dyDescent="0.35">
      <c r="A4" s="11" t="s">
        <v>5</v>
      </c>
      <c r="B4" s="10">
        <v>1</v>
      </c>
    </row>
    <row r="5" spans="1:14" x14ac:dyDescent="0.35">
      <c r="A5" s="11" t="s">
        <v>6</v>
      </c>
      <c r="B5" s="10" t="s">
        <v>7</v>
      </c>
    </row>
    <row r="6" spans="1:14" x14ac:dyDescent="0.35">
      <c r="A6" s="11" t="s">
        <v>8</v>
      </c>
      <c r="B6" s="19" t="s">
        <v>57</v>
      </c>
    </row>
    <row r="7" spans="1:14" x14ac:dyDescent="0.35">
      <c r="A7" s="11" t="s">
        <v>9</v>
      </c>
    </row>
    <row r="8" spans="1:14" x14ac:dyDescent="0.35">
      <c r="A8" s="9" t="s">
        <v>10</v>
      </c>
      <c r="B8" s="9" t="s">
        <v>1</v>
      </c>
      <c r="C8" s="9" t="s">
        <v>3</v>
      </c>
      <c r="D8" s="9" t="s">
        <v>5</v>
      </c>
      <c r="E8" s="9" t="s">
        <v>6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14" x14ac:dyDescent="0.35">
      <c r="A9" s="10" t="s">
        <v>74</v>
      </c>
      <c r="B9" s="10" t="s">
        <v>2</v>
      </c>
      <c r="C9" s="10" t="s">
        <v>28</v>
      </c>
      <c r="D9" s="10">
        <v>1</v>
      </c>
      <c r="E9" s="10" t="s">
        <v>7</v>
      </c>
      <c r="F9" s="13" t="str">
        <f>Ag_Market_GLO!B1</f>
        <v>Silver</v>
      </c>
      <c r="G9" s="10" t="s">
        <v>20</v>
      </c>
    </row>
    <row r="10" spans="1:14" x14ac:dyDescent="0.35">
      <c r="A10" s="10" t="s">
        <v>84</v>
      </c>
      <c r="B10" s="10" t="s">
        <v>64</v>
      </c>
      <c r="C10" s="10" t="s">
        <v>28</v>
      </c>
      <c r="D10" s="10">
        <v>4.0502431118314428</v>
      </c>
      <c r="E10" s="10" t="s">
        <v>31</v>
      </c>
      <c r="F10" s="10" t="s">
        <v>24</v>
      </c>
      <c r="G10" s="10" t="s">
        <v>25</v>
      </c>
      <c r="J10" s="10" t="s">
        <v>83</v>
      </c>
    </row>
    <row r="11" spans="1:14" x14ac:dyDescent="0.35">
      <c r="A11" s="10" t="s">
        <v>71</v>
      </c>
      <c r="B11" s="10" t="s">
        <v>72</v>
      </c>
      <c r="C11" s="10" t="s">
        <v>28</v>
      </c>
      <c r="D11" s="10">
        <v>-170.072933549433</v>
      </c>
      <c r="E11" s="10" t="s">
        <v>7</v>
      </c>
      <c r="F11" s="10" t="s">
        <v>24</v>
      </c>
      <c r="G11" s="10" t="s">
        <v>25</v>
      </c>
      <c r="J11" s="10" t="s">
        <v>83</v>
      </c>
    </row>
    <row r="12" spans="1:14" x14ac:dyDescent="0.35">
      <c r="A12" s="10" t="s">
        <v>51</v>
      </c>
      <c r="D12" s="10">
        <v>1.7828200972447329E-5</v>
      </c>
      <c r="E12" s="10" t="s">
        <v>7</v>
      </c>
      <c r="F12" s="10" t="s">
        <v>37</v>
      </c>
      <c r="G12" s="10" t="s">
        <v>38</v>
      </c>
      <c r="H12" s="10" t="s">
        <v>46</v>
      </c>
      <c r="J12" s="10" t="s">
        <v>83</v>
      </c>
    </row>
    <row r="13" spans="1:14" x14ac:dyDescent="0.35">
      <c r="A13" s="10" t="s">
        <v>47</v>
      </c>
      <c r="D13" s="10">
        <v>1.004862236628849E-6</v>
      </c>
      <c r="E13" s="10" t="s">
        <v>7</v>
      </c>
      <c r="F13" s="10" t="s">
        <v>37</v>
      </c>
      <c r="G13" s="10" t="s">
        <v>38</v>
      </c>
      <c r="H13" s="10" t="s">
        <v>46</v>
      </c>
      <c r="J13" s="10" t="s">
        <v>83</v>
      </c>
    </row>
    <row r="14" spans="1:14" x14ac:dyDescent="0.35">
      <c r="A14" s="10" t="s">
        <v>56</v>
      </c>
      <c r="D14" s="10">
        <v>1.944894651539708E-7</v>
      </c>
      <c r="E14" s="10" t="s">
        <v>7</v>
      </c>
      <c r="F14" s="10" t="s">
        <v>37</v>
      </c>
      <c r="G14" s="10" t="s">
        <v>38</v>
      </c>
      <c r="H14" s="10" t="s">
        <v>46</v>
      </c>
      <c r="J14" s="10" t="s">
        <v>83</v>
      </c>
    </row>
    <row r="15" spans="1:14" x14ac:dyDescent="0.35">
      <c r="A15" s="10" t="s">
        <v>85</v>
      </c>
      <c r="D15" s="10">
        <v>0.29011345218800649</v>
      </c>
      <c r="E15" s="10" t="s">
        <v>7</v>
      </c>
      <c r="F15" s="10" t="s">
        <v>37</v>
      </c>
      <c r="G15" s="10" t="s">
        <v>38</v>
      </c>
      <c r="H15" s="10" t="s">
        <v>46</v>
      </c>
      <c r="J15" s="10" t="s">
        <v>83</v>
      </c>
    </row>
    <row r="16" spans="1:14" x14ac:dyDescent="0.35">
      <c r="A16" s="10" t="s">
        <v>86</v>
      </c>
      <c r="D16" s="10">
        <v>3.721231766612642E-4</v>
      </c>
      <c r="E16" s="10" t="s">
        <v>7</v>
      </c>
      <c r="F16" s="10" t="s">
        <v>37</v>
      </c>
      <c r="G16" s="10" t="s">
        <v>38</v>
      </c>
      <c r="H16" s="10" t="s">
        <v>46</v>
      </c>
      <c r="J16" s="10" t="s">
        <v>83</v>
      </c>
    </row>
    <row r="17" spans="1:14" x14ac:dyDescent="0.35">
      <c r="A17" s="10" t="s">
        <v>87</v>
      </c>
      <c r="D17" s="10">
        <v>2.338735818476499E-4</v>
      </c>
      <c r="E17" s="10" t="s">
        <v>7</v>
      </c>
      <c r="F17" s="10" t="s">
        <v>37</v>
      </c>
      <c r="G17" s="10" t="s">
        <v>38</v>
      </c>
      <c r="H17" s="10" t="s">
        <v>46</v>
      </c>
      <c r="J17" s="10" t="s">
        <v>83</v>
      </c>
    </row>
    <row r="18" spans="1:14" x14ac:dyDescent="0.35">
      <c r="A18" s="10" t="s">
        <v>62</v>
      </c>
      <c r="D18" s="10">
        <v>4.6139384116693676E-3</v>
      </c>
      <c r="E18" s="10" t="s">
        <v>7</v>
      </c>
      <c r="F18" s="10" t="s">
        <v>37</v>
      </c>
      <c r="G18" s="10" t="s">
        <v>38</v>
      </c>
      <c r="H18" s="10" t="s">
        <v>46</v>
      </c>
      <c r="J18" s="10" t="s">
        <v>83</v>
      </c>
    </row>
    <row r="19" spans="1:14" x14ac:dyDescent="0.35">
      <c r="A19" s="10" t="s">
        <v>47</v>
      </c>
      <c r="D19" s="10">
        <v>4.8622366288492706E-9</v>
      </c>
      <c r="E19" s="10" t="s">
        <v>7</v>
      </c>
      <c r="F19" s="10" t="s">
        <v>37</v>
      </c>
      <c r="G19" s="10" t="s">
        <v>38</v>
      </c>
      <c r="H19" s="10" t="s">
        <v>49</v>
      </c>
      <c r="J19" s="10" t="s">
        <v>83</v>
      </c>
    </row>
    <row r="20" spans="1:14" x14ac:dyDescent="0.35">
      <c r="A20" s="10" t="s">
        <v>51</v>
      </c>
      <c r="D20" s="10">
        <v>3.6466774716369529E-7</v>
      </c>
      <c r="E20" s="10" t="s">
        <v>7</v>
      </c>
      <c r="F20" s="10" t="s">
        <v>37</v>
      </c>
      <c r="G20" s="10" t="s">
        <v>38</v>
      </c>
      <c r="H20" s="10" t="s">
        <v>49</v>
      </c>
      <c r="J20" s="10" t="s">
        <v>83</v>
      </c>
    </row>
    <row r="21" spans="1:14" x14ac:dyDescent="0.35">
      <c r="A21" s="10" t="s">
        <v>56</v>
      </c>
      <c r="D21" s="10">
        <v>3.2414910858995142E-9</v>
      </c>
      <c r="E21" s="10" t="s">
        <v>7</v>
      </c>
      <c r="F21" s="10" t="s">
        <v>37</v>
      </c>
      <c r="G21" s="10" t="s">
        <v>38</v>
      </c>
      <c r="H21" s="10" t="s">
        <v>49</v>
      </c>
      <c r="J21" s="10" t="s">
        <v>83</v>
      </c>
    </row>
    <row r="22" spans="1:14" s="16" customFormat="1" x14ac:dyDescent="0.35"/>
    <row r="23" spans="1:14" x14ac:dyDescent="0.35">
      <c r="A23" s="9" t="s">
        <v>0</v>
      </c>
      <c r="B23" s="9" t="s">
        <v>89</v>
      </c>
    </row>
    <row r="24" spans="1:14" x14ac:dyDescent="0.35">
      <c r="A24" s="11" t="s">
        <v>1</v>
      </c>
      <c r="B24" s="10" t="s">
        <v>90</v>
      </c>
    </row>
    <row r="25" spans="1:14" x14ac:dyDescent="0.35">
      <c r="A25" s="11" t="s">
        <v>3</v>
      </c>
      <c r="B25" s="10" t="s">
        <v>28</v>
      </c>
    </row>
    <row r="26" spans="1:14" x14ac:dyDescent="0.35">
      <c r="A26" s="11" t="s">
        <v>5</v>
      </c>
      <c r="B26" s="10">
        <v>1</v>
      </c>
    </row>
    <row r="27" spans="1:14" x14ac:dyDescent="0.35">
      <c r="A27" s="11" t="s">
        <v>6</v>
      </c>
      <c r="B27" s="10" t="s">
        <v>7</v>
      </c>
    </row>
    <row r="28" spans="1:14" ht="58" x14ac:dyDescent="0.35">
      <c r="A28" s="11" t="s">
        <v>8</v>
      </c>
      <c r="B28" s="17" t="s">
        <v>222</v>
      </c>
    </row>
    <row r="29" spans="1:14" x14ac:dyDescent="0.35">
      <c r="A29" s="11" t="s">
        <v>9</v>
      </c>
    </row>
    <row r="30" spans="1:14" x14ac:dyDescent="0.35">
      <c r="A30" s="9" t="s">
        <v>10</v>
      </c>
      <c r="B30" s="9" t="s">
        <v>1</v>
      </c>
      <c r="C30" s="9" t="s">
        <v>3</v>
      </c>
      <c r="D30" s="9" t="s">
        <v>5</v>
      </c>
      <c r="E30" s="9" t="s">
        <v>6</v>
      </c>
      <c r="F30" s="9" t="s">
        <v>11</v>
      </c>
      <c r="G30" s="9" t="s">
        <v>12</v>
      </c>
      <c r="H30" s="9" t="s">
        <v>13</v>
      </c>
      <c r="I30" s="9" t="s">
        <v>14</v>
      </c>
      <c r="J30" s="9" t="s">
        <v>15</v>
      </c>
      <c r="K30" s="9" t="s">
        <v>16</v>
      </c>
      <c r="L30" s="9" t="s">
        <v>17</v>
      </c>
      <c r="M30" s="9" t="s">
        <v>18</v>
      </c>
      <c r="N30" s="9" t="s">
        <v>19</v>
      </c>
    </row>
    <row r="31" spans="1:14" x14ac:dyDescent="0.35">
      <c r="A31" s="10" t="str">
        <f>B23</f>
        <v>[P+R] Refined Silver (Ag) production</v>
      </c>
      <c r="B31" s="10" t="str">
        <f>B24</f>
        <v>Refined Ag</v>
      </c>
      <c r="C31" s="10" t="s">
        <v>28</v>
      </c>
      <c r="D31" s="10">
        <v>1</v>
      </c>
      <c r="E31" s="10" t="s">
        <v>7</v>
      </c>
      <c r="F31" s="13" t="str">
        <f>F9</f>
        <v>Silver</v>
      </c>
      <c r="G31" s="10" t="s">
        <v>20</v>
      </c>
    </row>
    <row r="32" spans="1:14" x14ac:dyDescent="0.35">
      <c r="A32" s="10" t="s">
        <v>32</v>
      </c>
      <c r="B32" s="10" t="s">
        <v>33</v>
      </c>
      <c r="C32" s="10" t="s">
        <v>23</v>
      </c>
      <c r="D32" s="14">
        <v>1422.3618628501372</v>
      </c>
      <c r="E32" s="10" t="s">
        <v>34</v>
      </c>
      <c r="F32" s="10" t="s">
        <v>24</v>
      </c>
      <c r="G32" s="10" t="s">
        <v>25</v>
      </c>
      <c r="J32" s="10" t="s">
        <v>83</v>
      </c>
    </row>
    <row r="33" spans="1:10" x14ac:dyDescent="0.35">
      <c r="A33" s="10" t="s">
        <v>84</v>
      </c>
      <c r="B33" s="10" t="s">
        <v>64</v>
      </c>
      <c r="C33" s="10" t="s">
        <v>28</v>
      </c>
      <c r="D33" s="14">
        <v>2231.6711593173727</v>
      </c>
      <c r="E33" s="10" t="s">
        <v>31</v>
      </c>
      <c r="F33" s="10" t="s">
        <v>24</v>
      </c>
      <c r="G33" s="10" t="s">
        <v>25</v>
      </c>
      <c r="J33" s="10" t="s">
        <v>83</v>
      </c>
    </row>
    <row r="34" spans="1:10" x14ac:dyDescent="0.35">
      <c r="A34" s="10" t="s">
        <v>51</v>
      </c>
      <c r="D34" s="14">
        <v>2.2423956603014228E-3</v>
      </c>
      <c r="E34" s="10" t="s">
        <v>7</v>
      </c>
      <c r="F34" s="10" t="s">
        <v>37</v>
      </c>
      <c r="G34" s="10" t="s">
        <v>38</v>
      </c>
      <c r="H34" s="10" t="s">
        <v>46</v>
      </c>
      <c r="J34" s="10" t="s">
        <v>83</v>
      </c>
    </row>
    <row r="35" spans="1:10" x14ac:dyDescent="0.35">
      <c r="A35" s="10" t="s">
        <v>47</v>
      </c>
      <c r="D35" s="14">
        <v>1.8524138063359581E-3</v>
      </c>
      <c r="E35" s="10" t="s">
        <v>7</v>
      </c>
      <c r="F35" s="10" t="s">
        <v>37</v>
      </c>
      <c r="G35" s="10" t="s">
        <v>38</v>
      </c>
      <c r="H35" s="10" t="s">
        <v>46</v>
      </c>
      <c r="J35" s="10" t="s">
        <v>83</v>
      </c>
    </row>
    <row r="36" spans="1:10" x14ac:dyDescent="0.35">
      <c r="A36" s="10" t="s">
        <v>56</v>
      </c>
      <c r="D36" s="14">
        <v>4.3872958571114801E-5</v>
      </c>
      <c r="E36" s="10" t="s">
        <v>7</v>
      </c>
      <c r="F36" s="10" t="s">
        <v>37</v>
      </c>
      <c r="G36" s="10" t="s">
        <v>38</v>
      </c>
      <c r="H36" s="10" t="s">
        <v>46</v>
      </c>
      <c r="J36" s="10" t="s">
        <v>83</v>
      </c>
    </row>
    <row r="37" spans="1:10" x14ac:dyDescent="0.35">
      <c r="A37" s="10" t="s">
        <v>48</v>
      </c>
      <c r="D37" s="14">
        <v>4.5335390523485286E-5</v>
      </c>
      <c r="E37" s="10" t="s">
        <v>7</v>
      </c>
      <c r="F37" s="10" t="s">
        <v>37</v>
      </c>
      <c r="G37" s="10" t="s">
        <v>38</v>
      </c>
      <c r="H37" s="10" t="s">
        <v>46</v>
      </c>
      <c r="J37" s="10" t="s">
        <v>83</v>
      </c>
    </row>
    <row r="38" spans="1:10" x14ac:dyDescent="0.35">
      <c r="A38" s="10" t="s">
        <v>45</v>
      </c>
      <c r="D38" s="14">
        <v>1.723232317209898</v>
      </c>
      <c r="E38" s="10" t="s">
        <v>7</v>
      </c>
      <c r="F38" s="10" t="s">
        <v>37</v>
      </c>
      <c r="G38" s="10" t="s">
        <v>38</v>
      </c>
      <c r="H38" s="10" t="s">
        <v>46</v>
      </c>
      <c r="J38" s="10" t="s">
        <v>83</v>
      </c>
    </row>
    <row r="39" spans="1:10" x14ac:dyDescent="0.35">
      <c r="A39" s="10" t="s">
        <v>85</v>
      </c>
      <c r="D39" s="14">
        <v>172.56697037971819</v>
      </c>
      <c r="E39" s="10" t="s">
        <v>7</v>
      </c>
      <c r="F39" s="10" t="s">
        <v>37</v>
      </c>
      <c r="G39" s="10" t="s">
        <v>38</v>
      </c>
      <c r="H39" s="10" t="s">
        <v>46</v>
      </c>
      <c r="J39" s="10" t="s">
        <v>83</v>
      </c>
    </row>
    <row r="40" spans="1:10" x14ac:dyDescent="0.35">
      <c r="A40" s="10" t="s">
        <v>86</v>
      </c>
      <c r="D40" s="14">
        <v>5.6059891507535563E-2</v>
      </c>
      <c r="E40" s="10" t="s">
        <v>7</v>
      </c>
      <c r="F40" s="10" t="s">
        <v>37</v>
      </c>
      <c r="G40" s="10" t="s">
        <v>38</v>
      </c>
      <c r="H40" s="10" t="s">
        <v>46</v>
      </c>
      <c r="J40" s="10" t="s">
        <v>83</v>
      </c>
    </row>
    <row r="41" spans="1:10" x14ac:dyDescent="0.35">
      <c r="A41" s="10" t="s">
        <v>88</v>
      </c>
      <c r="D41" s="14">
        <v>3.5585844174348666E-2</v>
      </c>
      <c r="E41" s="10" t="s">
        <v>7</v>
      </c>
      <c r="F41" s="10" t="s">
        <v>37</v>
      </c>
      <c r="G41" s="10" t="s">
        <v>38</v>
      </c>
      <c r="H41" s="10" t="s">
        <v>46</v>
      </c>
      <c r="J41" s="10" t="s">
        <v>83</v>
      </c>
    </row>
    <row r="42" spans="1:10" x14ac:dyDescent="0.35">
      <c r="A42" s="10" t="s">
        <v>47</v>
      </c>
      <c r="D42" s="14">
        <v>9.700798617390937E-4</v>
      </c>
      <c r="E42" s="10" t="s">
        <v>7</v>
      </c>
      <c r="F42" s="10" t="s">
        <v>37</v>
      </c>
      <c r="G42" s="10" t="s">
        <v>38</v>
      </c>
      <c r="H42" s="10" t="s">
        <v>49</v>
      </c>
      <c r="J42" s="10" t="s">
        <v>83</v>
      </c>
    </row>
    <row r="43" spans="1:10" x14ac:dyDescent="0.35">
      <c r="A43" s="10" t="s">
        <v>51</v>
      </c>
      <c r="D43" s="14">
        <v>1.1894446545946676E-2</v>
      </c>
      <c r="E43" s="10" t="s">
        <v>7</v>
      </c>
      <c r="F43" s="10" t="s">
        <v>37</v>
      </c>
      <c r="G43" s="10" t="s">
        <v>38</v>
      </c>
      <c r="H43" s="10" t="s">
        <v>49</v>
      </c>
      <c r="J43" s="10" t="s">
        <v>83</v>
      </c>
    </row>
    <row r="44" spans="1:10" x14ac:dyDescent="0.35">
      <c r="A44" s="10" t="s">
        <v>56</v>
      </c>
      <c r="D44" s="14">
        <v>7.3609074935981485E-5</v>
      </c>
      <c r="E44" s="10" t="s">
        <v>7</v>
      </c>
      <c r="F44" s="10" t="s">
        <v>37</v>
      </c>
      <c r="G44" s="10" t="s">
        <v>38</v>
      </c>
      <c r="H44" s="10" t="s">
        <v>49</v>
      </c>
      <c r="J44" s="10" t="s">
        <v>83</v>
      </c>
    </row>
    <row r="45" spans="1:10" x14ac:dyDescent="0.35">
      <c r="A45" s="10" t="s">
        <v>48</v>
      </c>
      <c r="D45" s="14">
        <v>6.3372051269388033E-6</v>
      </c>
      <c r="E45" s="10" t="s">
        <v>7</v>
      </c>
      <c r="F45" s="10" t="s">
        <v>37</v>
      </c>
      <c r="G45" s="10" t="s">
        <v>38</v>
      </c>
      <c r="H45" s="10" t="s">
        <v>49</v>
      </c>
      <c r="J45" s="10" t="s">
        <v>83</v>
      </c>
    </row>
    <row r="46" spans="1:10" s="18" customFormat="1" x14ac:dyDescent="0.35"/>
    <row r="47" spans="1:10" x14ac:dyDescent="0.35">
      <c r="A47" s="9" t="s">
        <v>0</v>
      </c>
      <c r="B47" s="9" t="s">
        <v>91</v>
      </c>
    </row>
    <row r="48" spans="1:10" x14ac:dyDescent="0.35">
      <c r="A48" s="11" t="s">
        <v>1</v>
      </c>
      <c r="B48" s="10" t="s">
        <v>90</v>
      </c>
    </row>
    <row r="49" spans="1:14" x14ac:dyDescent="0.35">
      <c r="A49" s="11" t="s">
        <v>3</v>
      </c>
      <c r="B49" s="10" t="s">
        <v>28</v>
      </c>
    </row>
    <row r="50" spans="1:14" x14ac:dyDescent="0.35">
      <c r="A50" s="11" t="s">
        <v>5</v>
      </c>
      <c r="B50" s="10">
        <v>1</v>
      </c>
    </row>
    <row r="51" spans="1:14" x14ac:dyDescent="0.35">
      <c r="A51" s="11" t="s">
        <v>6</v>
      </c>
      <c r="B51" s="10" t="s">
        <v>7</v>
      </c>
    </row>
    <row r="52" spans="1:14" x14ac:dyDescent="0.35">
      <c r="A52" s="11" t="s">
        <v>8</v>
      </c>
      <c r="B52" s="14" t="s">
        <v>223</v>
      </c>
    </row>
    <row r="53" spans="1:14" x14ac:dyDescent="0.35">
      <c r="A53" s="11" t="s">
        <v>9</v>
      </c>
    </row>
    <row r="54" spans="1:14" x14ac:dyDescent="0.35">
      <c r="A54" s="9" t="s">
        <v>10</v>
      </c>
      <c r="B54" s="9" t="s">
        <v>1</v>
      </c>
      <c r="C54" s="9" t="s">
        <v>3</v>
      </c>
      <c r="D54" s="9" t="s">
        <v>5</v>
      </c>
      <c r="E54" s="9" t="s">
        <v>6</v>
      </c>
      <c r="F54" s="9" t="s">
        <v>11</v>
      </c>
      <c r="G54" s="9" t="s">
        <v>12</v>
      </c>
      <c r="H54" s="9" t="s">
        <v>13</v>
      </c>
      <c r="I54" s="9" t="s">
        <v>14</v>
      </c>
      <c r="J54" s="9" t="s">
        <v>15</v>
      </c>
      <c r="K54" s="9" t="s">
        <v>16</v>
      </c>
      <c r="L54" s="9" t="s">
        <v>17</v>
      </c>
      <c r="M54" s="9" t="s">
        <v>18</v>
      </c>
      <c r="N54" s="9" t="s">
        <v>19</v>
      </c>
    </row>
    <row r="55" spans="1:14" x14ac:dyDescent="0.35">
      <c r="A55" s="10" t="str">
        <f>B47</f>
        <v>Ag recovery from Pb/Zn production in Canada/Peru/Chile/the US</v>
      </c>
      <c r="B55" s="10" t="str">
        <f>B48</f>
        <v>Refined Ag</v>
      </c>
      <c r="C55" s="10" t="s">
        <v>28</v>
      </c>
      <c r="D55" s="10">
        <v>1</v>
      </c>
      <c r="E55" s="10" t="s">
        <v>7</v>
      </c>
      <c r="F55" s="13" t="str">
        <f>F31</f>
        <v>Silver</v>
      </c>
      <c r="G55" s="10" t="s">
        <v>20</v>
      </c>
    </row>
    <row r="56" spans="1:14" x14ac:dyDescent="0.35">
      <c r="A56" s="10" t="str">
        <f>A31</f>
        <v>[P+R] Refined Silver (Ag) production</v>
      </c>
      <c r="B56" s="10" t="str">
        <f>B31</f>
        <v>Refined Ag</v>
      </c>
      <c r="C56" s="10" t="str">
        <f>C31</f>
        <v>RoW</v>
      </c>
      <c r="D56" s="10">
        <v>1</v>
      </c>
      <c r="E56" s="10" t="str">
        <f>E31</f>
        <v>kilogram</v>
      </c>
      <c r="F56" s="13" t="str">
        <f>F31</f>
        <v>Silver</v>
      </c>
      <c r="G56" s="10" t="s">
        <v>25</v>
      </c>
    </row>
    <row r="57" spans="1:14" x14ac:dyDescent="0.35">
      <c r="A57" s="10" t="str">
        <f>A9</f>
        <v>[M+C] Zinc (Zn) ore mining and concentration</v>
      </c>
      <c r="B57" s="10" t="str">
        <f t="shared" ref="B57:F57" si="0">B9</f>
        <v>Zn concentrate</v>
      </c>
      <c r="C57" s="10" t="str">
        <f t="shared" si="0"/>
        <v>RoW</v>
      </c>
      <c r="D57" s="14">
        <v>185.84926484846451</v>
      </c>
      <c r="E57" s="10" t="str">
        <f t="shared" si="0"/>
        <v>kilogram</v>
      </c>
      <c r="F57" s="13" t="str">
        <f t="shared" si="0"/>
        <v>Silver</v>
      </c>
      <c r="G57" s="10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2C308C-DA06-4004-B941-7BF03EED63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906E57-5E5F-48B6-90EF-E5DAD8107967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3.xml><?xml version="1.0" encoding="utf-8"?>
<ds:datastoreItem xmlns:ds="http://schemas.openxmlformats.org/officeDocument/2006/customXml" ds:itemID="{6C032568-175A-46BA-93DB-E2343B2AD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Note</vt:lpstr>
      <vt:lpstr>Ag_Market_GLO</vt:lpstr>
      <vt:lpstr>PR1_Ag_CN_CuSlime</vt:lpstr>
      <vt:lpstr>PR2_Ag_AU</vt:lpstr>
      <vt:lpstr>PR3_Ag_SE_Pyro</vt:lpstr>
      <vt:lpstr>PR4_Ag_RoW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2025-07-04T15:11:03Z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