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W_Tungsten/"/>
    </mc:Choice>
  </mc:AlternateContent>
  <xr:revisionPtr revIDLastSave="339" documentId="8_{EF34FBE3-E548-4024-AE6F-BC65602BD857}" xr6:coauthVersionLast="47" xr6:coauthVersionMax="47" xr10:uidLastSave="{F0A8381A-AE3E-4970-BE42-84A353B84F8A}"/>
  <bookViews>
    <workbookView xWindow="-120" yWindow="-120" windowWidth="29040" windowHeight="15840" tabRatio="760" activeTab="2" xr2:uid="{00000000-000D-0000-FFFF-FFFF00000000}"/>
  </bookViews>
  <sheets>
    <sheet name="Note" sheetId="1" r:id="rId1"/>
    <sheet name="W_Market_GLO" sheetId="6" r:id="rId2"/>
    <sheet name="PR1_WC_CN" sheetId="2" r:id="rId3"/>
    <sheet name="PR2_WC_US" sheetId="3" r:id="rId4"/>
    <sheet name="PR3_WC_RER" sheetId="4" r:id="rId5"/>
    <sheet name="PR4_APT_Europe_Recycling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7" i="2" l="1"/>
  <c r="C72" i="8"/>
  <c r="B72" i="8"/>
  <c r="A72" i="8"/>
  <c r="C55" i="8"/>
  <c r="B55" i="8"/>
  <c r="A55" i="8"/>
  <c r="C39" i="8"/>
  <c r="B39" i="8"/>
  <c r="A39" i="8"/>
  <c r="C25" i="8"/>
  <c r="B25" i="8"/>
  <c r="A25" i="8"/>
  <c r="C9" i="8"/>
  <c r="B9" i="8"/>
  <c r="A9" i="8"/>
  <c r="B56" i="4"/>
  <c r="C56" i="4"/>
  <c r="A56" i="4"/>
  <c r="B55" i="4"/>
  <c r="C55" i="4"/>
  <c r="A55" i="4"/>
  <c r="C54" i="4"/>
  <c r="B54" i="4"/>
  <c r="A54" i="4"/>
  <c r="B44" i="4"/>
  <c r="C44" i="4"/>
  <c r="A44" i="4"/>
  <c r="B43" i="4"/>
  <c r="C43" i="4"/>
  <c r="A43" i="4"/>
  <c r="C42" i="4"/>
  <c r="B42" i="4"/>
  <c r="A42" i="4"/>
  <c r="C28" i="4"/>
  <c r="B28" i="4"/>
  <c r="A28" i="4"/>
  <c r="B3" i="4"/>
  <c r="B9" i="4"/>
  <c r="A9" i="4"/>
  <c r="B103" i="3"/>
  <c r="C103" i="3"/>
  <c r="A103" i="3"/>
  <c r="B102" i="3"/>
  <c r="C102" i="3"/>
  <c r="A102" i="3"/>
  <c r="B101" i="3"/>
  <c r="C101" i="3"/>
  <c r="A101" i="3"/>
  <c r="C100" i="3"/>
  <c r="B100" i="3"/>
  <c r="A100" i="3"/>
  <c r="B90" i="3"/>
  <c r="C90" i="3"/>
  <c r="A90" i="3"/>
  <c r="B89" i="3"/>
  <c r="C89" i="3"/>
  <c r="A89" i="3"/>
  <c r="B88" i="3"/>
  <c r="C88" i="3"/>
  <c r="A88" i="3"/>
  <c r="C87" i="3"/>
  <c r="B87" i="3"/>
  <c r="A87" i="3"/>
  <c r="C71" i="3"/>
  <c r="B71" i="3"/>
  <c r="A71" i="3"/>
  <c r="C37" i="3"/>
  <c r="B37" i="3"/>
  <c r="A37" i="3"/>
  <c r="C9" i="3"/>
  <c r="B9" i="3"/>
  <c r="A9" i="3"/>
  <c r="B99" i="2"/>
  <c r="C99" i="2"/>
  <c r="A99" i="2"/>
  <c r="B98" i="2"/>
  <c r="C98" i="2"/>
  <c r="A98" i="2"/>
  <c r="C97" i="2"/>
  <c r="B97" i="2"/>
  <c r="B87" i="2"/>
  <c r="C87" i="2"/>
  <c r="A87" i="2"/>
  <c r="B86" i="2"/>
  <c r="C86" i="2"/>
  <c r="A86" i="2"/>
  <c r="C85" i="2"/>
  <c r="B85" i="2"/>
  <c r="A85" i="2"/>
  <c r="C47" i="2"/>
  <c r="B47" i="2"/>
  <c r="A47" i="2"/>
  <c r="C9" i="2"/>
  <c r="B9" i="2"/>
  <c r="A9" i="2"/>
  <c r="C25" i="6"/>
  <c r="B25" i="6"/>
  <c r="A25" i="6"/>
  <c r="F11" i="6"/>
  <c r="C11" i="6"/>
  <c r="B11" i="6"/>
  <c r="A11" i="6"/>
  <c r="D87" i="2"/>
  <c r="D86" i="2"/>
  <c r="D89" i="3"/>
  <c r="D90" i="3"/>
  <c r="D88" i="3"/>
  <c r="D43" i="4"/>
  <c r="D94" i="8"/>
  <c r="D93" i="8"/>
  <c r="D92" i="8"/>
  <c r="D91" i="8"/>
</calcChain>
</file>

<file path=xl/sharedStrings.xml><?xml version="1.0" encoding="utf-8"?>
<sst xmlns="http://schemas.openxmlformats.org/spreadsheetml/2006/main" count="1801" uniqueCount="231">
  <si>
    <t>Activity</t>
  </si>
  <si>
    <t>reference product</t>
  </si>
  <si>
    <t>location</t>
  </si>
  <si>
    <t>CN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</si>
  <si>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</si>
  <si>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</si>
  <si>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</si>
  <si>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</si>
  <si>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</si>
  <si>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</si>
  <si>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</si>
  <si>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</si>
  <si>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</si>
  <si>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</si>
  <si>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</si>
  <si>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</si>
  <si>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</si>
  <si>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</si>
  <si>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</si>
  <si>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</si>
  <si>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</si>
  <si>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explosive, tovex</t>
  </si>
  <si>
    <t>explosive, tovex</t>
  </si>
  <si>
    <t>GLO</t>
  </si>
  <si>
    <t>ecoinvent 3.10 cutoff</t>
  </si>
  <si>
    <t>technosphere</t>
  </si>
  <si>
    <t>(2,5,4,5,4)</t>
  </si>
  <si>
    <t>market for steel, low-alloyed</t>
  </si>
  <si>
    <t>steel, low-alloyed</t>
  </si>
  <si>
    <t>(2,5,2,1,2)</t>
  </si>
  <si>
    <t>particleboard production, uncoated, from virgin wood</t>
  </si>
  <si>
    <t>particleboard, uncoated</t>
  </si>
  <si>
    <t>RoW</t>
  </si>
  <si>
    <t>cubic meter</t>
  </si>
  <si>
    <t>market for wastewater, average</t>
  </si>
  <si>
    <t>wastewater, average</t>
  </si>
  <si>
    <t>market for iron pellet</t>
  </si>
  <si>
    <t>iron pellet</t>
  </si>
  <si>
    <t>market for sodium ethyl xanthate</t>
  </si>
  <si>
    <t>sodium ethyl xanthate</t>
  </si>
  <si>
    <t>market for light fuel oil</t>
  </si>
  <si>
    <t>light fuel oil</t>
  </si>
  <si>
    <t>market for kerosene</t>
  </si>
  <si>
    <t>kerosene</t>
  </si>
  <si>
    <t>market for sodium hydroxide, without water, in 50% solution state</t>
  </si>
  <si>
    <t>sodium hydroxide, without water, in 50% solution state</t>
  </si>
  <si>
    <t>market for fatty acid</t>
  </si>
  <si>
    <t>fatty acid</t>
  </si>
  <si>
    <t>market for sodium silicate, solid</t>
  </si>
  <si>
    <t>sodium silicate, solid</t>
  </si>
  <si>
    <t>market for copper sulfate</t>
  </si>
  <si>
    <t>copper sulfate</t>
  </si>
  <si>
    <t>treatment of sewage sludge, 75% water, WWT, WW, average, sanitary landfill</t>
  </si>
  <si>
    <t>sewage sludge, 75% water, WWT, WW, average</t>
  </si>
  <si>
    <t>treatment of non-sulfidic overburden, off-site</t>
  </si>
  <si>
    <t>non-sulfidic overburden, off-site</t>
  </si>
  <si>
    <t>market for waste wood, untreated</t>
  </si>
  <si>
    <t>waste wood, untreated</t>
  </si>
  <si>
    <t>market for scrap steel</t>
  </si>
  <si>
    <t>scrap steel</t>
  </si>
  <si>
    <t>market for tap water</t>
  </si>
  <si>
    <t>tap water</t>
  </si>
  <si>
    <t>market group for electricity, medium voltage</t>
  </si>
  <si>
    <t>electricity, medium voltage</t>
  </si>
  <si>
    <t>kilowatt hour</t>
  </si>
  <si>
    <t>market for sewage sludge, 97% water, WWT, WW, average</t>
  </si>
  <si>
    <t>sewage sludge, 97% water, WWT, WW, average</t>
  </si>
  <si>
    <t>Transformation, from unspecified</t>
  </si>
  <si>
    <t>square meter</t>
  </si>
  <si>
    <t>biosphere3</t>
  </si>
  <si>
    <t>biosphere</t>
  </si>
  <si>
    <t>Transformation, to mineral extraction site</t>
  </si>
  <si>
    <t>Occupation, mineral extraction site</t>
  </si>
  <si>
    <t>square meter-year</t>
  </si>
  <si>
    <t>Water, unspecified natural origin</t>
  </si>
  <si>
    <t>[P+R] Tungsten carbide (WC) production</t>
  </si>
  <si>
    <t>WC powder</t>
  </si>
  <si>
    <t>market for ammonium chloride</t>
  </si>
  <si>
    <t>ammonium chloride</t>
  </si>
  <si>
    <t>market for ammonia, anhydrous, liquid</t>
  </si>
  <si>
    <t>ammonia, anhydrous, liquid</t>
  </si>
  <si>
    <t>market for hydrochloric acid, without water, in 30% solution state</t>
  </si>
  <si>
    <t>hydrochloric acid, without water, in 30% solution state</t>
  </si>
  <si>
    <t>market for sulfuric acid</t>
  </si>
  <si>
    <t>sulfuric acid</t>
  </si>
  <si>
    <t>market for ammonium sulfate</t>
  </si>
  <si>
    <t>ammonium sulfate</t>
  </si>
  <si>
    <t>market for hydrogen peroxide, without water, in 50% solution state</t>
  </si>
  <si>
    <t>hydrogen peroxide, without water, in 50% solution state</t>
  </si>
  <si>
    <t>market for calcium carbonate, precipitated</t>
  </si>
  <si>
    <t>calcium carbonate, precipitated</t>
  </si>
  <si>
    <t>market for hard coal</t>
  </si>
  <si>
    <t>hard coal</t>
  </si>
  <si>
    <t>market for water, ultrapure</t>
  </si>
  <si>
    <t>water, ultrapure</t>
  </si>
  <si>
    <t>market for carbon black</t>
  </si>
  <si>
    <t>carbon black</t>
  </si>
  <si>
    <t>market for nitrogen, liquid</t>
  </si>
  <si>
    <t>nitrogen, liquid</t>
  </si>
  <si>
    <t>market for compressed air, 1000 kPa gauge</t>
  </si>
  <si>
    <t>compressed air, 1000 kPa gauge</t>
  </si>
  <si>
    <t>treatment of municipal solid waste, sanitary landfill</t>
  </si>
  <si>
    <t>municipal solid waste</t>
  </si>
  <si>
    <t>market for inert waste, for final disposal</t>
  </si>
  <si>
    <t>inert waste, for final disposal</t>
  </si>
  <si>
    <t>market for hazardous waste, for underground deposit</t>
  </si>
  <si>
    <t>hazardous waste, for underground deposit</t>
  </si>
  <si>
    <t>[M+C] Tungsten (W) ore mining and concentration</t>
  </si>
  <si>
    <t>W concentrate</t>
  </si>
  <si>
    <t>CA</t>
  </si>
  <si>
    <t>(2,5,3,3,2)</t>
  </si>
  <si>
    <t>market for diesel, burned in building machine</t>
  </si>
  <si>
    <t>diesel, burned in building machine</t>
  </si>
  <si>
    <t>megajoule</t>
  </si>
  <si>
    <t>(2,5,4,3,4)</t>
  </si>
  <si>
    <t>market for chemical, organic</t>
  </si>
  <si>
    <t>chemical, organic</t>
  </si>
  <si>
    <t>(4,5,5,5,5)</t>
  </si>
  <si>
    <t>market for vegetable oil, refined</t>
  </si>
  <si>
    <t>vegetable oil, refined</t>
  </si>
  <si>
    <t>market for sodium bicarbonate</t>
  </si>
  <si>
    <t>sodium bicarbonate</t>
  </si>
  <si>
    <t>market for sodium cyanide</t>
  </si>
  <si>
    <t>sodium cyanide</t>
  </si>
  <si>
    <t>market for sodium sulfide</t>
  </si>
  <si>
    <t>sodium sulfide</t>
  </si>
  <si>
    <t>treatment of non-sulfidic tailing, off-site</t>
  </si>
  <si>
    <t>non-sulfidic tailing, off-site</t>
  </si>
  <si>
    <t>market for transport, freight, lorry, unspecified</t>
  </si>
  <si>
    <t>transport, freight, lorry, unspecified</t>
  </si>
  <si>
    <t>ton kilometer</t>
  </si>
  <si>
    <t>(4,5,1,1,1)</t>
  </si>
  <si>
    <t>Tungsten</t>
  </si>
  <si>
    <t>Carbon dioxide, fossil</t>
  </si>
  <si>
    <t>air</t>
  </si>
  <si>
    <t>[P] Ammonium paratungstate (APT) production</t>
  </si>
  <si>
    <t>APT</t>
  </si>
  <si>
    <t>US</t>
  </si>
  <si>
    <t>market for aluminium sulfate, powder</t>
  </si>
  <si>
    <t>aluminium sulfate, powder</t>
  </si>
  <si>
    <t>RNA</t>
  </si>
  <si>
    <t>market for dodecanol</t>
  </si>
  <si>
    <t>dodecanol</t>
  </si>
  <si>
    <t>market for water, deionised</t>
  </si>
  <si>
    <t>water, deionised</t>
  </si>
  <si>
    <t>market for magnesium sulfate</t>
  </si>
  <si>
    <t>magnesium sulfate</t>
  </si>
  <si>
    <t>market for sodium hydrosulfide</t>
  </si>
  <si>
    <t>sodium hydrosulfide</t>
  </si>
  <si>
    <t>Ammonia</t>
  </si>
  <si>
    <t>Hydrogen sulfide</t>
  </si>
  <si>
    <t>[R] Tungsten carbide (WC) production</t>
  </si>
  <si>
    <t>market for hydrogen, gaseous, medium pressure, merchant</t>
  </si>
  <si>
    <t>hydrogen, gaseous, medium pressure, merchant</t>
  </si>
  <si>
    <t>Hydrogen</t>
  </si>
  <si>
    <t>[M+C+P] Tungsten trioxide (WO3) production</t>
  </si>
  <si>
    <t>WO3</t>
  </si>
  <si>
    <t>Europe</t>
  </si>
  <si>
    <t>RER</t>
  </si>
  <si>
    <t>(4.0,5.0,5.0,5.0,4.0)</t>
  </si>
  <si>
    <t>(5.0,5.0,5.0,5.0,5.0)</t>
  </si>
  <si>
    <t>market for soda ash, dense</t>
  </si>
  <si>
    <t>soda ash, dense</t>
  </si>
  <si>
    <t>market for sodium sulfite</t>
  </si>
  <si>
    <t>sodium sulfite</t>
  </si>
  <si>
    <t>market for hazardous waste, for incineration</t>
  </si>
  <si>
    <t>hazardous waste, for incineration</t>
  </si>
  <si>
    <t>(4.0,5.0,5.0,5.0,3.0)</t>
  </si>
  <si>
    <t>WC</t>
  </si>
  <si>
    <t>(4.0,5.0,3.0,5.0,4.0)</t>
  </si>
  <si>
    <t>(4.0,5.0,5.0,4.0,4.0)</t>
  </si>
  <si>
    <t>(1.0,1.0,1.0,1.0,1.0)</t>
  </si>
  <si>
    <t>[P] Scrap oxidation</t>
  </si>
  <si>
    <t>Oxidized scrap</t>
  </si>
  <si>
    <t>market for compressed air, 800 kPa gauge</t>
  </si>
  <si>
    <t>compressed air, 800 kPa gauge</t>
  </si>
  <si>
    <t>(2.0,5.0,1.0,1.0,2.0)</t>
  </si>
  <si>
    <t>market for heat, from steam, in chemical industry</t>
  </si>
  <si>
    <t>heat, from steam, in chemical industry</t>
  </si>
  <si>
    <t>Oxygen</t>
  </si>
  <si>
    <t>Nitrogen</t>
  </si>
  <si>
    <t>[P] Alkali leaching</t>
  </si>
  <si>
    <t>W solution</t>
  </si>
  <si>
    <t>market group for tap water</t>
  </si>
  <si>
    <t>Water</t>
  </si>
  <si>
    <t>[P] Tunsgten (W) solution purification</t>
  </si>
  <si>
    <t>market for magnesium chloride, from titanium sponge production</t>
  </si>
  <si>
    <t>magnesium chloride, from titanium sponge production</t>
  </si>
  <si>
    <t>market for chemical, inorganic</t>
  </si>
  <si>
    <t>chemical, inorganic</t>
  </si>
  <si>
    <t>[P] W SX and crystallization</t>
  </si>
  <si>
    <t>Europe without Switzerland</t>
  </si>
  <si>
    <t>Effluent treatment</t>
  </si>
  <si>
    <t>Wastewater</t>
  </si>
  <si>
    <t>market for iron(III) chloride, without water, in 40% solution state</t>
  </si>
  <si>
    <t>iron(III) chloride, without water, in 40% solution state</t>
  </si>
  <si>
    <t>market for lime</t>
  </si>
  <si>
    <t>lime</t>
  </si>
  <si>
    <t>natural resource::land</t>
  </si>
  <si>
    <t>natural resource::in ground</t>
  </si>
  <si>
    <t>W ore mining and WC production in China</t>
  </si>
  <si>
    <t>W ore mining in Canada and WC production in the US</t>
  </si>
  <si>
    <t>W ore mining and WC production in Europe</t>
  </si>
  <si>
    <t>APT production in Europe through hardmetal scrap recycling</t>
  </si>
  <si>
    <t>Tungsten (W) global market</t>
  </si>
  <si>
    <t>W content</t>
  </si>
  <si>
    <t>WC powder (W content)</t>
  </si>
  <si>
    <t>Activity expressed for 1 kg W contained</t>
  </si>
  <si>
    <t>WC (W content)</t>
  </si>
  <si>
    <t>APT (W content)</t>
  </si>
  <si>
    <t>skip</t>
  </si>
  <si>
    <t>APT production in Europe through hardmetal scrap recycling (W content)</t>
  </si>
  <si>
    <t>Tungsten (W) global market (W content)</t>
  </si>
  <si>
    <t>Activity expressed for 1 kg W content</t>
  </si>
  <si>
    <t>W commodities</t>
  </si>
  <si>
    <t>W ore mining and WC production in Europe (W content)</t>
  </si>
  <si>
    <t>W ore mining in Canada and WC production in the US (W content)</t>
  </si>
  <si>
    <t>W ore mining and WC production in China (W content)</t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</si>
  <si>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85.6% for W (1 kg APT)</t>
    </r>
    <r>
      <rPr>
        <sz val="11"/>
        <color theme="5"/>
        <rFont val="Calibri"/>
        <family val="2"/>
        <scheme val="minor"/>
      </rPr>
      <t xml:space="preserve"> and 14.4% for Co (0.26 kg Co(OH)2)</t>
    </r>
  </si>
  <si>
    <r>
      <t xml:space="preserve">Applied AF: "Oxidized scrap" input = </t>
    </r>
    <r>
      <rPr>
        <b/>
        <sz val="11"/>
        <color theme="5"/>
        <rFont val="Calibri"/>
        <family val="2"/>
        <scheme val="minor"/>
      </rPr>
      <t>85.6%</t>
    </r>
    <r>
      <rPr>
        <sz val="11"/>
        <color theme="5"/>
        <rFont val="Calibri"/>
        <family val="2"/>
        <scheme val="minor"/>
      </rPr>
      <t>.</t>
    </r>
  </si>
  <si>
    <r>
      <rPr>
        <sz val="11"/>
        <rFont val="Calibri"/>
        <family val="2"/>
        <scheme val="minor"/>
      </rPr>
      <t xml:space="preserve">Activity expressed for 1 kg W contained. 
</t>
    </r>
    <r>
      <rPr>
        <sz val="11"/>
        <color theme="5"/>
        <rFont val="Calibri"/>
        <family val="2"/>
        <scheme val="minor"/>
      </rPr>
      <t xml:space="preserve">Applied AF: "Oxidized scrap" input = </t>
    </r>
    <r>
      <rPr>
        <b/>
        <sz val="11"/>
        <color theme="5"/>
        <rFont val="Calibri"/>
        <family val="2"/>
        <scheme val="minor"/>
      </rPr>
      <t>85.6%</t>
    </r>
    <r>
      <rPr>
        <sz val="11"/>
        <color theme="5"/>
        <rFont val="Calibri"/>
        <family val="2"/>
        <scheme val="minor"/>
      </rPr>
      <t>.</t>
    </r>
  </si>
  <si>
    <t>Sheet</t>
  </si>
  <si>
    <t>Corresponding route</t>
  </si>
  <si>
    <t>W_Market_GLO</t>
  </si>
  <si>
    <t>W global market</t>
  </si>
  <si>
    <t>PR1_WC_CN</t>
  </si>
  <si>
    <t>PR2_WC_US</t>
  </si>
  <si>
    <t>W ore mining in Canada and WC-Co production in the US</t>
  </si>
  <si>
    <t>PR3_WC_RER</t>
  </si>
  <si>
    <t>PR4_APT_Europe_Recycling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</si>
  <si>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Tungsten (W)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</si>
</sst>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2" fillId="0" borderId="4" xfId="1" applyBorder="1"/>
    <xf numFmtId="0" fontId="0" fillId="0" borderId="5" xfId="0" applyBorder="1"/>
    <xf numFmtId="0" fontId="12" fillId="0" borderId="6" xfId="1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/>
    <xf numFmtId="0" fontId="3" fillId="0" borderId="2" xfId="0" applyFont="1" applyBorder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R39"/>
  <sheetViews>
    <sheetView showGridLines="0" workbookViewId="0">
      <selection activeCell="E44" sqref="E44"/>
    </sheetView>
  </sheetViews>
  <sheetFormatPr baseColWidth="10" defaultRowHeight="15" x14ac:dyDescent="0.25"/>
  <cols>
    <col min="1" max="1" width="1.7109375" customWidth="1"/>
    <col min="2" max="2" width="23.85546875" bestFit="1" customWidth="1"/>
  </cols>
  <sheetData>
    <row r="1" spans="1:18" ht="15.75" thickBot="1" x14ac:dyDescent="0.3">
      <c r="A1" t="s">
        <v>210</v>
      </c>
    </row>
    <row r="2" spans="1:18" ht="15" customHeight="1" x14ac:dyDescent="0.25">
      <c r="B2" s="29" t="s">
        <v>230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</row>
    <row r="3" spans="1:18" x14ac:dyDescent="0.25"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 spans="1:18" x14ac:dyDescent="0.2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4"/>
    </row>
    <row r="5" spans="1:18" x14ac:dyDescent="0.2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4"/>
    </row>
    <row r="6" spans="1:18" x14ac:dyDescent="0.25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</row>
    <row r="7" spans="1:18" x14ac:dyDescent="0.25"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4"/>
    </row>
    <row r="8" spans="1:18" x14ac:dyDescent="0.25"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4"/>
    </row>
    <row r="9" spans="1:18" x14ac:dyDescent="0.25"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4"/>
    </row>
    <row r="10" spans="1:18" x14ac:dyDescent="0.25"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4"/>
    </row>
    <row r="11" spans="1:18" x14ac:dyDescent="0.25"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4"/>
    </row>
    <row r="12" spans="1:18" x14ac:dyDescent="0.25"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4"/>
    </row>
    <row r="13" spans="1:18" x14ac:dyDescent="0.25"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4"/>
    </row>
    <row r="14" spans="1:18" x14ac:dyDescent="0.25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4"/>
    </row>
    <row r="15" spans="1:18" x14ac:dyDescent="0.25"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4"/>
    </row>
    <row r="16" spans="1:18" x14ac:dyDescent="0.25"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4"/>
    </row>
    <row r="17" spans="2:18" x14ac:dyDescent="0.25"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4"/>
    </row>
    <row r="18" spans="2:18" x14ac:dyDescent="0.25"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4"/>
    </row>
    <row r="19" spans="2:18" x14ac:dyDescent="0.25"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4"/>
    </row>
    <row r="20" spans="2:18" x14ac:dyDescent="0.25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4"/>
    </row>
    <row r="21" spans="2:18" x14ac:dyDescent="0.25"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4"/>
    </row>
    <row r="22" spans="2:18" x14ac:dyDescent="0.25"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4"/>
    </row>
    <row r="23" spans="2:18" x14ac:dyDescent="0.25"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4"/>
    </row>
    <row r="24" spans="2:18" x14ac:dyDescent="0.25"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4"/>
    </row>
    <row r="25" spans="2:18" x14ac:dyDescent="0.25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4"/>
    </row>
    <row r="26" spans="2:18" x14ac:dyDescent="0.25"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4"/>
    </row>
    <row r="27" spans="2:18" x14ac:dyDescent="0.25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4"/>
    </row>
    <row r="28" spans="2:18" x14ac:dyDescent="0.25"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4"/>
    </row>
    <row r="29" spans="2:18" x14ac:dyDescent="0.25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4"/>
    </row>
    <row r="30" spans="2:18" ht="15" customHeight="1" x14ac:dyDescent="0.25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4"/>
    </row>
    <row r="31" spans="2:18" x14ac:dyDescent="0.25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4"/>
    </row>
    <row r="32" spans="2:18" ht="15.75" thickBot="1" x14ac:dyDescent="0.3"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7"/>
    </row>
    <row r="33" spans="2:7" ht="15.75" thickBot="1" x14ac:dyDescent="0.3"/>
    <row r="34" spans="2:7" x14ac:dyDescent="0.25">
      <c r="B34" s="27" t="s">
        <v>221</v>
      </c>
      <c r="C34" s="28" t="s">
        <v>222</v>
      </c>
      <c r="D34" s="28"/>
      <c r="E34" s="20"/>
      <c r="F34" s="20"/>
      <c r="G34" s="21"/>
    </row>
    <row r="35" spans="2:7" x14ac:dyDescent="0.25">
      <c r="B35" s="22" t="s">
        <v>223</v>
      </c>
      <c r="C35" t="s">
        <v>224</v>
      </c>
      <c r="G35" s="23"/>
    </row>
    <row r="36" spans="2:7" x14ac:dyDescent="0.25">
      <c r="B36" s="22" t="s">
        <v>225</v>
      </c>
      <c r="C36" t="s">
        <v>200</v>
      </c>
      <c r="G36" s="23"/>
    </row>
    <row r="37" spans="2:7" x14ac:dyDescent="0.25">
      <c r="B37" s="22" t="s">
        <v>226</v>
      </c>
      <c r="C37" t="s">
        <v>227</v>
      </c>
      <c r="G37" s="23"/>
    </row>
    <row r="38" spans="2:7" x14ac:dyDescent="0.25">
      <c r="B38" s="22" t="s">
        <v>228</v>
      </c>
      <c r="C38" t="s">
        <v>202</v>
      </c>
      <c r="G38" s="23"/>
    </row>
    <row r="39" spans="2:7" ht="15.75" thickBot="1" x14ac:dyDescent="0.3">
      <c r="B39" s="24" t="s">
        <v>229</v>
      </c>
      <c r="C39" s="25" t="s">
        <v>203</v>
      </c>
      <c r="D39" s="25"/>
      <c r="E39" s="25"/>
      <c r="F39" s="25"/>
      <c r="G39" s="26"/>
    </row>
  </sheetData>
  <mergeCells count="1">
    <mergeCell ref="B2:R32"/>
  </mergeCells>
  <hyperlinks>
    <hyperlink ref="B35" location="W_Market_GLO!A1" display="W_Market_GLO" xr:uid="{8BF3486E-EB7E-4287-82AE-EE142B84EA3A}"/>
    <hyperlink ref="B36" location="PR1_WC_CN!A1" display="PR1_WC_CN" xr:uid="{AC836618-7F9F-4CAA-A9FA-4CDF22C69B38}"/>
    <hyperlink ref="B37" location="PR2_WC_US!A1" display="PR2_WC_US" xr:uid="{F10DB047-DAB0-43C2-80BA-79ECCDC563BA}"/>
    <hyperlink ref="B38" location="PR3_WC_RER!A1" display="PR3_WC_RER" xr:uid="{A9721397-321F-4B20-AE6D-335FB8CE0B5F}"/>
    <hyperlink ref="B39" location="PR4_APT_Europe_Recycling!A1" display="PR4_APT_Europe_Recycling" xr:uid="{2F6A19F2-CEAD-4E2C-AE44-071846A6CD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7003-7842-4B99-A584-128AEFB0E5D7}">
  <sheetPr>
    <tabColor theme="8" tint="0.39997558519241921"/>
  </sheetPr>
  <dimension ref="A1:N29"/>
  <sheetViews>
    <sheetView zoomScaleNormal="100" workbookViewId="0">
      <selection activeCell="A26" sqref="A26"/>
    </sheetView>
  </sheetViews>
  <sheetFormatPr baseColWidth="10" defaultRowHeight="15" x14ac:dyDescent="0.25"/>
  <cols>
    <col min="1" max="1" width="66.140625" bestFit="1" customWidth="1"/>
    <col min="2" max="2" width="37.42578125" bestFit="1" customWidth="1"/>
    <col min="3" max="3" width="8.28515625" bestFit="1" customWidth="1"/>
    <col min="4" max="4" width="12" bestFit="1" customWidth="1"/>
    <col min="5" max="5" width="8.7109375" bestFit="1" customWidth="1"/>
    <col min="6" max="6" width="9.28515625" bestFit="1" customWidth="1"/>
    <col min="7" max="7" width="13.28515625" bestFit="1" customWidth="1"/>
    <col min="8" max="8" width="10.28515625" bestFit="1" customWidth="1"/>
    <col min="9" max="9" width="15.5703125" bestFit="1" customWidth="1"/>
    <col min="10" max="10" width="9" bestFit="1" customWidth="1"/>
    <col min="11" max="11" width="3.5703125" bestFit="1" customWidth="1"/>
    <col min="12" max="12" width="5.42578125" bestFit="1" customWidth="1"/>
    <col min="13" max="13" width="9.5703125" bestFit="1" customWidth="1"/>
    <col min="14" max="14" width="9.7109375" bestFit="1" customWidth="1"/>
  </cols>
  <sheetData>
    <row r="1" spans="1:14" x14ac:dyDescent="0.25">
      <c r="A1" t="s">
        <v>11</v>
      </c>
      <c r="B1" s="4" t="s">
        <v>132</v>
      </c>
    </row>
    <row r="2" spans="1:14" s="8" customFormat="1" x14ac:dyDescent="0.25"/>
    <row r="3" spans="1:14" x14ac:dyDescent="0.25">
      <c r="A3" s="1" t="s">
        <v>0</v>
      </c>
      <c r="B3" s="5" t="s">
        <v>204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1</v>
      </c>
      <c r="B4" s="2" t="s">
        <v>214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3" t="s">
        <v>2</v>
      </c>
      <c r="B5" s="2" t="s">
        <v>23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3" t="s">
        <v>4</v>
      </c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3" t="s">
        <v>5</v>
      </c>
      <c r="B7" s="2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3" t="s">
        <v>7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3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1" t="s">
        <v>10</v>
      </c>
      <c r="B10" s="1" t="s">
        <v>1</v>
      </c>
      <c r="C10" s="1" t="s">
        <v>2</v>
      </c>
      <c r="D10" s="1" t="s">
        <v>4</v>
      </c>
      <c r="E10" s="1" t="s">
        <v>5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</row>
    <row r="11" spans="1:14" x14ac:dyDescent="0.25">
      <c r="A11" t="str">
        <f>B3</f>
        <v>Tungsten (W) global market</v>
      </c>
      <c r="B11" t="str">
        <f>B4</f>
        <v>W commodities</v>
      </c>
      <c r="C11" t="str">
        <f>B5</f>
        <v>GLO</v>
      </c>
      <c r="D11" s="2">
        <v>1</v>
      </c>
      <c r="E11" s="2" t="s">
        <v>6</v>
      </c>
      <c r="F11" s="4" t="str">
        <f>B1</f>
        <v>Tungsten</v>
      </c>
      <c r="G11" s="2" t="s">
        <v>20</v>
      </c>
    </row>
    <row r="12" spans="1:14" x14ac:dyDescent="0.25">
      <c r="A12" s="2" t="s">
        <v>200</v>
      </c>
      <c r="B12" s="2" t="s">
        <v>76</v>
      </c>
      <c r="C12" s="2" t="s">
        <v>3</v>
      </c>
      <c r="D12" s="2">
        <v>0.88657806823105445</v>
      </c>
      <c r="E12" s="2" t="s">
        <v>6</v>
      </c>
      <c r="F12" s="4" t="s">
        <v>132</v>
      </c>
      <c r="G12" s="2" t="s">
        <v>25</v>
      </c>
      <c r="H12" s="2"/>
      <c r="I12" s="2"/>
      <c r="J12" s="2"/>
      <c r="K12" s="2"/>
      <c r="L12" s="2"/>
      <c r="M12" s="2"/>
      <c r="N12" s="2"/>
    </row>
    <row r="13" spans="1:14" s="2" customFormat="1" x14ac:dyDescent="0.25">
      <c r="A13" s="2" t="s">
        <v>201</v>
      </c>
      <c r="B13" s="2" t="s">
        <v>76</v>
      </c>
      <c r="C13" s="2" t="s">
        <v>137</v>
      </c>
      <c r="D13" s="2">
        <v>4.5571769862343924E-2</v>
      </c>
      <c r="E13" s="2" t="s">
        <v>6</v>
      </c>
      <c r="F13" s="4" t="s">
        <v>132</v>
      </c>
      <c r="G13" s="2" t="s">
        <v>25</v>
      </c>
    </row>
    <row r="14" spans="1:14" s="2" customFormat="1" x14ac:dyDescent="0.25">
      <c r="A14" s="2" t="s">
        <v>202</v>
      </c>
      <c r="B14" s="2" t="s">
        <v>168</v>
      </c>
      <c r="C14" s="2" t="s">
        <v>157</v>
      </c>
      <c r="D14" s="2">
        <v>5.2821824158625914E-2</v>
      </c>
      <c r="E14" s="2" t="s">
        <v>6</v>
      </c>
      <c r="F14" s="4" t="s">
        <v>132</v>
      </c>
      <c r="G14" s="2" t="s">
        <v>25</v>
      </c>
    </row>
    <row r="15" spans="1:14" s="2" customFormat="1" x14ac:dyDescent="0.25">
      <c r="A15" s="2" t="s">
        <v>203</v>
      </c>
      <c r="B15" s="2" t="s">
        <v>136</v>
      </c>
      <c r="C15" s="2" t="s">
        <v>157</v>
      </c>
      <c r="D15" s="2">
        <v>1.5028337747975762E-2</v>
      </c>
      <c r="E15" s="2" t="s">
        <v>6</v>
      </c>
      <c r="F15" s="4" t="s">
        <v>132</v>
      </c>
      <c r="G15" s="2" t="s">
        <v>25</v>
      </c>
    </row>
    <row r="16" spans="1:14" s="8" customFormat="1" x14ac:dyDescent="0.25"/>
    <row r="17" spans="1:14" x14ac:dyDescent="0.25">
      <c r="A17" s="1" t="s">
        <v>0</v>
      </c>
      <c r="B17" s="1" t="s">
        <v>212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3" t="s">
        <v>1</v>
      </c>
      <c r="B18" s="2" t="s">
        <v>205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3" t="s">
        <v>2</v>
      </c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3" t="s">
        <v>4</v>
      </c>
      <c r="B20" s="2">
        <v>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3" t="s">
        <v>5</v>
      </c>
      <c r="B21" s="2" t="s">
        <v>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3" t="s">
        <v>7</v>
      </c>
      <c r="B22" s="2" t="s">
        <v>213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3" t="s">
        <v>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1" t="s">
        <v>10</v>
      </c>
      <c r="B24" s="1" t="s">
        <v>1</v>
      </c>
      <c r="C24" s="1" t="s">
        <v>2</v>
      </c>
      <c r="D24" s="1" t="s">
        <v>4</v>
      </c>
      <c r="E24" s="1" t="s">
        <v>5</v>
      </c>
      <c r="F24" s="1" t="s">
        <v>11</v>
      </c>
      <c r="G24" s="1" t="s">
        <v>12</v>
      </c>
      <c r="H24" s="1" t="s">
        <v>13</v>
      </c>
      <c r="I24" s="1" t="s">
        <v>14</v>
      </c>
      <c r="J24" s="1" t="s">
        <v>15</v>
      </c>
      <c r="K24" s="1" t="s">
        <v>16</v>
      </c>
      <c r="L24" s="1" t="s">
        <v>17</v>
      </c>
      <c r="M24" s="1" t="s">
        <v>18</v>
      </c>
      <c r="N24" s="1" t="s">
        <v>19</v>
      </c>
    </row>
    <row r="25" spans="1:14" x14ac:dyDescent="0.25">
      <c r="A25" t="str">
        <f>B17</f>
        <v>Tungsten (W) global market (W content)</v>
      </c>
      <c r="B25" t="str">
        <f>B18</f>
        <v>W content</v>
      </c>
      <c r="C25" t="str">
        <f>B19</f>
        <v>GLO</v>
      </c>
      <c r="D25" s="2">
        <v>1</v>
      </c>
      <c r="E25" s="2" t="s">
        <v>6</v>
      </c>
      <c r="F25" s="4" t="s">
        <v>132</v>
      </c>
      <c r="G25" s="2" t="s">
        <v>20</v>
      </c>
    </row>
    <row r="26" spans="1:14" x14ac:dyDescent="0.25">
      <c r="A26" s="2" t="s">
        <v>217</v>
      </c>
      <c r="B26" s="2" t="s">
        <v>206</v>
      </c>
      <c r="C26" s="2" t="s">
        <v>3</v>
      </c>
      <c r="D26" s="2">
        <v>0.88657806823105445</v>
      </c>
      <c r="E26" s="2" t="s">
        <v>6</v>
      </c>
      <c r="F26" s="4" t="s">
        <v>132</v>
      </c>
      <c r="G26" s="2" t="s">
        <v>25</v>
      </c>
      <c r="H26" s="2"/>
      <c r="I26" s="2"/>
      <c r="J26" s="2"/>
      <c r="K26" s="2"/>
      <c r="L26" s="2"/>
      <c r="M26" s="2"/>
      <c r="N26" s="2"/>
    </row>
    <row r="27" spans="1:14" s="2" customFormat="1" x14ac:dyDescent="0.25">
      <c r="A27" s="2" t="s">
        <v>216</v>
      </c>
      <c r="B27" s="2" t="s">
        <v>206</v>
      </c>
      <c r="C27" s="2" t="s">
        <v>137</v>
      </c>
      <c r="D27" s="2">
        <v>4.5571769862343924E-2</v>
      </c>
      <c r="E27" s="2" t="s">
        <v>6</v>
      </c>
      <c r="F27" s="4" t="s">
        <v>132</v>
      </c>
      <c r="G27" s="2" t="s">
        <v>25</v>
      </c>
    </row>
    <row r="28" spans="1:14" s="2" customFormat="1" x14ac:dyDescent="0.25">
      <c r="A28" s="2" t="s">
        <v>215</v>
      </c>
      <c r="B28" s="2" t="s">
        <v>208</v>
      </c>
      <c r="C28" s="2" t="s">
        <v>157</v>
      </c>
      <c r="D28" s="2">
        <v>5.2821824158625914E-2</v>
      </c>
      <c r="E28" s="2" t="s">
        <v>6</v>
      </c>
      <c r="F28" s="4" t="s">
        <v>132</v>
      </c>
      <c r="G28" s="2" t="s">
        <v>25</v>
      </c>
    </row>
    <row r="29" spans="1:14" s="2" customFormat="1" x14ac:dyDescent="0.25">
      <c r="A29" s="2" t="s">
        <v>211</v>
      </c>
      <c r="B29" s="2" t="s">
        <v>209</v>
      </c>
      <c r="C29" s="2" t="s">
        <v>157</v>
      </c>
      <c r="D29" s="2">
        <v>1.5028337747975762E-2</v>
      </c>
      <c r="E29" s="2" t="s">
        <v>6</v>
      </c>
      <c r="F29" s="4" t="s">
        <v>132</v>
      </c>
      <c r="G29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99"/>
  <sheetViews>
    <sheetView tabSelected="1" topLeftCell="A73" zoomScaleNormal="100" workbookViewId="0">
      <selection activeCell="B97" sqref="B97"/>
    </sheetView>
  </sheetViews>
  <sheetFormatPr baseColWidth="10" defaultColWidth="8.7109375" defaultRowHeight="15" x14ac:dyDescent="0.25"/>
  <cols>
    <col min="1" max="1" width="70.5703125" style="2" bestFit="1" customWidth="1"/>
    <col min="2" max="2" width="51.7109375" style="2" bestFit="1" customWidth="1"/>
    <col min="3" max="3" width="8.28515625" style="2" bestFit="1" customWidth="1"/>
    <col min="4" max="4" width="12.7109375" style="2" bestFit="1" customWidth="1"/>
    <col min="5" max="5" width="17.5703125" style="2" bestFit="1" customWidth="1"/>
    <col min="6" max="6" width="19.7109375" style="2" bestFit="1" customWidth="1"/>
    <col min="7" max="7" width="13.28515625" style="2" bestFit="1" customWidth="1"/>
    <col min="8" max="8" width="25.28515625" style="2" bestFit="1" customWidth="1"/>
    <col min="9" max="9" width="15.5703125" style="2" bestFit="1" customWidth="1"/>
    <col min="10" max="10" width="9.7109375" style="2" bestFit="1" customWidth="1"/>
    <col min="11" max="11" width="3.5703125" style="2" bestFit="1" customWidth="1"/>
    <col min="12" max="12" width="5.42578125" style="2" bestFit="1" customWidth="1"/>
    <col min="13" max="13" width="9.5703125" style="2" bestFit="1" customWidth="1"/>
    <col min="14" max="14" width="9.7109375" style="2" bestFit="1" customWidth="1"/>
    <col min="15" max="16384" width="8.7109375" style="2"/>
  </cols>
  <sheetData>
    <row r="1" spans="1:14" x14ac:dyDescent="0.25">
      <c r="A1" s="1" t="s">
        <v>0</v>
      </c>
      <c r="B1" s="5" t="s">
        <v>107</v>
      </c>
    </row>
    <row r="2" spans="1:14" x14ac:dyDescent="0.25">
      <c r="A2" s="3" t="s">
        <v>1</v>
      </c>
      <c r="B2" s="2" t="s">
        <v>108</v>
      </c>
    </row>
    <row r="3" spans="1:14" x14ac:dyDescent="0.25">
      <c r="A3" s="3" t="s">
        <v>2</v>
      </c>
      <c r="B3" s="2" t="s">
        <v>3</v>
      </c>
    </row>
    <row r="4" spans="1:14" x14ac:dyDescent="0.25">
      <c r="A4" s="3" t="s">
        <v>4</v>
      </c>
      <c r="B4" s="2">
        <v>1</v>
      </c>
    </row>
    <row r="5" spans="1:14" x14ac:dyDescent="0.25">
      <c r="A5" s="3" t="s">
        <v>5</v>
      </c>
      <c r="B5" s="2" t="s">
        <v>6</v>
      </c>
    </row>
    <row r="6" spans="1:14" x14ac:dyDescent="0.25">
      <c r="A6" s="3" t="s">
        <v>7</v>
      </c>
      <c r="B6" s="2" t="s">
        <v>8</v>
      </c>
    </row>
    <row r="7" spans="1:14" x14ac:dyDescent="0.25">
      <c r="A7" s="3" t="s">
        <v>9</v>
      </c>
    </row>
    <row r="8" spans="1:14" x14ac:dyDescent="0.25">
      <c r="A8" s="1" t="s">
        <v>10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[M+C] Tungsten (W) ore mining and concentration</v>
      </c>
      <c r="B9" s="2" t="str">
        <f>B2</f>
        <v>W concentrate</v>
      </c>
      <c r="C9" s="2" t="str">
        <f>B3</f>
        <v>CN</v>
      </c>
      <c r="D9" s="2">
        <v>1</v>
      </c>
      <c r="E9" s="2" t="s">
        <v>6</v>
      </c>
      <c r="F9" s="4" t="s">
        <v>132</v>
      </c>
      <c r="G9" s="2" t="s">
        <v>20</v>
      </c>
    </row>
    <row r="10" spans="1:14" x14ac:dyDescent="0.25">
      <c r="A10" s="2" t="s">
        <v>21</v>
      </c>
      <c r="B10" s="2" t="s">
        <v>22</v>
      </c>
      <c r="C10" s="2" t="s">
        <v>23</v>
      </c>
      <c r="D10" s="2">
        <v>0.27127659574468083</v>
      </c>
      <c r="E10" s="2" t="s">
        <v>6</v>
      </c>
      <c r="F10" s="2" t="s">
        <v>24</v>
      </c>
      <c r="G10" s="2" t="s">
        <v>25</v>
      </c>
      <c r="J10" s="2" t="s">
        <v>26</v>
      </c>
    </row>
    <row r="11" spans="1:14" x14ac:dyDescent="0.25">
      <c r="A11" s="2" t="s">
        <v>27</v>
      </c>
      <c r="B11" s="2" t="s">
        <v>28</v>
      </c>
      <c r="C11" s="2" t="s">
        <v>23</v>
      </c>
      <c r="D11" s="2">
        <v>0.36170212765957449</v>
      </c>
      <c r="E11" s="2" t="s">
        <v>6</v>
      </c>
      <c r="F11" s="2" t="s">
        <v>24</v>
      </c>
      <c r="G11" s="2" t="s">
        <v>25</v>
      </c>
      <c r="J11" s="2" t="s">
        <v>29</v>
      </c>
    </row>
    <row r="12" spans="1:14" x14ac:dyDescent="0.25">
      <c r="A12" s="2" t="s">
        <v>30</v>
      </c>
      <c r="B12" s="2" t="s">
        <v>31</v>
      </c>
      <c r="C12" s="2" t="s">
        <v>32</v>
      </c>
      <c r="D12" s="2">
        <v>9.4148936170212767E-4</v>
      </c>
      <c r="E12" s="2" t="s">
        <v>33</v>
      </c>
      <c r="F12" s="2" t="s">
        <v>24</v>
      </c>
      <c r="G12" s="2" t="s">
        <v>25</v>
      </c>
      <c r="J12" s="2" t="s">
        <v>26</v>
      </c>
    </row>
    <row r="13" spans="1:14" x14ac:dyDescent="0.25">
      <c r="A13" s="2" t="s">
        <v>34</v>
      </c>
      <c r="B13" s="2" t="s">
        <v>35</v>
      </c>
      <c r="C13" s="2" t="s">
        <v>32</v>
      </c>
      <c r="D13" s="2">
        <v>-0.13555319148936171</v>
      </c>
      <c r="E13" s="2" t="s">
        <v>33</v>
      </c>
      <c r="F13" s="2" t="s">
        <v>24</v>
      </c>
      <c r="G13" s="2" t="s">
        <v>25</v>
      </c>
      <c r="J13" s="2" t="s">
        <v>29</v>
      </c>
    </row>
    <row r="14" spans="1:14" x14ac:dyDescent="0.25">
      <c r="A14" s="2" t="s">
        <v>27</v>
      </c>
      <c r="B14" s="2" t="s">
        <v>28</v>
      </c>
      <c r="C14" s="2" t="s">
        <v>23</v>
      </c>
      <c r="D14" s="2">
        <v>0.1063829787234043</v>
      </c>
      <c r="E14" s="2" t="s">
        <v>6</v>
      </c>
      <c r="F14" s="2" t="s">
        <v>24</v>
      </c>
      <c r="G14" s="2" t="s">
        <v>25</v>
      </c>
      <c r="J14" s="2" t="s">
        <v>29</v>
      </c>
    </row>
    <row r="15" spans="1:14" x14ac:dyDescent="0.25">
      <c r="A15" s="2" t="s">
        <v>36</v>
      </c>
      <c r="B15" s="2" t="s">
        <v>37</v>
      </c>
      <c r="C15" s="2" t="s">
        <v>23</v>
      </c>
      <c r="D15" s="2">
        <v>7.9787234042553196E-2</v>
      </c>
      <c r="E15" s="2" t="s">
        <v>6</v>
      </c>
      <c r="F15" s="2" t="s">
        <v>24</v>
      </c>
      <c r="G15" s="2" t="s">
        <v>25</v>
      </c>
      <c r="J15" s="2" t="s">
        <v>29</v>
      </c>
    </row>
    <row r="16" spans="1:14" x14ac:dyDescent="0.25">
      <c r="A16" s="2" t="s">
        <v>38</v>
      </c>
      <c r="B16" s="2" t="s">
        <v>39</v>
      </c>
      <c r="C16" s="2" t="s">
        <v>23</v>
      </c>
      <c r="D16" s="2">
        <v>1.5180851063829791E-2</v>
      </c>
      <c r="E16" s="2" t="s">
        <v>6</v>
      </c>
      <c r="F16" s="2" t="s">
        <v>24</v>
      </c>
      <c r="G16" s="2" t="s">
        <v>25</v>
      </c>
      <c r="J16" s="2" t="s">
        <v>26</v>
      </c>
    </row>
    <row r="17" spans="1:10" x14ac:dyDescent="0.25">
      <c r="A17" s="2" t="s">
        <v>40</v>
      </c>
      <c r="B17" s="2" t="s">
        <v>41</v>
      </c>
      <c r="C17" s="2" t="s">
        <v>32</v>
      </c>
      <c r="D17" s="2">
        <v>4.6808510638297876E-3</v>
      </c>
      <c r="E17" s="2" t="s">
        <v>6</v>
      </c>
      <c r="F17" s="2" t="s">
        <v>24</v>
      </c>
      <c r="G17" s="2" t="s">
        <v>25</v>
      </c>
      <c r="J17" s="2" t="s">
        <v>26</v>
      </c>
    </row>
    <row r="18" spans="1:10" x14ac:dyDescent="0.25">
      <c r="A18" s="2" t="s">
        <v>42</v>
      </c>
      <c r="B18" s="2" t="s">
        <v>43</v>
      </c>
      <c r="C18" s="2" t="s">
        <v>32</v>
      </c>
      <c r="D18" s="2">
        <v>2.8372340425531922E-2</v>
      </c>
      <c r="E18" s="2" t="s">
        <v>6</v>
      </c>
      <c r="F18" s="2" t="s">
        <v>24</v>
      </c>
      <c r="G18" s="2" t="s">
        <v>25</v>
      </c>
      <c r="J18" s="2" t="s">
        <v>29</v>
      </c>
    </row>
    <row r="19" spans="1:10" x14ac:dyDescent="0.25">
      <c r="A19" s="2" t="s">
        <v>44</v>
      </c>
      <c r="B19" s="2" t="s">
        <v>45</v>
      </c>
      <c r="C19" s="2" t="s">
        <v>32</v>
      </c>
      <c r="D19" s="2">
        <v>2.8372340425531922E-2</v>
      </c>
      <c r="E19" s="2" t="s">
        <v>6</v>
      </c>
      <c r="F19" s="2" t="s">
        <v>24</v>
      </c>
      <c r="G19" s="2" t="s">
        <v>25</v>
      </c>
      <c r="J19" s="2" t="s">
        <v>29</v>
      </c>
    </row>
    <row r="20" spans="1:10" x14ac:dyDescent="0.25">
      <c r="A20" s="2" t="s">
        <v>46</v>
      </c>
      <c r="B20" s="2" t="s">
        <v>47</v>
      </c>
      <c r="C20" s="2" t="s">
        <v>23</v>
      </c>
      <c r="D20" s="2">
        <v>2.8372340425531922E-2</v>
      </c>
      <c r="E20" s="2" t="s">
        <v>6</v>
      </c>
      <c r="F20" s="2" t="s">
        <v>24</v>
      </c>
      <c r="G20" s="2" t="s">
        <v>25</v>
      </c>
      <c r="J20" s="2" t="s">
        <v>29</v>
      </c>
    </row>
    <row r="21" spans="1:10" x14ac:dyDescent="0.25">
      <c r="A21" s="2" t="s">
        <v>48</v>
      </c>
      <c r="B21" s="2" t="s">
        <v>49</v>
      </c>
      <c r="C21" s="2" t="s">
        <v>32</v>
      </c>
      <c r="D21" s="2">
        <v>7.9787234042553196E-2</v>
      </c>
      <c r="E21" s="2" t="s">
        <v>6</v>
      </c>
      <c r="F21" s="2" t="s">
        <v>24</v>
      </c>
      <c r="G21" s="2" t="s">
        <v>25</v>
      </c>
      <c r="J21" s="2" t="s">
        <v>26</v>
      </c>
    </row>
    <row r="22" spans="1:10" x14ac:dyDescent="0.25">
      <c r="A22" s="2" t="s">
        <v>50</v>
      </c>
      <c r="B22" s="2" t="s">
        <v>51</v>
      </c>
      <c r="C22" s="2" t="s">
        <v>23</v>
      </c>
      <c r="D22" s="2">
        <v>1.7021276595744681E-2</v>
      </c>
      <c r="E22" s="2" t="s">
        <v>6</v>
      </c>
      <c r="F22" s="2" t="s">
        <v>24</v>
      </c>
      <c r="G22" s="2" t="s">
        <v>25</v>
      </c>
      <c r="J22" s="2" t="s">
        <v>29</v>
      </c>
    </row>
    <row r="23" spans="1:10" x14ac:dyDescent="0.25">
      <c r="A23" s="2" t="s">
        <v>48</v>
      </c>
      <c r="B23" s="2" t="s">
        <v>49</v>
      </c>
      <c r="C23" s="2" t="s">
        <v>32</v>
      </c>
      <c r="D23" s="2">
        <v>3.546276595744681E-2</v>
      </c>
      <c r="E23" s="2" t="s">
        <v>6</v>
      </c>
      <c r="F23" s="2" t="s">
        <v>24</v>
      </c>
      <c r="G23" s="2" t="s">
        <v>25</v>
      </c>
      <c r="J23" s="2" t="s">
        <v>26</v>
      </c>
    </row>
    <row r="24" spans="1:10" x14ac:dyDescent="0.25">
      <c r="A24" s="2" t="s">
        <v>52</v>
      </c>
      <c r="B24" s="2" t="s">
        <v>53</v>
      </c>
      <c r="C24" s="2" t="s">
        <v>32</v>
      </c>
      <c r="D24" s="2">
        <v>-46.920212765957437</v>
      </c>
      <c r="E24" s="2" t="s">
        <v>6</v>
      </c>
      <c r="F24" s="2" t="s">
        <v>24</v>
      </c>
      <c r="G24" s="2" t="s">
        <v>25</v>
      </c>
      <c r="J24" s="2" t="s">
        <v>29</v>
      </c>
    </row>
    <row r="25" spans="1:10" x14ac:dyDescent="0.25">
      <c r="A25" s="2" t="s">
        <v>54</v>
      </c>
      <c r="B25" s="2" t="s">
        <v>55</v>
      </c>
      <c r="C25" s="2" t="s">
        <v>23</v>
      </c>
      <c r="D25" s="2">
        <v>-193.4893617021277</v>
      </c>
      <c r="E25" s="2" t="s">
        <v>6</v>
      </c>
      <c r="F25" s="2" t="s">
        <v>24</v>
      </c>
      <c r="G25" s="2" t="s">
        <v>25</v>
      </c>
      <c r="J25" s="2" t="s">
        <v>26</v>
      </c>
    </row>
    <row r="26" spans="1:10" x14ac:dyDescent="0.25">
      <c r="A26" s="2" t="s">
        <v>56</v>
      </c>
      <c r="B26" s="2" t="s">
        <v>57</v>
      </c>
      <c r="C26" s="2" t="s">
        <v>32</v>
      </c>
      <c r="D26" s="2">
        <v>-24.574468085106378</v>
      </c>
      <c r="E26" s="2" t="s">
        <v>6</v>
      </c>
      <c r="F26" s="2" t="s">
        <v>24</v>
      </c>
      <c r="G26" s="2" t="s">
        <v>25</v>
      </c>
      <c r="J26" s="2" t="s">
        <v>26</v>
      </c>
    </row>
    <row r="27" spans="1:10" x14ac:dyDescent="0.25">
      <c r="A27" s="2" t="s">
        <v>58</v>
      </c>
      <c r="B27" s="2" t="s">
        <v>59</v>
      </c>
      <c r="C27" s="2" t="s">
        <v>32</v>
      </c>
      <c r="D27" s="2">
        <v>-34.063829787234049</v>
      </c>
      <c r="E27" s="2" t="s">
        <v>6</v>
      </c>
      <c r="F27" s="2" t="s">
        <v>24</v>
      </c>
      <c r="G27" s="2" t="s">
        <v>25</v>
      </c>
      <c r="J27" s="2" t="s">
        <v>29</v>
      </c>
    </row>
    <row r="28" spans="1:10" x14ac:dyDescent="0.25">
      <c r="A28" s="2" t="s">
        <v>60</v>
      </c>
      <c r="B28" s="2" t="s">
        <v>61</v>
      </c>
      <c r="C28" s="2" t="s">
        <v>32</v>
      </c>
      <c r="D28" s="2">
        <v>66.734042553191486</v>
      </c>
      <c r="E28" s="2" t="s">
        <v>6</v>
      </c>
      <c r="F28" s="2" t="s">
        <v>24</v>
      </c>
      <c r="G28" s="2" t="s">
        <v>25</v>
      </c>
      <c r="J28" s="2" t="s">
        <v>29</v>
      </c>
    </row>
    <row r="29" spans="1:10" x14ac:dyDescent="0.25">
      <c r="A29" s="2" t="s">
        <v>62</v>
      </c>
      <c r="B29" s="2" t="s">
        <v>63</v>
      </c>
      <c r="C29" s="2" t="s">
        <v>3</v>
      </c>
      <c r="D29" s="2">
        <v>16.172499999999999</v>
      </c>
      <c r="E29" s="2" t="s">
        <v>64</v>
      </c>
      <c r="F29" s="2" t="s">
        <v>24</v>
      </c>
      <c r="G29" s="2" t="s">
        <v>25</v>
      </c>
      <c r="J29" s="2" t="s">
        <v>29</v>
      </c>
    </row>
    <row r="30" spans="1:10" x14ac:dyDescent="0.25">
      <c r="A30" s="2" t="s">
        <v>65</v>
      </c>
      <c r="B30" s="2" t="s">
        <v>66</v>
      </c>
      <c r="C30" s="2" t="s">
        <v>32</v>
      </c>
      <c r="D30" s="2">
        <v>-51.090425531914903</v>
      </c>
      <c r="E30" s="2" t="s">
        <v>6</v>
      </c>
      <c r="F30" s="2" t="s">
        <v>24</v>
      </c>
      <c r="G30" s="2" t="s">
        <v>25</v>
      </c>
      <c r="J30" s="2" t="s">
        <v>29</v>
      </c>
    </row>
    <row r="31" spans="1:10" x14ac:dyDescent="0.25">
      <c r="A31" s="2" t="s">
        <v>67</v>
      </c>
      <c r="D31" s="2">
        <v>4.6973404255319151E-2</v>
      </c>
      <c r="E31" s="2" t="s">
        <v>68</v>
      </c>
      <c r="F31" s="2" t="s">
        <v>69</v>
      </c>
      <c r="G31" s="2" t="s">
        <v>70</v>
      </c>
      <c r="H31" s="2" t="s">
        <v>198</v>
      </c>
      <c r="J31" s="2" t="s">
        <v>26</v>
      </c>
    </row>
    <row r="32" spans="1:10" x14ac:dyDescent="0.25">
      <c r="A32" s="2" t="s">
        <v>71</v>
      </c>
      <c r="D32" s="2">
        <v>4.6973404255319151E-2</v>
      </c>
      <c r="E32" s="2" t="s">
        <v>68</v>
      </c>
      <c r="F32" s="2" t="s">
        <v>69</v>
      </c>
      <c r="G32" s="2" t="s">
        <v>70</v>
      </c>
      <c r="H32" s="2" t="s">
        <v>198</v>
      </c>
      <c r="J32" s="2" t="s">
        <v>26</v>
      </c>
    </row>
    <row r="33" spans="1:14" x14ac:dyDescent="0.25">
      <c r="A33" s="2" t="s">
        <v>72</v>
      </c>
      <c r="D33" s="2">
        <v>1.2241269148936169E-4</v>
      </c>
      <c r="E33" s="2" t="s">
        <v>73</v>
      </c>
      <c r="F33" s="2" t="s">
        <v>69</v>
      </c>
      <c r="G33" s="2" t="s">
        <v>70</v>
      </c>
      <c r="H33" s="2" t="s">
        <v>198</v>
      </c>
      <c r="J33" s="2" t="s">
        <v>26</v>
      </c>
    </row>
    <row r="34" spans="1:14" x14ac:dyDescent="0.25">
      <c r="A34" s="2" t="s">
        <v>67</v>
      </c>
      <c r="D34" s="2">
        <v>1.0585106382978719E-3</v>
      </c>
      <c r="E34" s="2" t="s">
        <v>68</v>
      </c>
      <c r="F34" s="2" t="s">
        <v>69</v>
      </c>
      <c r="G34" s="2" t="s">
        <v>70</v>
      </c>
      <c r="H34" s="2" t="s">
        <v>198</v>
      </c>
      <c r="J34" s="2" t="s">
        <v>26</v>
      </c>
    </row>
    <row r="35" spans="1:14" x14ac:dyDescent="0.25">
      <c r="A35" s="2" t="s">
        <v>71</v>
      </c>
      <c r="D35" s="2">
        <v>1.0585106382978719E-3</v>
      </c>
      <c r="E35" s="2" t="s">
        <v>68</v>
      </c>
      <c r="F35" s="2" t="s">
        <v>69</v>
      </c>
      <c r="G35" s="2" t="s">
        <v>70</v>
      </c>
      <c r="H35" s="2" t="s">
        <v>198</v>
      </c>
      <c r="J35" s="2" t="s">
        <v>26</v>
      </c>
    </row>
    <row r="36" spans="1:14" x14ac:dyDescent="0.25">
      <c r="A36" s="2" t="s">
        <v>72</v>
      </c>
      <c r="D36" s="2">
        <v>2.7584787234042549E-6</v>
      </c>
      <c r="E36" s="2" t="s">
        <v>73</v>
      </c>
      <c r="F36" s="2" t="s">
        <v>69</v>
      </c>
      <c r="G36" s="2" t="s">
        <v>70</v>
      </c>
      <c r="H36" s="2" t="s">
        <v>198</v>
      </c>
      <c r="J36" s="2" t="s">
        <v>26</v>
      </c>
    </row>
    <row r="37" spans="1:14" x14ac:dyDescent="0.25">
      <c r="A37" s="2" t="s">
        <v>74</v>
      </c>
      <c r="D37" s="2">
        <v>1.112234042553191E-2</v>
      </c>
      <c r="E37" s="2" t="s">
        <v>33</v>
      </c>
      <c r="F37" s="2" t="s">
        <v>69</v>
      </c>
      <c r="G37" s="2" t="s">
        <v>70</v>
      </c>
      <c r="H37" s="2" t="s">
        <v>199</v>
      </c>
      <c r="J37" s="2" t="s">
        <v>29</v>
      </c>
    </row>
    <row r="38" spans="1:14" s="6" customFormat="1" x14ac:dyDescent="0.25"/>
    <row r="39" spans="1:14" x14ac:dyDescent="0.25">
      <c r="A39" s="1" t="s">
        <v>0</v>
      </c>
      <c r="B39" s="1" t="s">
        <v>75</v>
      </c>
    </row>
    <row r="40" spans="1:14" x14ac:dyDescent="0.25">
      <c r="A40" s="3" t="s">
        <v>1</v>
      </c>
      <c r="B40" s="2" t="s">
        <v>76</v>
      </c>
    </row>
    <row r="41" spans="1:14" x14ac:dyDescent="0.25">
      <c r="A41" s="3" t="s">
        <v>2</v>
      </c>
      <c r="B41" s="2" t="s">
        <v>3</v>
      </c>
    </row>
    <row r="42" spans="1:14" x14ac:dyDescent="0.25">
      <c r="A42" s="3" t="s">
        <v>4</v>
      </c>
      <c r="B42" s="2">
        <v>1</v>
      </c>
    </row>
    <row r="43" spans="1:14" x14ac:dyDescent="0.25">
      <c r="A43" s="3" t="s">
        <v>5</v>
      </c>
      <c r="B43" s="2" t="s">
        <v>6</v>
      </c>
    </row>
    <row r="44" spans="1:14" x14ac:dyDescent="0.25">
      <c r="A44" s="3" t="s">
        <v>7</v>
      </c>
      <c r="B44" s="2" t="s">
        <v>8</v>
      </c>
    </row>
    <row r="45" spans="1:14" x14ac:dyDescent="0.25">
      <c r="A45" s="3" t="s">
        <v>9</v>
      </c>
    </row>
    <row r="46" spans="1:14" x14ac:dyDescent="0.25">
      <c r="A46" s="1" t="s">
        <v>10</v>
      </c>
      <c r="B46" s="1" t="s">
        <v>1</v>
      </c>
      <c r="C46" s="1" t="s">
        <v>2</v>
      </c>
      <c r="D46" s="1" t="s">
        <v>4</v>
      </c>
      <c r="E46" s="1" t="s">
        <v>5</v>
      </c>
      <c r="F46" s="1" t="s">
        <v>11</v>
      </c>
      <c r="G46" s="1" t="s">
        <v>12</v>
      </c>
      <c r="H46" s="1" t="s">
        <v>13</v>
      </c>
      <c r="I46" s="1" t="s">
        <v>14</v>
      </c>
      <c r="J46" s="1" t="s">
        <v>15</v>
      </c>
      <c r="K46" s="1" t="s">
        <v>16</v>
      </c>
      <c r="L46" s="1" t="s">
        <v>17</v>
      </c>
      <c r="M46" s="1" t="s">
        <v>18</v>
      </c>
      <c r="N46" s="1" t="s">
        <v>19</v>
      </c>
    </row>
    <row r="47" spans="1:14" x14ac:dyDescent="0.25">
      <c r="A47" s="2" t="str">
        <f>B39</f>
        <v>[P+R] Tungsten carbide (WC) production</v>
      </c>
      <c r="B47" s="2" t="str">
        <f>B40</f>
        <v>WC powder</v>
      </c>
      <c r="C47" s="2" t="str">
        <f>B41</f>
        <v>CN</v>
      </c>
      <c r="D47" s="2">
        <v>1</v>
      </c>
      <c r="E47" s="2" t="s">
        <v>6</v>
      </c>
      <c r="F47" s="4" t="s">
        <v>132</v>
      </c>
      <c r="G47" s="2" t="s">
        <v>20</v>
      </c>
    </row>
    <row r="48" spans="1:14" x14ac:dyDescent="0.25">
      <c r="A48" s="2" t="s">
        <v>44</v>
      </c>
      <c r="B48" s="2" t="s">
        <v>45</v>
      </c>
      <c r="C48" s="2" t="s">
        <v>32</v>
      </c>
      <c r="D48" s="2">
        <v>0.61</v>
      </c>
      <c r="E48" s="2" t="s">
        <v>6</v>
      </c>
      <c r="F48" s="2" t="s">
        <v>24</v>
      </c>
      <c r="G48" s="2" t="s">
        <v>25</v>
      </c>
      <c r="J48" s="2" t="s">
        <v>29</v>
      </c>
    </row>
    <row r="49" spans="1:10" x14ac:dyDescent="0.25">
      <c r="A49" s="2" t="s">
        <v>77</v>
      </c>
      <c r="B49" s="2" t="s">
        <v>78</v>
      </c>
      <c r="C49" s="2" t="s">
        <v>23</v>
      </c>
      <c r="D49" s="2">
        <v>0.41</v>
      </c>
      <c r="E49" s="2" t="s">
        <v>6</v>
      </c>
      <c r="F49" s="2" t="s">
        <v>24</v>
      </c>
      <c r="G49" s="2" t="s">
        <v>25</v>
      </c>
      <c r="J49" s="2" t="s">
        <v>29</v>
      </c>
    </row>
    <row r="50" spans="1:10" x14ac:dyDescent="0.25">
      <c r="A50" s="2" t="s">
        <v>79</v>
      </c>
      <c r="B50" s="2" t="s">
        <v>80</v>
      </c>
      <c r="C50" s="2" t="s">
        <v>3</v>
      </c>
      <c r="D50" s="2">
        <v>7.2999999999999995E-2</v>
      </c>
      <c r="E50" s="2" t="s">
        <v>6</v>
      </c>
      <c r="F50" s="2" t="s">
        <v>24</v>
      </c>
      <c r="G50" s="2" t="s">
        <v>25</v>
      </c>
      <c r="J50" s="2" t="s">
        <v>29</v>
      </c>
    </row>
    <row r="51" spans="1:10" x14ac:dyDescent="0.25">
      <c r="A51" s="2" t="s">
        <v>81</v>
      </c>
      <c r="B51" s="2" t="s">
        <v>82</v>
      </c>
      <c r="C51" s="2" t="s">
        <v>32</v>
      </c>
      <c r="D51" s="2">
        <v>1.4999999999999999E-2</v>
      </c>
      <c r="E51" s="2" t="s">
        <v>6</v>
      </c>
      <c r="F51" s="2" t="s">
        <v>24</v>
      </c>
      <c r="G51" s="2" t="s">
        <v>25</v>
      </c>
      <c r="J51" s="2" t="s">
        <v>29</v>
      </c>
    </row>
    <row r="52" spans="1:10" x14ac:dyDescent="0.25">
      <c r="A52" s="2" t="s">
        <v>83</v>
      </c>
      <c r="B52" s="2" t="s">
        <v>84</v>
      </c>
      <c r="C52" s="2" t="s">
        <v>32</v>
      </c>
      <c r="D52" s="2">
        <v>6.1580000000000003E-2</v>
      </c>
      <c r="E52" s="2" t="s">
        <v>6</v>
      </c>
      <c r="F52" s="2" t="s">
        <v>24</v>
      </c>
      <c r="G52" s="2" t="s">
        <v>25</v>
      </c>
      <c r="J52" s="2" t="s">
        <v>29</v>
      </c>
    </row>
    <row r="53" spans="1:10" x14ac:dyDescent="0.25">
      <c r="A53" s="2" t="s">
        <v>85</v>
      </c>
      <c r="B53" s="2" t="s">
        <v>86</v>
      </c>
      <c r="C53" s="2" t="s">
        <v>32</v>
      </c>
      <c r="D53" s="2">
        <v>6.0409999999999998E-2</v>
      </c>
      <c r="E53" s="2" t="s">
        <v>6</v>
      </c>
      <c r="F53" s="2" t="s">
        <v>24</v>
      </c>
      <c r="G53" s="2" t="s">
        <v>25</v>
      </c>
      <c r="J53" s="2" t="s">
        <v>26</v>
      </c>
    </row>
    <row r="54" spans="1:10" x14ac:dyDescent="0.25">
      <c r="A54" s="2" t="s">
        <v>50</v>
      </c>
      <c r="B54" s="2" t="s">
        <v>51</v>
      </c>
      <c r="C54" s="2" t="s">
        <v>23</v>
      </c>
      <c r="D54" s="2">
        <v>2.324E-2</v>
      </c>
      <c r="E54" s="2" t="s">
        <v>6</v>
      </c>
      <c r="F54" s="2" t="s">
        <v>24</v>
      </c>
      <c r="G54" s="2" t="s">
        <v>25</v>
      </c>
      <c r="J54" s="2" t="s">
        <v>29</v>
      </c>
    </row>
    <row r="55" spans="1:10" x14ac:dyDescent="0.25">
      <c r="A55" s="2" t="s">
        <v>60</v>
      </c>
      <c r="B55" s="2" t="s">
        <v>61</v>
      </c>
      <c r="C55" s="2" t="s">
        <v>32</v>
      </c>
      <c r="D55" s="2">
        <v>116.89</v>
      </c>
      <c r="E55" s="2" t="s">
        <v>6</v>
      </c>
      <c r="F55" s="2" t="s">
        <v>24</v>
      </c>
      <c r="G55" s="2" t="s">
        <v>25</v>
      </c>
      <c r="J55" s="2" t="s">
        <v>29</v>
      </c>
    </row>
    <row r="56" spans="1:10" x14ac:dyDescent="0.25">
      <c r="A56" s="2" t="s">
        <v>62</v>
      </c>
      <c r="B56" s="2" t="s">
        <v>63</v>
      </c>
      <c r="C56" s="2" t="s">
        <v>3</v>
      </c>
      <c r="D56" s="2">
        <v>0.74357000000000006</v>
      </c>
      <c r="E56" s="2" t="s">
        <v>64</v>
      </c>
      <c r="F56" s="2" t="s">
        <v>24</v>
      </c>
      <c r="G56" s="2" t="s">
        <v>25</v>
      </c>
      <c r="J56" s="2" t="s">
        <v>29</v>
      </c>
    </row>
    <row r="57" spans="1:10" x14ac:dyDescent="0.25">
      <c r="A57" s="2" t="s">
        <v>87</v>
      </c>
      <c r="B57" s="2" t="s">
        <v>88</v>
      </c>
      <c r="C57" s="2" t="s">
        <v>32</v>
      </c>
      <c r="D57" s="2">
        <v>1.16E-3</v>
      </c>
      <c r="E57" s="2" t="s">
        <v>6</v>
      </c>
      <c r="F57" s="2" t="s">
        <v>24</v>
      </c>
      <c r="G57" s="2" t="s">
        <v>25</v>
      </c>
      <c r="J57" s="2" t="s">
        <v>26</v>
      </c>
    </row>
    <row r="58" spans="1:10" x14ac:dyDescent="0.25">
      <c r="A58" s="2" t="s">
        <v>89</v>
      </c>
      <c r="B58" s="2" t="s">
        <v>90</v>
      </c>
      <c r="C58" s="2" t="s">
        <v>32</v>
      </c>
      <c r="D58" s="2">
        <v>1.16E-3</v>
      </c>
      <c r="E58" s="2" t="s">
        <v>6</v>
      </c>
      <c r="F58" s="2" t="s">
        <v>24</v>
      </c>
      <c r="G58" s="2" t="s">
        <v>25</v>
      </c>
      <c r="J58" s="2" t="s">
        <v>29</v>
      </c>
    </row>
    <row r="59" spans="1:10" x14ac:dyDescent="0.25">
      <c r="A59" s="2" t="s">
        <v>91</v>
      </c>
      <c r="B59" s="2" t="s">
        <v>92</v>
      </c>
      <c r="C59" s="2" t="s">
        <v>3</v>
      </c>
      <c r="D59" s="2">
        <v>1.25</v>
      </c>
      <c r="E59" s="2" t="s">
        <v>6</v>
      </c>
      <c r="F59" s="2" t="s">
        <v>24</v>
      </c>
      <c r="G59" s="2" t="s">
        <v>25</v>
      </c>
      <c r="J59" s="2" t="s">
        <v>29</v>
      </c>
    </row>
    <row r="60" spans="1:10" x14ac:dyDescent="0.25">
      <c r="A60" s="2" t="s">
        <v>93</v>
      </c>
      <c r="B60" s="2" t="s">
        <v>94</v>
      </c>
      <c r="C60" s="2" t="s">
        <v>32</v>
      </c>
      <c r="D60" s="2">
        <v>2.44</v>
      </c>
      <c r="E60" s="2" t="s">
        <v>6</v>
      </c>
      <c r="F60" s="2" t="s">
        <v>24</v>
      </c>
      <c r="G60" s="2" t="s">
        <v>25</v>
      </c>
      <c r="J60" s="2" t="s">
        <v>26</v>
      </c>
    </row>
    <row r="61" spans="1:10" x14ac:dyDescent="0.25">
      <c r="A61" s="2" t="s">
        <v>95</v>
      </c>
      <c r="B61" s="2" t="s">
        <v>96</v>
      </c>
      <c r="C61" s="2" t="s">
        <v>23</v>
      </c>
      <c r="D61" s="2">
        <v>7.0000000000000007E-2</v>
      </c>
      <c r="E61" s="2" t="s">
        <v>6</v>
      </c>
      <c r="F61" s="2" t="s">
        <v>24</v>
      </c>
      <c r="G61" s="2" t="s">
        <v>25</v>
      </c>
      <c r="J61" s="2" t="s">
        <v>26</v>
      </c>
    </row>
    <row r="62" spans="1:10" x14ac:dyDescent="0.25">
      <c r="A62" s="2" t="s">
        <v>62</v>
      </c>
      <c r="B62" s="2" t="s">
        <v>63</v>
      </c>
      <c r="C62" s="2" t="s">
        <v>3</v>
      </c>
      <c r="D62" s="2">
        <v>15.51</v>
      </c>
      <c r="E62" s="2" t="s">
        <v>64</v>
      </c>
      <c r="F62" s="2" t="s">
        <v>24</v>
      </c>
      <c r="G62" s="2" t="s">
        <v>25</v>
      </c>
      <c r="J62" s="2" t="s">
        <v>29</v>
      </c>
    </row>
    <row r="63" spans="1:10" x14ac:dyDescent="0.25">
      <c r="A63" s="2" t="s">
        <v>97</v>
      </c>
      <c r="B63" s="2" t="s">
        <v>98</v>
      </c>
      <c r="C63" s="2" t="s">
        <v>32</v>
      </c>
      <c r="D63" s="2">
        <v>35.194762599999997</v>
      </c>
      <c r="E63" s="2" t="s">
        <v>6</v>
      </c>
      <c r="F63" s="2" t="s">
        <v>24</v>
      </c>
      <c r="G63" s="2" t="s">
        <v>25</v>
      </c>
      <c r="J63" s="2" t="s">
        <v>26</v>
      </c>
    </row>
    <row r="64" spans="1:10" x14ac:dyDescent="0.25">
      <c r="A64" s="2" t="s">
        <v>99</v>
      </c>
      <c r="B64" s="2" t="s">
        <v>100</v>
      </c>
      <c r="C64" s="2" t="s">
        <v>32</v>
      </c>
      <c r="D64" s="2">
        <v>0.10549</v>
      </c>
      <c r="E64" s="2" t="s">
        <v>33</v>
      </c>
      <c r="F64" s="2" t="s">
        <v>24</v>
      </c>
      <c r="G64" s="2" t="s">
        <v>25</v>
      </c>
      <c r="J64" s="2" t="s">
        <v>26</v>
      </c>
    </row>
    <row r="65" spans="1:10" x14ac:dyDescent="0.25">
      <c r="A65" s="2" t="s">
        <v>34</v>
      </c>
      <c r="B65" s="2" t="s">
        <v>35</v>
      </c>
      <c r="C65" s="2" t="s">
        <v>32</v>
      </c>
      <c r="D65" s="2">
        <v>-9.6000000000000002E-2</v>
      </c>
      <c r="E65" s="2" t="s">
        <v>33</v>
      </c>
      <c r="F65" s="2" t="s">
        <v>24</v>
      </c>
      <c r="G65" s="2" t="s">
        <v>25</v>
      </c>
      <c r="J65" s="2" t="s">
        <v>29</v>
      </c>
    </row>
    <row r="66" spans="1:10" x14ac:dyDescent="0.25">
      <c r="A66" s="2" t="s">
        <v>101</v>
      </c>
      <c r="B66" s="2" t="s">
        <v>102</v>
      </c>
      <c r="C66" s="2" t="s">
        <v>32</v>
      </c>
      <c r="D66" s="2">
        <v>-2.8000000000000001E-2</v>
      </c>
      <c r="E66" s="2" t="s">
        <v>6</v>
      </c>
      <c r="F66" s="2" t="s">
        <v>24</v>
      </c>
      <c r="G66" s="2" t="s">
        <v>25</v>
      </c>
      <c r="J66" s="2" t="s">
        <v>29</v>
      </c>
    </row>
    <row r="67" spans="1:10" x14ac:dyDescent="0.25">
      <c r="A67" s="2" t="s">
        <v>103</v>
      </c>
      <c r="B67" s="2" t="s">
        <v>104</v>
      </c>
      <c r="C67" s="2" t="s">
        <v>32</v>
      </c>
      <c r="D67" s="2">
        <v>-0.73</v>
      </c>
      <c r="E67" s="2" t="s">
        <v>6</v>
      </c>
      <c r="F67" s="2" t="s">
        <v>24</v>
      </c>
      <c r="G67" s="2" t="s">
        <v>25</v>
      </c>
      <c r="J67" s="2" t="s">
        <v>26</v>
      </c>
    </row>
    <row r="68" spans="1:10" x14ac:dyDescent="0.25">
      <c r="A68" s="2" t="s">
        <v>105</v>
      </c>
      <c r="B68" s="2" t="s">
        <v>106</v>
      </c>
      <c r="C68" s="2" t="s">
        <v>32</v>
      </c>
      <c r="D68" s="2">
        <v>-0.81</v>
      </c>
      <c r="E68" s="2" t="s">
        <v>6</v>
      </c>
      <c r="F68" s="2" t="s">
        <v>24</v>
      </c>
      <c r="G68" s="2" t="s">
        <v>25</v>
      </c>
      <c r="J68" s="2" t="s">
        <v>26</v>
      </c>
    </row>
    <row r="69" spans="1:10" x14ac:dyDescent="0.25">
      <c r="A69" s="2" t="s">
        <v>67</v>
      </c>
      <c r="D69" s="2">
        <v>2.2000000000000001E-4</v>
      </c>
      <c r="E69" s="2" t="s">
        <v>68</v>
      </c>
      <c r="F69" s="2" t="s">
        <v>69</v>
      </c>
      <c r="G69" s="2" t="s">
        <v>70</v>
      </c>
      <c r="H69" s="2" t="s">
        <v>198</v>
      </c>
      <c r="J69" s="2" t="s">
        <v>26</v>
      </c>
    </row>
    <row r="70" spans="1:10" x14ac:dyDescent="0.25">
      <c r="A70" s="2" t="s">
        <v>71</v>
      </c>
      <c r="D70" s="2">
        <v>2.2000000000000001E-4</v>
      </c>
      <c r="E70" s="2" t="s">
        <v>68</v>
      </c>
      <c r="F70" s="2" t="s">
        <v>69</v>
      </c>
      <c r="G70" s="2" t="s">
        <v>70</v>
      </c>
      <c r="H70" s="2" t="s">
        <v>198</v>
      </c>
      <c r="J70" s="2" t="s">
        <v>26</v>
      </c>
    </row>
    <row r="71" spans="1:10" x14ac:dyDescent="0.25">
      <c r="A71" s="2" t="s">
        <v>72</v>
      </c>
      <c r="D71" s="2">
        <v>1.4666666666666671E-7</v>
      </c>
      <c r="E71" s="2" t="s">
        <v>73</v>
      </c>
      <c r="F71" s="2" t="s">
        <v>69</v>
      </c>
      <c r="G71" s="2" t="s">
        <v>70</v>
      </c>
      <c r="H71" s="2" t="s">
        <v>198</v>
      </c>
      <c r="J71" s="2" t="s">
        <v>26</v>
      </c>
    </row>
    <row r="72" spans="1:10" x14ac:dyDescent="0.25">
      <c r="A72" s="2" t="s">
        <v>74</v>
      </c>
      <c r="D72" s="2">
        <v>1.2600000000000001E-3</v>
      </c>
      <c r="E72" s="2" t="s">
        <v>33</v>
      </c>
      <c r="F72" s="2" t="s">
        <v>69</v>
      </c>
      <c r="G72" s="2" t="s">
        <v>70</v>
      </c>
      <c r="H72" s="2" t="s">
        <v>199</v>
      </c>
      <c r="J72" s="2" t="s">
        <v>29</v>
      </c>
    </row>
    <row r="73" spans="1:10" x14ac:dyDescent="0.25">
      <c r="A73" s="2" t="s">
        <v>67</v>
      </c>
      <c r="D73" s="2">
        <v>7.2999999999999996E-4</v>
      </c>
      <c r="E73" s="2" t="s">
        <v>68</v>
      </c>
      <c r="F73" s="2" t="s">
        <v>69</v>
      </c>
      <c r="G73" s="2" t="s">
        <v>70</v>
      </c>
      <c r="H73" s="2" t="s">
        <v>198</v>
      </c>
      <c r="J73" s="2" t="s">
        <v>26</v>
      </c>
    </row>
    <row r="74" spans="1:10" x14ac:dyDescent="0.25">
      <c r="A74" s="2" t="s">
        <v>71</v>
      </c>
      <c r="D74" s="2">
        <v>7.2999999999999996E-4</v>
      </c>
      <c r="E74" s="2" t="s">
        <v>68</v>
      </c>
      <c r="F74" s="2" t="s">
        <v>69</v>
      </c>
      <c r="G74" s="2" t="s">
        <v>70</v>
      </c>
      <c r="H74" s="2" t="s">
        <v>198</v>
      </c>
      <c r="J74" s="2" t="s">
        <v>26</v>
      </c>
    </row>
    <row r="75" spans="1:10" x14ac:dyDescent="0.25">
      <c r="A75" s="2" t="s">
        <v>72</v>
      </c>
      <c r="D75" s="2">
        <v>4.8666666666666663E-7</v>
      </c>
      <c r="E75" s="2" t="s">
        <v>73</v>
      </c>
      <c r="F75" s="2" t="s">
        <v>69</v>
      </c>
      <c r="G75" s="2" t="s">
        <v>70</v>
      </c>
      <c r="H75" s="2" t="s">
        <v>198</v>
      </c>
      <c r="J75" s="2" t="s">
        <v>26</v>
      </c>
    </row>
    <row r="76" spans="1:10" s="7" customFormat="1" x14ac:dyDescent="0.25"/>
    <row r="77" spans="1:10" x14ac:dyDescent="0.25">
      <c r="A77" s="1" t="s">
        <v>0</v>
      </c>
      <c r="B77" s="5" t="s">
        <v>200</v>
      </c>
    </row>
    <row r="78" spans="1:10" x14ac:dyDescent="0.25">
      <c r="A78" s="3" t="s">
        <v>1</v>
      </c>
      <c r="B78" s="2" t="s">
        <v>76</v>
      </c>
    </row>
    <row r="79" spans="1:10" x14ac:dyDescent="0.25">
      <c r="A79" s="3" t="s">
        <v>2</v>
      </c>
      <c r="B79" s="2" t="s">
        <v>3</v>
      </c>
    </row>
    <row r="80" spans="1:10" x14ac:dyDescent="0.25">
      <c r="A80" s="3" t="s">
        <v>4</v>
      </c>
      <c r="B80" s="2">
        <v>1</v>
      </c>
    </row>
    <row r="81" spans="1:14" x14ac:dyDescent="0.25">
      <c r="A81" s="3" t="s">
        <v>5</v>
      </c>
      <c r="B81" s="2" t="s">
        <v>6</v>
      </c>
    </row>
    <row r="82" spans="1:14" x14ac:dyDescent="0.25">
      <c r="A82" s="3" t="s">
        <v>7</v>
      </c>
      <c r="B82" s="2" t="s">
        <v>8</v>
      </c>
    </row>
    <row r="83" spans="1:14" x14ac:dyDescent="0.25">
      <c r="A83" s="3" t="s">
        <v>9</v>
      </c>
    </row>
    <row r="84" spans="1:14" x14ac:dyDescent="0.25">
      <c r="A84" s="1" t="s">
        <v>10</v>
      </c>
      <c r="B84" s="1" t="s">
        <v>1</v>
      </c>
      <c r="C84" s="1" t="s">
        <v>2</v>
      </c>
      <c r="D84" s="1" t="s">
        <v>4</v>
      </c>
      <c r="E84" s="1" t="s">
        <v>5</v>
      </c>
      <c r="F84" s="1" t="s">
        <v>11</v>
      </c>
      <c r="G84" s="1" t="s">
        <v>12</v>
      </c>
      <c r="H84" s="1" t="s">
        <v>13</v>
      </c>
      <c r="I84" s="1" t="s">
        <v>14</v>
      </c>
      <c r="J84" s="1" t="s">
        <v>15</v>
      </c>
      <c r="K84" s="1" t="s">
        <v>16</v>
      </c>
      <c r="L84" s="1" t="s">
        <v>17</v>
      </c>
      <c r="M84" s="1" t="s">
        <v>18</v>
      </c>
      <c r="N84" s="1" t="s">
        <v>19</v>
      </c>
    </row>
    <row r="85" spans="1:14" x14ac:dyDescent="0.25">
      <c r="A85" s="2" t="str">
        <f>B77</f>
        <v>W ore mining and WC production in China</v>
      </c>
      <c r="B85" s="2" t="str">
        <f>B78</f>
        <v>WC powder</v>
      </c>
      <c r="C85" s="2" t="str">
        <f>B79</f>
        <v>CN</v>
      </c>
      <c r="D85" s="2">
        <v>1</v>
      </c>
      <c r="E85" s="2" t="s">
        <v>6</v>
      </c>
      <c r="F85" s="4" t="s">
        <v>132</v>
      </c>
      <c r="G85" s="2" t="s">
        <v>20</v>
      </c>
    </row>
    <row r="86" spans="1:14" x14ac:dyDescent="0.25">
      <c r="A86" s="2" t="str">
        <f>A47</f>
        <v>[P+R] Tungsten carbide (WC) production</v>
      </c>
      <c r="B86" s="2" t="str">
        <f t="shared" ref="B86:C86" si="0">B47</f>
        <v>WC powder</v>
      </c>
      <c r="C86" s="2" t="str">
        <f t="shared" si="0"/>
        <v>CN</v>
      </c>
      <c r="D86" s="10">
        <f>D98*0.9387</f>
        <v>0.99998618063111666</v>
      </c>
      <c r="E86" s="2" t="s">
        <v>6</v>
      </c>
      <c r="F86" s="4" t="s">
        <v>132</v>
      </c>
      <c r="G86" s="2" t="s">
        <v>25</v>
      </c>
    </row>
    <row r="87" spans="1:14" x14ac:dyDescent="0.25">
      <c r="A87" s="2" t="str">
        <f>A9</f>
        <v>[M+C] Tungsten (W) ore mining and concentration</v>
      </c>
      <c r="B87" s="2" t="str">
        <f t="shared" ref="B87:C87" si="1">B9</f>
        <v>W concentrate</v>
      </c>
      <c r="C87" s="2" t="str">
        <f t="shared" si="1"/>
        <v>CN</v>
      </c>
      <c r="D87" s="2">
        <f>D99*0.9387</f>
        <v>1.8799740195865067</v>
      </c>
      <c r="E87" s="2" t="s">
        <v>6</v>
      </c>
      <c r="F87" s="4" t="s">
        <v>132</v>
      </c>
      <c r="G87" s="2" t="s">
        <v>25</v>
      </c>
    </row>
    <row r="88" spans="1:14" s="7" customFormat="1" x14ac:dyDescent="0.25"/>
    <row r="89" spans="1:14" x14ac:dyDescent="0.25">
      <c r="A89" s="1" t="s">
        <v>0</v>
      </c>
      <c r="B89" s="1" t="s">
        <v>217</v>
      </c>
    </row>
    <row r="90" spans="1:14" x14ac:dyDescent="0.25">
      <c r="A90" s="3" t="s">
        <v>1</v>
      </c>
      <c r="B90" s="2" t="s">
        <v>206</v>
      </c>
    </row>
    <row r="91" spans="1:14" x14ac:dyDescent="0.25">
      <c r="A91" s="3" t="s">
        <v>2</v>
      </c>
      <c r="B91" s="2" t="s">
        <v>3</v>
      </c>
    </row>
    <row r="92" spans="1:14" x14ac:dyDescent="0.25">
      <c r="A92" s="3" t="s">
        <v>4</v>
      </c>
      <c r="B92" s="2">
        <v>1</v>
      </c>
    </row>
    <row r="93" spans="1:14" x14ac:dyDescent="0.25">
      <c r="A93" s="3" t="s">
        <v>5</v>
      </c>
      <c r="B93" s="2" t="s">
        <v>6</v>
      </c>
    </row>
    <row r="94" spans="1:14" x14ac:dyDescent="0.25">
      <c r="A94" s="3" t="s">
        <v>7</v>
      </c>
      <c r="B94" s="2" t="s">
        <v>207</v>
      </c>
    </row>
    <row r="95" spans="1:14" x14ac:dyDescent="0.25">
      <c r="A95" s="3" t="s">
        <v>9</v>
      </c>
    </row>
    <row r="96" spans="1:14" x14ac:dyDescent="0.25">
      <c r="A96" s="1" t="s">
        <v>10</v>
      </c>
      <c r="B96" s="1" t="s">
        <v>1</v>
      </c>
      <c r="C96" s="1" t="s">
        <v>2</v>
      </c>
      <c r="D96" s="1" t="s">
        <v>4</v>
      </c>
      <c r="E96" s="1" t="s">
        <v>5</v>
      </c>
      <c r="F96" s="1" t="s">
        <v>11</v>
      </c>
      <c r="G96" s="1" t="s">
        <v>12</v>
      </c>
      <c r="H96" s="1" t="s">
        <v>13</v>
      </c>
      <c r="I96" s="1" t="s">
        <v>14</v>
      </c>
      <c r="J96" s="1" t="s">
        <v>15</v>
      </c>
      <c r="K96" s="1" t="s">
        <v>16</v>
      </c>
      <c r="L96" s="1" t="s">
        <v>17</v>
      </c>
      <c r="M96" s="1" t="s">
        <v>18</v>
      </c>
      <c r="N96" s="1" t="s">
        <v>19</v>
      </c>
    </row>
    <row r="97" spans="1:7" x14ac:dyDescent="0.25">
      <c r="A97" s="2" t="str">
        <f>B89</f>
        <v>W ore mining and WC production in China (W content)</v>
      </c>
      <c r="B97" s="2" t="str">
        <f>B90</f>
        <v>WC powder (W content)</v>
      </c>
      <c r="C97" s="2" t="str">
        <f>B91</f>
        <v>CN</v>
      </c>
      <c r="D97" s="2">
        <v>1</v>
      </c>
      <c r="E97" s="2" t="s">
        <v>6</v>
      </c>
      <c r="F97" s="4" t="s">
        <v>132</v>
      </c>
      <c r="G97" s="2" t="s">
        <v>20</v>
      </c>
    </row>
    <row r="98" spans="1:7" x14ac:dyDescent="0.25">
      <c r="A98" s="2" t="str">
        <f>A47</f>
        <v>[P+R] Tungsten carbide (WC) production</v>
      </c>
      <c r="B98" s="2" t="str">
        <f t="shared" ref="B98:C98" si="2">B47</f>
        <v>WC powder</v>
      </c>
      <c r="C98" s="2" t="str">
        <f t="shared" si="2"/>
        <v>CN</v>
      </c>
      <c r="D98" s="2">
        <v>1.06528835690968</v>
      </c>
      <c r="E98" s="2" t="s">
        <v>6</v>
      </c>
      <c r="F98" s="4" t="s">
        <v>132</v>
      </c>
      <c r="G98" s="2" t="s">
        <v>25</v>
      </c>
    </row>
    <row r="99" spans="1:7" x14ac:dyDescent="0.25">
      <c r="A99" s="2" t="str">
        <f>A9</f>
        <v>[M+C] Tungsten (W) ore mining and concentration</v>
      </c>
      <c r="B99" s="2" t="str">
        <f t="shared" ref="B99:C99" si="3">B9</f>
        <v>W concentrate</v>
      </c>
      <c r="C99" s="2" t="str">
        <f t="shared" si="3"/>
        <v>CN</v>
      </c>
      <c r="D99" s="2">
        <v>2.0027421109902064</v>
      </c>
      <c r="E99" s="2" t="s">
        <v>6</v>
      </c>
      <c r="F99" s="4" t="s">
        <v>132</v>
      </c>
      <c r="G99" s="2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N103"/>
  <sheetViews>
    <sheetView zoomScaleNormal="100" workbookViewId="0"/>
  </sheetViews>
  <sheetFormatPr baseColWidth="10" defaultColWidth="8.7109375" defaultRowHeight="15" x14ac:dyDescent="0.25"/>
  <cols>
    <col min="1" max="1" width="60.7109375" style="2" bestFit="1" customWidth="1"/>
    <col min="2" max="2" width="60.28515625" style="2" bestFit="1" customWidth="1"/>
    <col min="3" max="3" width="8.28515625" style="2" bestFit="1" customWidth="1"/>
    <col min="4" max="4" width="12.7109375" style="2" bestFit="1" customWidth="1"/>
    <col min="5" max="5" width="13.28515625" style="2" bestFit="1" customWidth="1"/>
    <col min="6" max="6" width="19.7109375" style="2" bestFit="1" customWidth="1"/>
    <col min="7" max="7" width="13.28515625" style="2" bestFit="1" customWidth="1"/>
    <col min="8" max="8" width="25.28515625" style="2" bestFit="1" customWidth="1"/>
    <col min="9" max="9" width="15.5703125" style="2" bestFit="1" customWidth="1"/>
    <col min="10" max="10" width="9.7109375" style="2" bestFit="1" customWidth="1"/>
    <col min="11" max="11" width="3.5703125" style="2" bestFit="1" customWidth="1"/>
    <col min="12" max="12" width="5.42578125" style="2" bestFit="1" customWidth="1"/>
    <col min="13" max="13" width="9.5703125" style="2" bestFit="1" customWidth="1"/>
    <col min="14" max="14" width="9.7109375" style="2" bestFit="1" customWidth="1"/>
    <col min="15" max="16384" width="8.7109375" style="2"/>
  </cols>
  <sheetData>
    <row r="1" spans="1:14" x14ac:dyDescent="0.25">
      <c r="A1" s="1" t="s">
        <v>0</v>
      </c>
      <c r="B1" s="1" t="s">
        <v>107</v>
      </c>
    </row>
    <row r="2" spans="1:14" x14ac:dyDescent="0.25">
      <c r="A2" s="3" t="s">
        <v>1</v>
      </c>
      <c r="B2" s="2" t="s">
        <v>108</v>
      </c>
    </row>
    <row r="3" spans="1:14" x14ac:dyDescent="0.25">
      <c r="A3" s="3" t="s">
        <v>2</v>
      </c>
      <c r="B3" s="2" t="s">
        <v>109</v>
      </c>
    </row>
    <row r="4" spans="1:14" x14ac:dyDescent="0.25">
      <c r="A4" s="3" t="s">
        <v>4</v>
      </c>
      <c r="B4" s="2">
        <v>1</v>
      </c>
    </row>
    <row r="5" spans="1:14" x14ac:dyDescent="0.25">
      <c r="A5" s="3" t="s">
        <v>5</v>
      </c>
      <c r="B5" s="2" t="s">
        <v>6</v>
      </c>
    </row>
    <row r="6" spans="1:14" x14ac:dyDescent="0.25">
      <c r="A6" s="3" t="s">
        <v>7</v>
      </c>
      <c r="B6" s="2" t="s">
        <v>8</v>
      </c>
    </row>
    <row r="7" spans="1:14" x14ac:dyDescent="0.25">
      <c r="A7" s="3" t="s">
        <v>9</v>
      </c>
    </row>
    <row r="8" spans="1:14" x14ac:dyDescent="0.25">
      <c r="A8" s="1" t="s">
        <v>10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[M+C] Tungsten (W) ore mining and concentration</v>
      </c>
      <c r="B9" s="2" t="str">
        <f>B2</f>
        <v>W concentrate</v>
      </c>
      <c r="C9" s="2" t="str">
        <f>B3</f>
        <v>CA</v>
      </c>
      <c r="D9" s="2">
        <v>1</v>
      </c>
      <c r="E9" s="2" t="s">
        <v>6</v>
      </c>
      <c r="F9" s="4" t="s">
        <v>132</v>
      </c>
      <c r="G9" s="2" t="s">
        <v>20</v>
      </c>
    </row>
    <row r="10" spans="1:14" x14ac:dyDescent="0.25">
      <c r="A10" s="2" t="s">
        <v>38</v>
      </c>
      <c r="B10" s="2" t="s">
        <v>39</v>
      </c>
      <c r="C10" s="2" t="s">
        <v>23</v>
      </c>
      <c r="D10" s="2">
        <v>2.2528735632183889E-3</v>
      </c>
      <c r="E10" s="2" t="s">
        <v>6</v>
      </c>
      <c r="F10" s="2" t="s">
        <v>24</v>
      </c>
      <c r="G10" s="2" t="s">
        <v>25</v>
      </c>
      <c r="J10" s="2" t="s">
        <v>110</v>
      </c>
    </row>
    <row r="11" spans="1:14" x14ac:dyDescent="0.25">
      <c r="A11" s="2" t="s">
        <v>111</v>
      </c>
      <c r="B11" s="2" t="s">
        <v>112</v>
      </c>
      <c r="C11" s="2" t="s">
        <v>23</v>
      </c>
      <c r="D11" s="2">
        <v>12.873563218390791</v>
      </c>
      <c r="E11" s="2" t="s">
        <v>113</v>
      </c>
      <c r="F11" s="2" t="s">
        <v>24</v>
      </c>
      <c r="G11" s="2" t="s">
        <v>25</v>
      </c>
      <c r="J11" s="2" t="s">
        <v>114</v>
      </c>
    </row>
    <row r="12" spans="1:14" x14ac:dyDescent="0.25">
      <c r="A12" s="2" t="s">
        <v>62</v>
      </c>
      <c r="B12" s="2" t="s">
        <v>63</v>
      </c>
      <c r="C12" s="2" t="s">
        <v>109</v>
      </c>
      <c r="D12" s="2">
        <v>1.351724137931033</v>
      </c>
      <c r="E12" s="2" t="s">
        <v>64</v>
      </c>
      <c r="F12" s="2" t="s">
        <v>24</v>
      </c>
      <c r="G12" s="2" t="s">
        <v>25</v>
      </c>
      <c r="J12" s="2" t="s">
        <v>110</v>
      </c>
    </row>
    <row r="13" spans="1:14" x14ac:dyDescent="0.25">
      <c r="A13" s="2" t="s">
        <v>115</v>
      </c>
      <c r="B13" s="2" t="s">
        <v>116</v>
      </c>
      <c r="C13" s="2" t="s">
        <v>23</v>
      </c>
      <c r="D13" s="2">
        <v>2.4459770114942511E-3</v>
      </c>
      <c r="E13" s="2" t="s">
        <v>6</v>
      </c>
      <c r="F13" s="2" t="s">
        <v>24</v>
      </c>
      <c r="G13" s="2" t="s">
        <v>25</v>
      </c>
      <c r="J13" s="2" t="s">
        <v>117</v>
      </c>
    </row>
    <row r="14" spans="1:14" x14ac:dyDescent="0.25">
      <c r="A14" s="2" t="s">
        <v>46</v>
      </c>
      <c r="B14" s="2" t="s">
        <v>47</v>
      </c>
      <c r="C14" s="2" t="s">
        <v>23</v>
      </c>
      <c r="D14" s="2">
        <v>2.9609195402298821E-2</v>
      </c>
      <c r="E14" s="2" t="s">
        <v>6</v>
      </c>
      <c r="F14" s="2" t="s">
        <v>24</v>
      </c>
      <c r="G14" s="2" t="s">
        <v>25</v>
      </c>
      <c r="J14" s="2" t="s">
        <v>117</v>
      </c>
    </row>
    <row r="15" spans="1:14" x14ac:dyDescent="0.25">
      <c r="A15" s="2" t="s">
        <v>118</v>
      </c>
      <c r="B15" s="2" t="s">
        <v>119</v>
      </c>
      <c r="C15" s="2" t="s">
        <v>23</v>
      </c>
      <c r="D15" s="2">
        <v>4.5701149425287323E-4</v>
      </c>
      <c r="E15" s="2" t="s">
        <v>6</v>
      </c>
      <c r="F15" s="2" t="s">
        <v>24</v>
      </c>
      <c r="G15" s="2" t="s">
        <v>25</v>
      </c>
      <c r="J15" s="2" t="s">
        <v>110</v>
      </c>
    </row>
    <row r="16" spans="1:14" x14ac:dyDescent="0.25">
      <c r="A16" s="2" t="s">
        <v>120</v>
      </c>
      <c r="B16" s="2" t="s">
        <v>121</v>
      </c>
      <c r="C16" s="2" t="s">
        <v>32</v>
      </c>
      <c r="D16" s="2">
        <v>0.14804597701149411</v>
      </c>
      <c r="E16" s="2" t="s">
        <v>6</v>
      </c>
      <c r="F16" s="2" t="s">
        <v>24</v>
      </c>
      <c r="G16" s="2" t="s">
        <v>25</v>
      </c>
      <c r="J16" s="2" t="s">
        <v>117</v>
      </c>
    </row>
    <row r="17" spans="1:10" x14ac:dyDescent="0.25">
      <c r="A17" s="2" t="s">
        <v>122</v>
      </c>
      <c r="B17" s="2" t="s">
        <v>123</v>
      </c>
      <c r="C17" s="2" t="s">
        <v>32</v>
      </c>
      <c r="D17" s="2">
        <v>1.158620689655171E-2</v>
      </c>
      <c r="E17" s="2" t="s">
        <v>6</v>
      </c>
      <c r="F17" s="2" t="s">
        <v>24</v>
      </c>
      <c r="G17" s="2" t="s">
        <v>25</v>
      </c>
      <c r="J17" s="2" t="s">
        <v>117</v>
      </c>
    </row>
    <row r="18" spans="1:10" x14ac:dyDescent="0.25">
      <c r="A18" s="2" t="s">
        <v>48</v>
      </c>
      <c r="B18" s="2" t="s">
        <v>49</v>
      </c>
      <c r="C18" s="2" t="s">
        <v>32</v>
      </c>
      <c r="D18" s="2">
        <v>0.1029885057471264</v>
      </c>
      <c r="E18" s="2" t="s">
        <v>6</v>
      </c>
      <c r="F18" s="2" t="s">
        <v>24</v>
      </c>
      <c r="G18" s="2" t="s">
        <v>25</v>
      </c>
      <c r="J18" s="2" t="s">
        <v>117</v>
      </c>
    </row>
    <row r="19" spans="1:10" x14ac:dyDescent="0.25">
      <c r="A19" s="2" t="s">
        <v>124</v>
      </c>
      <c r="B19" s="2" t="s">
        <v>125</v>
      </c>
      <c r="C19" s="2" t="s">
        <v>23</v>
      </c>
      <c r="D19" s="2">
        <v>5.6643678160919489E-2</v>
      </c>
      <c r="E19" s="2" t="s">
        <v>6</v>
      </c>
      <c r="F19" s="2" t="s">
        <v>24</v>
      </c>
      <c r="G19" s="2" t="s">
        <v>25</v>
      </c>
      <c r="J19" s="2" t="s">
        <v>110</v>
      </c>
    </row>
    <row r="20" spans="1:10" x14ac:dyDescent="0.25">
      <c r="A20" s="2" t="s">
        <v>115</v>
      </c>
      <c r="B20" s="2" t="s">
        <v>116</v>
      </c>
      <c r="C20" s="2" t="s">
        <v>23</v>
      </c>
      <c r="D20" s="2">
        <v>1.6735632183908031E-2</v>
      </c>
      <c r="E20" s="2" t="s">
        <v>6</v>
      </c>
      <c r="F20" s="2" t="s">
        <v>24</v>
      </c>
      <c r="G20" s="2" t="s">
        <v>25</v>
      </c>
      <c r="J20" s="2" t="s">
        <v>117</v>
      </c>
    </row>
    <row r="21" spans="1:10" x14ac:dyDescent="0.25">
      <c r="A21" s="2" t="s">
        <v>126</v>
      </c>
      <c r="B21" s="2" t="s">
        <v>127</v>
      </c>
      <c r="C21" s="2" t="s">
        <v>23</v>
      </c>
      <c r="D21" s="2">
        <v>-154.48275862068951</v>
      </c>
      <c r="E21" s="2" t="s">
        <v>6</v>
      </c>
      <c r="F21" s="2" t="s">
        <v>24</v>
      </c>
      <c r="G21" s="2" t="s">
        <v>25</v>
      </c>
      <c r="J21" s="2" t="s">
        <v>117</v>
      </c>
    </row>
    <row r="22" spans="1:10" x14ac:dyDescent="0.25">
      <c r="A22" s="2" t="s">
        <v>103</v>
      </c>
      <c r="B22" s="2" t="s">
        <v>104</v>
      </c>
      <c r="C22" s="2" t="s">
        <v>32</v>
      </c>
      <c r="D22" s="2">
        <v>-0.33471264367816062</v>
      </c>
      <c r="E22" s="2" t="s">
        <v>6</v>
      </c>
      <c r="F22" s="2" t="s">
        <v>24</v>
      </c>
      <c r="G22" s="2" t="s">
        <v>25</v>
      </c>
      <c r="J22" s="2" t="s">
        <v>117</v>
      </c>
    </row>
    <row r="23" spans="1:10" x14ac:dyDescent="0.25">
      <c r="A23" s="2" t="s">
        <v>128</v>
      </c>
      <c r="B23" s="2" t="s">
        <v>129</v>
      </c>
      <c r="C23" s="2" t="s">
        <v>32</v>
      </c>
      <c r="D23" s="2">
        <v>4.9563218390804558</v>
      </c>
      <c r="E23" s="2" t="s">
        <v>130</v>
      </c>
      <c r="F23" s="2" t="s">
        <v>24</v>
      </c>
      <c r="G23" s="2" t="s">
        <v>25</v>
      </c>
      <c r="J23" s="2" t="s">
        <v>131</v>
      </c>
    </row>
    <row r="24" spans="1:10" x14ac:dyDescent="0.25">
      <c r="A24" s="2" t="s">
        <v>132</v>
      </c>
      <c r="D24" s="2">
        <v>0.5793103448275857</v>
      </c>
      <c r="E24" s="2" t="s">
        <v>6</v>
      </c>
      <c r="F24" s="2" t="s">
        <v>69</v>
      </c>
      <c r="G24" s="2" t="s">
        <v>70</v>
      </c>
      <c r="H24" s="2" t="s">
        <v>199</v>
      </c>
      <c r="J24" s="2" t="s">
        <v>117</v>
      </c>
    </row>
    <row r="25" spans="1:10" x14ac:dyDescent="0.25">
      <c r="A25" s="2" t="s">
        <v>74</v>
      </c>
      <c r="D25" s="2">
        <v>0.1222988505747125</v>
      </c>
      <c r="E25" s="2" t="s">
        <v>33</v>
      </c>
      <c r="F25" s="2" t="s">
        <v>69</v>
      </c>
      <c r="G25" s="2" t="s">
        <v>70</v>
      </c>
      <c r="H25" s="2" t="s">
        <v>199</v>
      </c>
      <c r="J25" s="2" t="s">
        <v>117</v>
      </c>
    </row>
    <row r="26" spans="1:10" x14ac:dyDescent="0.25">
      <c r="A26" s="2" t="s">
        <v>132</v>
      </c>
      <c r="D26" s="2">
        <v>0.1931034482758619</v>
      </c>
      <c r="E26" s="2" t="s">
        <v>6</v>
      </c>
      <c r="F26" s="2" t="s">
        <v>69</v>
      </c>
      <c r="G26" s="2" t="s">
        <v>70</v>
      </c>
      <c r="H26" s="2" t="s">
        <v>199</v>
      </c>
      <c r="J26" s="2" t="s">
        <v>117</v>
      </c>
    </row>
    <row r="27" spans="1:10" x14ac:dyDescent="0.25">
      <c r="A27" s="2" t="s">
        <v>133</v>
      </c>
      <c r="D27" s="2">
        <v>8.3678160919540154E-2</v>
      </c>
      <c r="E27" s="2" t="s">
        <v>6</v>
      </c>
      <c r="F27" s="2" t="s">
        <v>69</v>
      </c>
      <c r="G27" s="2" t="s">
        <v>70</v>
      </c>
      <c r="H27" s="2" t="s">
        <v>134</v>
      </c>
      <c r="J27" s="2" t="s">
        <v>117</v>
      </c>
    </row>
    <row r="28" spans="1:10" s="6" customFormat="1" x14ac:dyDescent="0.25"/>
    <row r="29" spans="1:10" x14ac:dyDescent="0.25">
      <c r="A29" s="1" t="s">
        <v>0</v>
      </c>
      <c r="B29" s="1" t="s">
        <v>135</v>
      </c>
    </row>
    <row r="30" spans="1:10" x14ac:dyDescent="0.25">
      <c r="A30" s="3" t="s">
        <v>1</v>
      </c>
      <c r="B30" s="2" t="s">
        <v>136</v>
      </c>
    </row>
    <row r="31" spans="1:10" x14ac:dyDescent="0.25">
      <c r="A31" s="3" t="s">
        <v>2</v>
      </c>
      <c r="B31" s="2" t="s">
        <v>137</v>
      </c>
    </row>
    <row r="32" spans="1:10" x14ac:dyDescent="0.25">
      <c r="A32" s="3" t="s">
        <v>4</v>
      </c>
      <c r="B32" s="2">
        <v>1</v>
      </c>
    </row>
    <row r="33" spans="1:14" x14ac:dyDescent="0.25">
      <c r="A33" s="3" t="s">
        <v>5</v>
      </c>
      <c r="B33" s="2" t="s">
        <v>6</v>
      </c>
    </row>
    <row r="34" spans="1:14" x14ac:dyDescent="0.25">
      <c r="A34" s="3" t="s">
        <v>7</v>
      </c>
      <c r="B34" s="2" t="s">
        <v>8</v>
      </c>
    </row>
    <row r="35" spans="1:14" x14ac:dyDescent="0.25">
      <c r="A35" s="3" t="s">
        <v>9</v>
      </c>
    </row>
    <row r="36" spans="1:14" x14ac:dyDescent="0.25">
      <c r="A36" s="1" t="s">
        <v>10</v>
      </c>
      <c r="B36" s="1" t="s">
        <v>1</v>
      </c>
      <c r="C36" s="1" t="s">
        <v>2</v>
      </c>
      <c r="D36" s="1" t="s">
        <v>4</v>
      </c>
      <c r="E36" s="1" t="s">
        <v>5</v>
      </c>
      <c r="F36" s="1" t="s">
        <v>11</v>
      </c>
      <c r="G36" s="1" t="s">
        <v>12</v>
      </c>
      <c r="H36" s="1" t="s">
        <v>13</v>
      </c>
      <c r="I36" s="1" t="s">
        <v>14</v>
      </c>
      <c r="J36" s="1" t="s">
        <v>15</v>
      </c>
      <c r="K36" s="1" t="s">
        <v>16</v>
      </c>
      <c r="L36" s="1" t="s">
        <v>17</v>
      </c>
      <c r="M36" s="1" t="s">
        <v>18</v>
      </c>
      <c r="N36" s="1" t="s">
        <v>19</v>
      </c>
    </row>
    <row r="37" spans="1:14" x14ac:dyDescent="0.25">
      <c r="A37" s="2" t="str">
        <f>B29</f>
        <v>[P] Ammonium paratungstate (APT) production</v>
      </c>
      <c r="B37" s="2" t="str">
        <f>B30</f>
        <v>APT</v>
      </c>
      <c r="C37" s="2" t="str">
        <f>B31</f>
        <v>US</v>
      </c>
      <c r="D37" s="2">
        <v>1</v>
      </c>
      <c r="E37" s="2" t="s">
        <v>6</v>
      </c>
      <c r="F37" s="4" t="s">
        <v>132</v>
      </c>
      <c r="G37" s="2" t="s">
        <v>20</v>
      </c>
    </row>
    <row r="38" spans="1:14" x14ac:dyDescent="0.25">
      <c r="A38" s="2" t="s">
        <v>115</v>
      </c>
      <c r="B38" s="2" t="s">
        <v>116</v>
      </c>
      <c r="C38" s="2" t="s">
        <v>23</v>
      </c>
      <c r="D38" s="2">
        <v>0.10143702451394759</v>
      </c>
      <c r="E38" s="2" t="s">
        <v>6</v>
      </c>
      <c r="F38" s="2" t="s">
        <v>24</v>
      </c>
      <c r="G38" s="2" t="s">
        <v>25</v>
      </c>
      <c r="J38" s="2" t="s">
        <v>117</v>
      </c>
    </row>
    <row r="39" spans="1:14" x14ac:dyDescent="0.25">
      <c r="A39" s="2" t="s">
        <v>138</v>
      </c>
      <c r="B39" s="2" t="s">
        <v>139</v>
      </c>
      <c r="C39" s="2" t="s">
        <v>32</v>
      </c>
      <c r="D39" s="2">
        <v>3.7193575655114122E-2</v>
      </c>
      <c r="E39" s="2" t="s">
        <v>6</v>
      </c>
      <c r="F39" s="2" t="s">
        <v>24</v>
      </c>
      <c r="G39" s="2" t="s">
        <v>25</v>
      </c>
      <c r="J39" s="2" t="s">
        <v>117</v>
      </c>
    </row>
    <row r="40" spans="1:14" x14ac:dyDescent="0.25">
      <c r="A40" s="2" t="s">
        <v>79</v>
      </c>
      <c r="B40" s="2" t="s">
        <v>80</v>
      </c>
      <c r="C40" s="2" t="s">
        <v>140</v>
      </c>
      <c r="D40" s="2">
        <v>0.1859678782755706</v>
      </c>
      <c r="E40" s="2" t="s">
        <v>6</v>
      </c>
      <c r="F40" s="2" t="s">
        <v>24</v>
      </c>
      <c r="G40" s="2" t="s">
        <v>25</v>
      </c>
      <c r="J40" s="2" t="s">
        <v>117</v>
      </c>
    </row>
    <row r="41" spans="1:14" x14ac:dyDescent="0.25">
      <c r="A41" s="2" t="s">
        <v>141</v>
      </c>
      <c r="B41" s="2" t="s">
        <v>142</v>
      </c>
      <c r="C41" s="2" t="s">
        <v>23</v>
      </c>
      <c r="D41" s="2">
        <v>0.1098901098901099</v>
      </c>
      <c r="E41" s="2" t="s">
        <v>6</v>
      </c>
      <c r="F41" s="2" t="s">
        <v>24</v>
      </c>
      <c r="G41" s="2" t="s">
        <v>25</v>
      </c>
      <c r="J41" s="2" t="s">
        <v>117</v>
      </c>
    </row>
    <row r="42" spans="1:14" x14ac:dyDescent="0.25">
      <c r="A42" s="2" t="s">
        <v>143</v>
      </c>
      <c r="B42" s="2" t="s">
        <v>144</v>
      </c>
      <c r="C42" s="2" t="s">
        <v>32</v>
      </c>
      <c r="D42" s="2">
        <v>6.1707523245984781</v>
      </c>
      <c r="E42" s="2" t="s">
        <v>6</v>
      </c>
      <c r="F42" s="2" t="s">
        <v>24</v>
      </c>
      <c r="G42" s="2" t="s">
        <v>25</v>
      </c>
      <c r="J42" s="2" t="s">
        <v>117</v>
      </c>
    </row>
    <row r="43" spans="1:14" x14ac:dyDescent="0.25">
      <c r="A43" s="2" t="s">
        <v>62</v>
      </c>
      <c r="B43" s="2" t="s">
        <v>63</v>
      </c>
      <c r="C43" s="2" t="s">
        <v>137</v>
      </c>
      <c r="D43" s="2">
        <v>1.3524936601859681</v>
      </c>
      <c r="E43" s="2" t="s">
        <v>64</v>
      </c>
      <c r="F43" s="2" t="s">
        <v>24</v>
      </c>
      <c r="G43" s="2" t="s">
        <v>25</v>
      </c>
      <c r="J43" s="2" t="s">
        <v>117</v>
      </c>
    </row>
    <row r="44" spans="1:14" x14ac:dyDescent="0.25">
      <c r="A44" s="2" t="s">
        <v>42</v>
      </c>
      <c r="B44" s="2" t="s">
        <v>43</v>
      </c>
      <c r="C44" s="2" t="s">
        <v>32</v>
      </c>
      <c r="D44" s="2">
        <v>1.1834319526627219</v>
      </c>
      <c r="E44" s="2" t="s">
        <v>6</v>
      </c>
      <c r="F44" s="2" t="s">
        <v>24</v>
      </c>
      <c r="G44" s="2" t="s">
        <v>25</v>
      </c>
      <c r="J44" s="2" t="s">
        <v>117</v>
      </c>
    </row>
    <row r="45" spans="1:14" x14ac:dyDescent="0.25">
      <c r="A45" s="2" t="s">
        <v>145</v>
      </c>
      <c r="B45" s="2" t="s">
        <v>146</v>
      </c>
      <c r="C45" s="2" t="s">
        <v>23</v>
      </c>
      <c r="D45" s="2">
        <v>1.352493660185968E-2</v>
      </c>
      <c r="E45" s="2" t="s">
        <v>6</v>
      </c>
      <c r="F45" s="2" t="s">
        <v>24</v>
      </c>
      <c r="G45" s="2" t="s">
        <v>25</v>
      </c>
      <c r="J45" s="2" t="s">
        <v>117</v>
      </c>
    </row>
    <row r="46" spans="1:14" x14ac:dyDescent="0.25">
      <c r="A46" s="2" t="s">
        <v>120</v>
      </c>
      <c r="B46" s="2" t="s">
        <v>121</v>
      </c>
      <c r="C46" s="2" t="s">
        <v>32</v>
      </c>
      <c r="D46" s="2">
        <v>1.098901098901099</v>
      </c>
      <c r="E46" s="2" t="s">
        <v>6</v>
      </c>
      <c r="F46" s="2" t="s">
        <v>24</v>
      </c>
      <c r="G46" s="2" t="s">
        <v>25</v>
      </c>
      <c r="J46" s="2" t="s">
        <v>117</v>
      </c>
    </row>
    <row r="47" spans="1:14" x14ac:dyDescent="0.25">
      <c r="A47" s="2" t="s">
        <v>147</v>
      </c>
      <c r="B47" s="2" t="s">
        <v>148</v>
      </c>
      <c r="C47" s="2" t="s">
        <v>23</v>
      </c>
      <c r="D47" s="2">
        <v>4.9873203719357558E-2</v>
      </c>
      <c r="E47" s="2" t="s">
        <v>6</v>
      </c>
      <c r="F47" s="2" t="s">
        <v>24</v>
      </c>
      <c r="G47" s="2" t="s">
        <v>25</v>
      </c>
      <c r="J47" s="2" t="s">
        <v>117</v>
      </c>
    </row>
    <row r="48" spans="1:14" x14ac:dyDescent="0.25">
      <c r="A48" s="2" t="s">
        <v>44</v>
      </c>
      <c r="B48" s="2" t="s">
        <v>45</v>
      </c>
      <c r="C48" s="2" t="s">
        <v>32</v>
      </c>
      <c r="D48" s="2">
        <v>4.311073541842772E-2</v>
      </c>
      <c r="E48" s="2" t="s">
        <v>6</v>
      </c>
      <c r="F48" s="2" t="s">
        <v>24</v>
      </c>
      <c r="G48" s="2" t="s">
        <v>25</v>
      </c>
      <c r="J48" s="2" t="s">
        <v>117</v>
      </c>
    </row>
    <row r="49" spans="1:10" x14ac:dyDescent="0.25">
      <c r="A49" s="2" t="s">
        <v>83</v>
      </c>
      <c r="B49" s="2" t="s">
        <v>84</v>
      </c>
      <c r="C49" s="2" t="s">
        <v>32</v>
      </c>
      <c r="D49" s="2">
        <v>0.5240912933220625</v>
      </c>
      <c r="E49" s="2" t="s">
        <v>6</v>
      </c>
      <c r="F49" s="2" t="s">
        <v>24</v>
      </c>
      <c r="G49" s="2" t="s">
        <v>25</v>
      </c>
      <c r="J49" s="2" t="s">
        <v>117</v>
      </c>
    </row>
    <row r="50" spans="1:10" x14ac:dyDescent="0.25">
      <c r="A50" s="2" t="s">
        <v>60</v>
      </c>
      <c r="B50" s="2" t="s">
        <v>61</v>
      </c>
      <c r="C50" s="2" t="s">
        <v>32</v>
      </c>
      <c r="D50" s="2">
        <v>17.751479289940828</v>
      </c>
      <c r="E50" s="2" t="s">
        <v>6</v>
      </c>
      <c r="F50" s="2" t="s">
        <v>24</v>
      </c>
      <c r="G50" s="2" t="s">
        <v>25</v>
      </c>
      <c r="J50" s="2" t="s">
        <v>117</v>
      </c>
    </row>
    <row r="51" spans="1:10" x14ac:dyDescent="0.25">
      <c r="A51" s="2" t="s">
        <v>103</v>
      </c>
      <c r="B51" s="2" t="s">
        <v>104</v>
      </c>
      <c r="C51" s="2" t="s">
        <v>32</v>
      </c>
      <c r="D51" s="2">
        <v>-0.10143702451394759</v>
      </c>
      <c r="E51" s="2" t="s">
        <v>6</v>
      </c>
      <c r="F51" s="2" t="s">
        <v>24</v>
      </c>
      <c r="G51" s="2" t="s">
        <v>25</v>
      </c>
      <c r="J51" s="2" t="s">
        <v>117</v>
      </c>
    </row>
    <row r="52" spans="1:10" x14ac:dyDescent="0.25">
      <c r="A52" s="2" t="s">
        <v>103</v>
      </c>
      <c r="B52" s="2" t="s">
        <v>104</v>
      </c>
      <c r="C52" s="2" t="s">
        <v>32</v>
      </c>
      <c r="D52" s="2">
        <v>-0.1098901098901099</v>
      </c>
      <c r="E52" s="2" t="s">
        <v>6</v>
      </c>
      <c r="F52" s="2" t="s">
        <v>24</v>
      </c>
      <c r="G52" s="2" t="s">
        <v>25</v>
      </c>
      <c r="J52" s="2" t="s">
        <v>117</v>
      </c>
    </row>
    <row r="53" spans="1:10" x14ac:dyDescent="0.25">
      <c r="A53" s="2" t="s">
        <v>34</v>
      </c>
      <c r="B53" s="2" t="s">
        <v>35</v>
      </c>
      <c r="C53" s="2" t="s">
        <v>32</v>
      </c>
      <c r="D53" s="2">
        <v>-6.1707523245984781</v>
      </c>
      <c r="E53" s="2" t="s">
        <v>33</v>
      </c>
      <c r="F53" s="2" t="s">
        <v>24</v>
      </c>
      <c r="G53" s="2" t="s">
        <v>25</v>
      </c>
      <c r="J53" s="2" t="s">
        <v>117</v>
      </c>
    </row>
    <row r="54" spans="1:10" x14ac:dyDescent="0.25">
      <c r="A54" s="2" t="s">
        <v>54</v>
      </c>
      <c r="B54" s="2" t="s">
        <v>55</v>
      </c>
      <c r="C54" s="2" t="s">
        <v>23</v>
      </c>
      <c r="D54" s="2">
        <v>-0.92983939137785299</v>
      </c>
      <c r="E54" s="2" t="s">
        <v>6</v>
      </c>
      <c r="F54" s="2" t="s">
        <v>24</v>
      </c>
      <c r="G54" s="2" t="s">
        <v>25</v>
      </c>
      <c r="J54" s="2" t="s">
        <v>117</v>
      </c>
    </row>
    <row r="55" spans="1:10" x14ac:dyDescent="0.25">
      <c r="A55" s="2" t="s">
        <v>103</v>
      </c>
      <c r="B55" s="2" t="s">
        <v>104</v>
      </c>
      <c r="C55" s="2" t="s">
        <v>32</v>
      </c>
      <c r="D55" s="2">
        <v>-1.1834319526627219</v>
      </c>
      <c r="E55" s="2" t="s">
        <v>6</v>
      </c>
      <c r="F55" s="2" t="s">
        <v>24</v>
      </c>
      <c r="G55" s="2" t="s">
        <v>25</v>
      </c>
      <c r="J55" s="2" t="s">
        <v>117</v>
      </c>
    </row>
    <row r="56" spans="1:10" x14ac:dyDescent="0.25">
      <c r="A56" s="2" t="s">
        <v>103</v>
      </c>
      <c r="B56" s="2" t="s">
        <v>104</v>
      </c>
      <c r="C56" s="2" t="s">
        <v>32</v>
      </c>
      <c r="D56" s="2">
        <v>-1.8596787827557061E-2</v>
      </c>
      <c r="E56" s="2" t="s">
        <v>6</v>
      </c>
      <c r="F56" s="2" t="s">
        <v>24</v>
      </c>
      <c r="G56" s="2" t="s">
        <v>25</v>
      </c>
      <c r="J56" s="2" t="s">
        <v>117</v>
      </c>
    </row>
    <row r="57" spans="1:10" x14ac:dyDescent="0.25">
      <c r="A57" s="2" t="s">
        <v>103</v>
      </c>
      <c r="B57" s="2" t="s">
        <v>104</v>
      </c>
      <c r="C57" s="2" t="s">
        <v>32</v>
      </c>
      <c r="D57" s="2">
        <v>-0.81994928148774293</v>
      </c>
      <c r="E57" s="2" t="s">
        <v>6</v>
      </c>
      <c r="F57" s="2" t="s">
        <v>24</v>
      </c>
      <c r="G57" s="2" t="s">
        <v>25</v>
      </c>
      <c r="J57" s="2" t="s">
        <v>117</v>
      </c>
    </row>
    <row r="58" spans="1:10" x14ac:dyDescent="0.25">
      <c r="A58" s="2" t="s">
        <v>34</v>
      </c>
      <c r="B58" s="2" t="s">
        <v>35</v>
      </c>
      <c r="C58" s="2" t="s">
        <v>32</v>
      </c>
      <c r="D58" s="2">
        <v>-0.1775147928994083</v>
      </c>
      <c r="E58" s="2" t="s">
        <v>33</v>
      </c>
      <c r="F58" s="2" t="s">
        <v>24</v>
      </c>
      <c r="G58" s="2" t="s">
        <v>25</v>
      </c>
      <c r="J58" s="2" t="s">
        <v>117</v>
      </c>
    </row>
    <row r="59" spans="1:10" x14ac:dyDescent="0.25">
      <c r="A59" s="2" t="s">
        <v>149</v>
      </c>
      <c r="D59" s="2">
        <v>0.1098901098901099</v>
      </c>
      <c r="E59" s="2" t="s">
        <v>6</v>
      </c>
      <c r="F59" s="2" t="s">
        <v>69</v>
      </c>
      <c r="G59" s="2" t="s">
        <v>70</v>
      </c>
      <c r="H59" s="2" t="s">
        <v>134</v>
      </c>
      <c r="J59" s="2" t="s">
        <v>117</v>
      </c>
    </row>
    <row r="60" spans="1:10" x14ac:dyDescent="0.25">
      <c r="A60" s="2" t="s">
        <v>133</v>
      </c>
      <c r="D60" s="2">
        <v>0.32121724429416743</v>
      </c>
      <c r="E60" s="2" t="s">
        <v>6</v>
      </c>
      <c r="F60" s="2" t="s">
        <v>69</v>
      </c>
      <c r="G60" s="2" t="s">
        <v>70</v>
      </c>
      <c r="H60" s="2" t="s">
        <v>134</v>
      </c>
      <c r="J60" s="2" t="s">
        <v>117</v>
      </c>
    </row>
    <row r="61" spans="1:10" x14ac:dyDescent="0.25">
      <c r="A61" s="2" t="s">
        <v>150</v>
      </c>
      <c r="D61" s="2">
        <v>3.3812341504649191E-3</v>
      </c>
      <c r="E61" s="2" t="s">
        <v>6</v>
      </c>
      <c r="F61" s="2" t="s">
        <v>69</v>
      </c>
      <c r="G61" s="2" t="s">
        <v>70</v>
      </c>
      <c r="H61" s="2" t="s">
        <v>134</v>
      </c>
      <c r="J61" s="2" t="s">
        <v>117</v>
      </c>
    </row>
    <row r="62" spans="1:10" s="6" customFormat="1" x14ac:dyDescent="0.25"/>
    <row r="63" spans="1:10" x14ac:dyDescent="0.25">
      <c r="A63" s="1" t="s">
        <v>0</v>
      </c>
      <c r="B63" s="1" t="s">
        <v>151</v>
      </c>
    </row>
    <row r="64" spans="1:10" x14ac:dyDescent="0.25">
      <c r="A64" s="3" t="s">
        <v>1</v>
      </c>
      <c r="B64" s="2" t="s">
        <v>76</v>
      </c>
    </row>
    <row r="65" spans="1:14" x14ac:dyDescent="0.25">
      <c r="A65" s="3" t="s">
        <v>2</v>
      </c>
      <c r="B65" s="2" t="s">
        <v>137</v>
      </c>
    </row>
    <row r="66" spans="1:14" x14ac:dyDescent="0.25">
      <c r="A66" s="3" t="s">
        <v>4</v>
      </c>
      <c r="B66" s="2">
        <v>1</v>
      </c>
    </row>
    <row r="67" spans="1:14" x14ac:dyDescent="0.25">
      <c r="A67" s="3" t="s">
        <v>5</v>
      </c>
      <c r="B67" s="2" t="s">
        <v>6</v>
      </c>
    </row>
    <row r="68" spans="1:14" x14ac:dyDescent="0.25">
      <c r="A68" s="3" t="s">
        <v>7</v>
      </c>
      <c r="B68" s="2" t="s">
        <v>8</v>
      </c>
    </row>
    <row r="69" spans="1:14" x14ac:dyDescent="0.25">
      <c r="A69" s="3" t="s">
        <v>9</v>
      </c>
    </row>
    <row r="70" spans="1:14" x14ac:dyDescent="0.25">
      <c r="A70" s="1" t="s">
        <v>10</v>
      </c>
      <c r="B70" s="1" t="s">
        <v>1</v>
      </c>
      <c r="C70" s="1" t="s">
        <v>2</v>
      </c>
      <c r="D70" s="1" t="s">
        <v>4</v>
      </c>
      <c r="E70" s="1" t="s">
        <v>5</v>
      </c>
      <c r="F70" s="1" t="s">
        <v>11</v>
      </c>
      <c r="G70" s="1" t="s">
        <v>12</v>
      </c>
      <c r="H70" s="1" t="s">
        <v>13</v>
      </c>
      <c r="I70" s="1" t="s">
        <v>14</v>
      </c>
      <c r="J70" s="1" t="s">
        <v>15</v>
      </c>
      <c r="K70" s="1" t="s">
        <v>16</v>
      </c>
      <c r="L70" s="1" t="s">
        <v>17</v>
      </c>
      <c r="M70" s="1" t="s">
        <v>18</v>
      </c>
      <c r="N70" s="1" t="s">
        <v>19</v>
      </c>
    </row>
    <row r="71" spans="1:14" x14ac:dyDescent="0.25">
      <c r="A71" s="2" t="str">
        <f>B63</f>
        <v>[R] Tungsten carbide (WC) production</v>
      </c>
      <c r="B71" s="2" t="str">
        <f>B64</f>
        <v>WC powder</v>
      </c>
      <c r="C71" s="2" t="str">
        <f>B65</f>
        <v>US</v>
      </c>
      <c r="D71" s="2">
        <v>1</v>
      </c>
      <c r="E71" s="2" t="s">
        <v>6</v>
      </c>
      <c r="F71" s="4" t="s">
        <v>132</v>
      </c>
      <c r="G71" s="2" t="s">
        <v>20</v>
      </c>
    </row>
    <row r="72" spans="1:14" x14ac:dyDescent="0.25">
      <c r="A72" s="2" t="s">
        <v>95</v>
      </c>
      <c r="B72" s="2" t="s">
        <v>96</v>
      </c>
      <c r="C72" s="2" t="s">
        <v>23</v>
      </c>
      <c r="D72" s="2">
        <v>6.4835164835164827E-2</v>
      </c>
      <c r="E72" s="2" t="s">
        <v>6</v>
      </c>
      <c r="F72" s="2" t="s">
        <v>24</v>
      </c>
      <c r="G72" s="2" t="s">
        <v>25</v>
      </c>
      <c r="J72" s="2" t="s">
        <v>117</v>
      </c>
    </row>
    <row r="73" spans="1:14" x14ac:dyDescent="0.25">
      <c r="A73" s="2" t="s">
        <v>62</v>
      </c>
      <c r="B73" s="2" t="s">
        <v>63</v>
      </c>
      <c r="C73" s="2" t="s">
        <v>137</v>
      </c>
      <c r="D73" s="2">
        <v>7.8021978021978011</v>
      </c>
      <c r="E73" s="2" t="s">
        <v>64</v>
      </c>
      <c r="F73" s="2" t="s">
        <v>24</v>
      </c>
      <c r="G73" s="2" t="s">
        <v>25</v>
      </c>
      <c r="J73" s="2" t="s">
        <v>117</v>
      </c>
    </row>
    <row r="74" spans="1:14" x14ac:dyDescent="0.25">
      <c r="A74" s="2" t="s">
        <v>152</v>
      </c>
      <c r="B74" s="2" t="s">
        <v>153</v>
      </c>
      <c r="C74" s="2" t="s">
        <v>137</v>
      </c>
      <c r="D74" s="2">
        <v>4.8351648351648353E-2</v>
      </c>
      <c r="E74" s="2" t="s">
        <v>6</v>
      </c>
      <c r="F74" s="2" t="s">
        <v>24</v>
      </c>
      <c r="G74" s="2" t="s">
        <v>25</v>
      </c>
      <c r="J74" s="2" t="s">
        <v>117</v>
      </c>
    </row>
    <row r="75" spans="1:14" x14ac:dyDescent="0.25">
      <c r="A75" s="2" t="s">
        <v>149</v>
      </c>
      <c r="D75" s="2">
        <v>9.4505494505494489E-2</v>
      </c>
      <c r="E75" s="2" t="s">
        <v>6</v>
      </c>
      <c r="F75" s="2" t="s">
        <v>69</v>
      </c>
      <c r="G75" s="2" t="s">
        <v>70</v>
      </c>
      <c r="H75" s="2" t="s">
        <v>134</v>
      </c>
      <c r="J75" s="2" t="s">
        <v>117</v>
      </c>
    </row>
    <row r="76" spans="1:14" x14ac:dyDescent="0.25">
      <c r="A76" s="2" t="s">
        <v>133</v>
      </c>
      <c r="D76" s="2">
        <v>1.318681318681319E-2</v>
      </c>
      <c r="E76" s="2" t="s">
        <v>6</v>
      </c>
      <c r="F76" s="2" t="s">
        <v>69</v>
      </c>
      <c r="G76" s="2" t="s">
        <v>70</v>
      </c>
      <c r="H76" s="2" t="s">
        <v>134</v>
      </c>
      <c r="J76" s="2" t="s">
        <v>117</v>
      </c>
    </row>
    <row r="77" spans="1:14" x14ac:dyDescent="0.25">
      <c r="A77" s="2" t="s">
        <v>154</v>
      </c>
      <c r="D77" s="2">
        <v>3.4065934065934059E-3</v>
      </c>
      <c r="E77" s="2" t="s">
        <v>6</v>
      </c>
      <c r="F77" s="2" t="s">
        <v>69</v>
      </c>
      <c r="G77" s="2" t="s">
        <v>70</v>
      </c>
      <c r="H77" s="2" t="s">
        <v>134</v>
      </c>
      <c r="J77" s="2" t="s">
        <v>117</v>
      </c>
    </row>
    <row r="78" spans="1:14" s="7" customFormat="1" x14ac:dyDescent="0.25"/>
    <row r="79" spans="1:14" x14ac:dyDescent="0.25">
      <c r="A79" s="1" t="s">
        <v>0</v>
      </c>
      <c r="B79" s="5" t="s">
        <v>201</v>
      </c>
    </row>
    <row r="80" spans="1:14" x14ac:dyDescent="0.25">
      <c r="A80" s="3" t="s">
        <v>1</v>
      </c>
      <c r="B80" s="2" t="s">
        <v>76</v>
      </c>
    </row>
    <row r="81" spans="1:14" x14ac:dyDescent="0.25">
      <c r="A81" s="3" t="s">
        <v>2</v>
      </c>
      <c r="B81" s="2" t="s">
        <v>137</v>
      </c>
    </row>
    <row r="82" spans="1:14" x14ac:dyDescent="0.25">
      <c r="A82" s="3" t="s">
        <v>4</v>
      </c>
      <c r="B82" s="2">
        <v>1</v>
      </c>
    </row>
    <row r="83" spans="1:14" x14ac:dyDescent="0.25">
      <c r="A83" s="3" t="s">
        <v>5</v>
      </c>
      <c r="B83" s="2" t="s">
        <v>6</v>
      </c>
    </row>
    <row r="84" spans="1:14" x14ac:dyDescent="0.25">
      <c r="A84" s="3" t="s">
        <v>7</v>
      </c>
      <c r="B84" s="2" t="s">
        <v>8</v>
      </c>
    </row>
    <row r="85" spans="1:14" x14ac:dyDescent="0.25">
      <c r="A85" s="3" t="s">
        <v>9</v>
      </c>
    </row>
    <row r="86" spans="1:14" x14ac:dyDescent="0.25">
      <c r="A86" s="1" t="s">
        <v>10</v>
      </c>
      <c r="B86" s="1" t="s">
        <v>1</v>
      </c>
      <c r="C86" s="1" t="s">
        <v>2</v>
      </c>
      <c r="D86" s="1" t="s">
        <v>4</v>
      </c>
      <c r="E86" s="1" t="s">
        <v>5</v>
      </c>
      <c r="F86" s="1" t="s">
        <v>11</v>
      </c>
      <c r="G86" s="1" t="s">
        <v>12</v>
      </c>
      <c r="H86" s="1" t="s">
        <v>13</v>
      </c>
      <c r="I86" s="1" t="s">
        <v>14</v>
      </c>
      <c r="J86" s="1" t="s">
        <v>15</v>
      </c>
      <c r="K86" s="1" t="s">
        <v>16</v>
      </c>
      <c r="L86" s="1" t="s">
        <v>17</v>
      </c>
      <c r="M86" s="1" t="s">
        <v>18</v>
      </c>
      <c r="N86" s="1" t="s">
        <v>19</v>
      </c>
    </row>
    <row r="87" spans="1:14" x14ac:dyDescent="0.25">
      <c r="A87" s="2" t="str">
        <f>B79</f>
        <v>W ore mining in Canada and WC production in the US</v>
      </c>
      <c r="B87" s="2" t="str">
        <f>B80</f>
        <v>WC powder</v>
      </c>
      <c r="C87" s="2" t="str">
        <f>B81</f>
        <v>US</v>
      </c>
      <c r="D87" s="2">
        <v>1</v>
      </c>
      <c r="E87" s="2" t="s">
        <v>6</v>
      </c>
      <c r="F87" s="4" t="s">
        <v>132</v>
      </c>
      <c r="G87" s="2" t="s">
        <v>20</v>
      </c>
    </row>
    <row r="88" spans="1:14" x14ac:dyDescent="0.25">
      <c r="A88" s="2" t="str">
        <f>A71</f>
        <v>[R] Tungsten carbide (WC) production</v>
      </c>
      <c r="B88" s="2" t="str">
        <f t="shared" ref="B88:C88" si="0">B71</f>
        <v>WC powder</v>
      </c>
      <c r="C88" s="2" t="str">
        <f t="shared" si="0"/>
        <v>US</v>
      </c>
      <c r="D88" s="10">
        <f>D101*0.9387</f>
        <v>0.99998618063112077</v>
      </c>
      <c r="E88" s="2" t="s">
        <v>6</v>
      </c>
      <c r="F88" s="4" t="s">
        <v>132</v>
      </c>
      <c r="G88" s="2" t="s">
        <v>25</v>
      </c>
    </row>
    <row r="89" spans="1:14" x14ac:dyDescent="0.25">
      <c r="A89" s="2" t="str">
        <f>A37</f>
        <v>[P] Ammonium paratungstate (APT) production</v>
      </c>
      <c r="B89" s="2" t="str">
        <f t="shared" ref="B89:C89" si="1">B37</f>
        <v>APT</v>
      </c>
      <c r="C89" s="2" t="str">
        <f t="shared" si="1"/>
        <v>US</v>
      </c>
      <c r="D89" s="9">
        <f>D102*0.9387</f>
        <v>1.2999820348204572</v>
      </c>
      <c r="E89" s="2" t="s">
        <v>6</v>
      </c>
      <c r="F89" s="4" t="s">
        <v>132</v>
      </c>
      <c r="G89" s="2" t="s">
        <v>25</v>
      </c>
    </row>
    <row r="90" spans="1:14" x14ac:dyDescent="0.25">
      <c r="A90" s="2" t="str">
        <f>A9</f>
        <v>[M+C] Tungsten (W) ore mining and concentration</v>
      </c>
      <c r="B90" s="2" t="str">
        <f t="shared" ref="B90:C90" si="2">B9</f>
        <v>W concentrate</v>
      </c>
      <c r="C90" s="2" t="str">
        <f t="shared" si="2"/>
        <v>CA</v>
      </c>
      <c r="D90" s="9">
        <f t="shared" ref="D90" si="3">D103*0.9387</f>
        <v>1.7071977573568946</v>
      </c>
      <c r="E90" s="2" t="s">
        <v>6</v>
      </c>
      <c r="F90" s="4" t="s">
        <v>132</v>
      </c>
      <c r="G90" s="2" t="s">
        <v>25</v>
      </c>
    </row>
    <row r="91" spans="1:14" s="7" customFormat="1" x14ac:dyDescent="0.25"/>
    <row r="92" spans="1:14" x14ac:dyDescent="0.25">
      <c r="A92" s="1" t="s">
        <v>0</v>
      </c>
      <c r="B92" s="1" t="s">
        <v>216</v>
      </c>
    </row>
    <row r="93" spans="1:14" x14ac:dyDescent="0.25">
      <c r="A93" s="3" t="s">
        <v>1</v>
      </c>
      <c r="B93" s="2" t="s">
        <v>206</v>
      </c>
    </row>
    <row r="94" spans="1:14" x14ac:dyDescent="0.25">
      <c r="A94" s="3" t="s">
        <v>2</v>
      </c>
      <c r="B94" s="2" t="s">
        <v>137</v>
      </c>
    </row>
    <row r="95" spans="1:14" x14ac:dyDescent="0.25">
      <c r="A95" s="3" t="s">
        <v>4</v>
      </c>
      <c r="B95" s="2">
        <v>1</v>
      </c>
    </row>
    <row r="96" spans="1:14" x14ac:dyDescent="0.25">
      <c r="A96" s="3" t="s">
        <v>5</v>
      </c>
      <c r="B96" s="2" t="s">
        <v>6</v>
      </c>
    </row>
    <row r="97" spans="1:14" x14ac:dyDescent="0.25">
      <c r="A97" s="3" t="s">
        <v>7</v>
      </c>
      <c r="B97" s="2" t="s">
        <v>207</v>
      </c>
    </row>
    <row r="98" spans="1:14" x14ac:dyDescent="0.25">
      <c r="A98" s="3" t="s">
        <v>9</v>
      </c>
    </row>
    <row r="99" spans="1:14" x14ac:dyDescent="0.25">
      <c r="A99" s="1" t="s">
        <v>10</v>
      </c>
      <c r="B99" s="1" t="s">
        <v>1</v>
      </c>
      <c r="C99" s="1" t="s">
        <v>2</v>
      </c>
      <c r="D99" s="1" t="s">
        <v>4</v>
      </c>
      <c r="E99" s="1" t="s">
        <v>5</v>
      </c>
      <c r="F99" s="1" t="s">
        <v>11</v>
      </c>
      <c r="G99" s="1" t="s">
        <v>12</v>
      </c>
      <c r="H99" s="1" t="s">
        <v>13</v>
      </c>
      <c r="I99" s="1" t="s">
        <v>14</v>
      </c>
      <c r="J99" s="1" t="s">
        <v>15</v>
      </c>
      <c r="K99" s="1" t="s">
        <v>16</v>
      </c>
      <c r="L99" s="1" t="s">
        <v>17</v>
      </c>
      <c r="M99" s="1" t="s">
        <v>18</v>
      </c>
      <c r="N99" s="1" t="s">
        <v>19</v>
      </c>
    </row>
    <row r="100" spans="1:14" x14ac:dyDescent="0.25">
      <c r="A100" s="2" t="str">
        <f>B92</f>
        <v>W ore mining in Canada and WC production in the US (W content)</v>
      </c>
      <c r="B100" s="2" t="str">
        <f>B93</f>
        <v>WC powder (W content)</v>
      </c>
      <c r="C100" s="2" t="str">
        <f>B94</f>
        <v>US</v>
      </c>
      <c r="D100" s="2">
        <v>1</v>
      </c>
      <c r="E100" s="2" t="s">
        <v>6</v>
      </c>
      <c r="F100" s="4" t="s">
        <v>132</v>
      </c>
      <c r="G100" s="2" t="s">
        <v>20</v>
      </c>
    </row>
    <row r="101" spans="1:14" x14ac:dyDescent="0.25">
      <c r="A101" s="2" t="str">
        <f>A71</f>
        <v>[R] Tungsten carbide (WC) production</v>
      </c>
      <c r="B101" s="2" t="str">
        <f t="shared" ref="B101:C101" si="4">B71</f>
        <v>WC powder</v>
      </c>
      <c r="C101" s="2" t="str">
        <f t="shared" si="4"/>
        <v>US</v>
      </c>
      <c r="D101" s="2">
        <v>1.0652883569096845</v>
      </c>
      <c r="E101" s="2" t="s">
        <v>6</v>
      </c>
      <c r="F101" s="4" t="s">
        <v>132</v>
      </c>
      <c r="G101" s="2" t="s">
        <v>25</v>
      </c>
    </row>
    <row r="102" spans="1:14" x14ac:dyDescent="0.25">
      <c r="A102" s="2" t="str">
        <f>A37</f>
        <v>[P] Ammonium paratungstate (APT) production</v>
      </c>
      <c r="B102" s="2" t="str">
        <f t="shared" ref="B102:C102" si="5">B37</f>
        <v>APT</v>
      </c>
      <c r="C102" s="2" t="str">
        <f t="shared" si="5"/>
        <v>US</v>
      </c>
      <c r="D102" s="2">
        <v>1.3848748639825899</v>
      </c>
      <c r="E102" s="2" t="s">
        <v>6</v>
      </c>
      <c r="F102" s="4" t="s">
        <v>132</v>
      </c>
      <c r="G102" s="2" t="s">
        <v>25</v>
      </c>
    </row>
    <row r="103" spans="1:14" x14ac:dyDescent="0.25">
      <c r="A103" s="2" t="str">
        <f>A9</f>
        <v>[M+C] Tungsten (W) ore mining and concentration</v>
      </c>
      <c r="B103" s="2" t="str">
        <f t="shared" ref="B103:C103" si="6">B9</f>
        <v>W concentrate</v>
      </c>
      <c r="C103" s="2" t="str">
        <f t="shared" si="6"/>
        <v>CA</v>
      </c>
      <c r="D103" s="2">
        <v>1.8186830269062477</v>
      </c>
      <c r="E103" s="2" t="s">
        <v>6</v>
      </c>
      <c r="F103" s="4" t="s">
        <v>132</v>
      </c>
      <c r="G103" s="2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N56"/>
  <sheetViews>
    <sheetView zoomScaleNormal="100" workbookViewId="0"/>
  </sheetViews>
  <sheetFormatPr baseColWidth="10" defaultColWidth="8.7109375" defaultRowHeight="15" x14ac:dyDescent="0.25"/>
  <cols>
    <col min="1" max="1" width="54.42578125" style="2" bestFit="1" customWidth="1"/>
    <col min="2" max="2" width="53" style="2" customWidth="1"/>
    <col min="3" max="3" width="8.28515625" style="2" bestFit="1" customWidth="1"/>
    <col min="4" max="4" width="12" style="2" bestFit="1" customWidth="1"/>
    <col min="5" max="5" width="12.7109375" style="2" bestFit="1" customWidth="1"/>
    <col min="6" max="6" width="19.7109375" style="2" bestFit="1" customWidth="1"/>
    <col min="7" max="7" width="13.28515625" style="2" bestFit="1" customWidth="1"/>
    <col min="8" max="8" width="25.28515625" style="2" bestFit="1" customWidth="1"/>
    <col min="9" max="9" width="15.5703125" style="2" bestFit="1" customWidth="1"/>
    <col min="10" max="10" width="17.7109375" style="2" bestFit="1" customWidth="1"/>
    <col min="11" max="11" width="3.5703125" style="2" bestFit="1" customWidth="1"/>
    <col min="12" max="12" width="5.42578125" style="2" bestFit="1" customWidth="1"/>
    <col min="13" max="13" width="9.5703125" style="2" bestFit="1" customWidth="1"/>
    <col min="14" max="14" width="9.7109375" style="2" bestFit="1" customWidth="1"/>
    <col min="15" max="16384" width="8.7109375" style="2"/>
  </cols>
  <sheetData>
    <row r="1" spans="1:14" x14ac:dyDescent="0.25">
      <c r="A1" s="1" t="s">
        <v>0</v>
      </c>
      <c r="B1" s="1" t="s">
        <v>155</v>
      </c>
    </row>
    <row r="2" spans="1:14" x14ac:dyDescent="0.25">
      <c r="A2" s="3" t="s">
        <v>1</v>
      </c>
      <c r="B2" s="2" t="s">
        <v>156</v>
      </c>
    </row>
    <row r="3" spans="1:14" x14ac:dyDescent="0.25">
      <c r="A3" s="3" t="s">
        <v>2</v>
      </c>
      <c r="B3" s="2" t="str">
        <f>C9</f>
        <v>Europe</v>
      </c>
    </row>
    <row r="4" spans="1:14" x14ac:dyDescent="0.25">
      <c r="A4" s="3" t="s">
        <v>4</v>
      </c>
      <c r="B4" s="2">
        <v>1</v>
      </c>
    </row>
    <row r="5" spans="1:14" x14ac:dyDescent="0.25">
      <c r="A5" s="3" t="s">
        <v>5</v>
      </c>
      <c r="B5" s="2" t="s">
        <v>6</v>
      </c>
    </row>
    <row r="6" spans="1:14" x14ac:dyDescent="0.25">
      <c r="A6" s="3" t="s">
        <v>7</v>
      </c>
      <c r="B6" s="2" t="s">
        <v>8</v>
      </c>
    </row>
    <row r="7" spans="1:14" x14ac:dyDescent="0.25">
      <c r="A7" s="3" t="s">
        <v>9</v>
      </c>
    </row>
    <row r="8" spans="1:14" x14ac:dyDescent="0.25">
      <c r="A8" s="1" t="s">
        <v>10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</row>
    <row r="9" spans="1:14" x14ac:dyDescent="0.25">
      <c r="A9" s="2" t="str">
        <f>B1</f>
        <v>[M+C+P] Tungsten trioxide (WO3) production</v>
      </c>
      <c r="B9" s="2" t="str">
        <f>B2</f>
        <v>WO3</v>
      </c>
      <c r="C9" s="2" t="s">
        <v>157</v>
      </c>
      <c r="D9" s="2">
        <v>1</v>
      </c>
      <c r="E9" s="2" t="s">
        <v>6</v>
      </c>
      <c r="F9" s="4" t="s">
        <v>132</v>
      </c>
      <c r="G9" s="2" t="s">
        <v>20</v>
      </c>
    </row>
    <row r="10" spans="1:14" x14ac:dyDescent="0.25">
      <c r="A10" s="2" t="s">
        <v>138</v>
      </c>
      <c r="B10" s="2" t="s">
        <v>139</v>
      </c>
      <c r="C10" s="2" t="s">
        <v>158</v>
      </c>
      <c r="D10" s="2">
        <v>0.08</v>
      </c>
      <c r="E10" s="2" t="s">
        <v>6</v>
      </c>
      <c r="F10" s="2" t="s">
        <v>24</v>
      </c>
      <c r="G10" s="2" t="s">
        <v>25</v>
      </c>
      <c r="J10" s="2" t="s">
        <v>159</v>
      </c>
    </row>
    <row r="11" spans="1:14" x14ac:dyDescent="0.25">
      <c r="A11" s="2" t="s">
        <v>79</v>
      </c>
      <c r="B11" s="2" t="s">
        <v>80</v>
      </c>
      <c r="C11" s="2" t="s">
        <v>158</v>
      </c>
      <c r="D11" s="2">
        <v>0.12</v>
      </c>
      <c r="E11" s="2" t="s">
        <v>6</v>
      </c>
      <c r="F11" s="2" t="s">
        <v>24</v>
      </c>
      <c r="G11" s="2" t="s">
        <v>25</v>
      </c>
      <c r="J11" s="2" t="s">
        <v>159</v>
      </c>
    </row>
    <row r="12" spans="1:14" x14ac:dyDescent="0.25">
      <c r="A12" s="2" t="s">
        <v>62</v>
      </c>
      <c r="B12" s="2" t="s">
        <v>63</v>
      </c>
      <c r="C12" s="2" t="s">
        <v>158</v>
      </c>
      <c r="D12" s="2">
        <v>1.635</v>
      </c>
      <c r="E12" s="2" t="s">
        <v>64</v>
      </c>
      <c r="F12" s="2" t="s">
        <v>24</v>
      </c>
      <c r="G12" s="2" t="s">
        <v>25</v>
      </c>
      <c r="J12" s="2" t="s">
        <v>160</v>
      </c>
    </row>
    <row r="13" spans="1:14" x14ac:dyDescent="0.25">
      <c r="A13" s="2" t="s">
        <v>145</v>
      </c>
      <c r="B13" s="2" t="s">
        <v>146</v>
      </c>
      <c r="C13" s="2" t="s">
        <v>23</v>
      </c>
      <c r="D13" s="2">
        <v>0.03</v>
      </c>
      <c r="E13" s="2" t="s">
        <v>6</v>
      </c>
      <c r="F13" s="2" t="s">
        <v>24</v>
      </c>
      <c r="G13" s="2" t="s">
        <v>25</v>
      </c>
      <c r="J13" s="2" t="s">
        <v>159</v>
      </c>
    </row>
    <row r="14" spans="1:14" x14ac:dyDescent="0.25">
      <c r="A14" s="2" t="s">
        <v>161</v>
      </c>
      <c r="B14" s="2" t="s">
        <v>162</v>
      </c>
      <c r="C14" s="2" t="s">
        <v>23</v>
      </c>
      <c r="D14" s="2">
        <v>1.37</v>
      </c>
      <c r="E14" s="2" t="s">
        <v>6</v>
      </c>
      <c r="F14" s="2" t="s">
        <v>24</v>
      </c>
      <c r="G14" s="2" t="s">
        <v>25</v>
      </c>
      <c r="J14" s="2" t="s">
        <v>159</v>
      </c>
    </row>
    <row r="15" spans="1:14" x14ac:dyDescent="0.25">
      <c r="A15" s="2" t="s">
        <v>163</v>
      </c>
      <c r="B15" s="2" t="s">
        <v>164</v>
      </c>
      <c r="C15" s="2" t="s">
        <v>158</v>
      </c>
      <c r="D15" s="2">
        <v>0.05</v>
      </c>
      <c r="E15" s="2" t="s">
        <v>6</v>
      </c>
      <c r="F15" s="2" t="s">
        <v>24</v>
      </c>
      <c r="G15" s="2" t="s">
        <v>25</v>
      </c>
      <c r="J15" s="2" t="s">
        <v>159</v>
      </c>
    </row>
    <row r="16" spans="1:14" x14ac:dyDescent="0.25">
      <c r="A16" s="2" t="s">
        <v>83</v>
      </c>
      <c r="B16" s="2" t="s">
        <v>84</v>
      </c>
      <c r="C16" s="2" t="s">
        <v>158</v>
      </c>
      <c r="D16" s="2">
        <v>1.4</v>
      </c>
      <c r="E16" s="2" t="s">
        <v>6</v>
      </c>
      <c r="F16" s="2" t="s">
        <v>24</v>
      </c>
      <c r="G16" s="2" t="s">
        <v>25</v>
      </c>
      <c r="J16" s="2" t="s">
        <v>159</v>
      </c>
    </row>
    <row r="17" spans="1:14" x14ac:dyDescent="0.25">
      <c r="A17" s="2" t="s">
        <v>165</v>
      </c>
      <c r="B17" s="2" t="s">
        <v>166</v>
      </c>
      <c r="C17" s="2" t="s">
        <v>32</v>
      </c>
      <c r="D17" s="2">
        <v>-3.5</v>
      </c>
      <c r="E17" s="2" t="s">
        <v>6</v>
      </c>
      <c r="F17" s="2" t="s">
        <v>24</v>
      </c>
      <c r="G17" s="2" t="s">
        <v>25</v>
      </c>
      <c r="J17" s="2" t="s">
        <v>160</v>
      </c>
    </row>
    <row r="18" spans="1:14" x14ac:dyDescent="0.25">
      <c r="A18" s="2" t="s">
        <v>132</v>
      </c>
      <c r="D18" s="2">
        <v>1.45</v>
      </c>
      <c r="E18" s="2" t="s">
        <v>6</v>
      </c>
      <c r="F18" s="2" t="s">
        <v>69</v>
      </c>
      <c r="G18" s="2" t="s">
        <v>70</v>
      </c>
      <c r="H18" s="2" t="s">
        <v>199</v>
      </c>
      <c r="J18" s="2" t="s">
        <v>167</v>
      </c>
    </row>
    <row r="19" spans="1:14" s="6" customFormat="1" x14ac:dyDescent="0.25"/>
    <row r="20" spans="1:14" x14ac:dyDescent="0.25">
      <c r="A20" s="1" t="s">
        <v>0</v>
      </c>
      <c r="B20" s="1" t="s">
        <v>151</v>
      </c>
    </row>
    <row r="21" spans="1:14" x14ac:dyDescent="0.25">
      <c r="A21" s="3" t="s">
        <v>1</v>
      </c>
      <c r="B21" s="2" t="s">
        <v>168</v>
      </c>
    </row>
    <row r="22" spans="1:14" x14ac:dyDescent="0.25">
      <c r="A22" s="3" t="s">
        <v>2</v>
      </c>
      <c r="B22" s="2" t="s">
        <v>157</v>
      </c>
    </row>
    <row r="23" spans="1:14" x14ac:dyDescent="0.25">
      <c r="A23" s="3" t="s">
        <v>4</v>
      </c>
      <c r="B23" s="2">
        <v>1</v>
      </c>
    </row>
    <row r="24" spans="1:14" x14ac:dyDescent="0.25">
      <c r="A24" s="3" t="s">
        <v>5</v>
      </c>
      <c r="B24" s="2" t="s">
        <v>6</v>
      </c>
    </row>
    <row r="25" spans="1:14" x14ac:dyDescent="0.25">
      <c r="A25" s="3" t="s">
        <v>7</v>
      </c>
      <c r="B25" s="2" t="s">
        <v>8</v>
      </c>
    </row>
    <row r="26" spans="1:14" x14ac:dyDescent="0.25">
      <c r="A26" s="3" t="s">
        <v>9</v>
      </c>
    </row>
    <row r="27" spans="1:14" x14ac:dyDescent="0.25">
      <c r="A27" s="1" t="s">
        <v>10</v>
      </c>
      <c r="B27" s="1" t="s">
        <v>1</v>
      </c>
      <c r="C27" s="1" t="s">
        <v>2</v>
      </c>
      <c r="D27" s="1" t="s">
        <v>4</v>
      </c>
      <c r="E27" s="1" t="s">
        <v>5</v>
      </c>
      <c r="F27" s="1" t="s">
        <v>11</v>
      </c>
      <c r="G27" s="1" t="s">
        <v>12</v>
      </c>
      <c r="H27" s="1" t="s">
        <v>13</v>
      </c>
      <c r="I27" s="1" t="s">
        <v>14</v>
      </c>
      <c r="J27" s="1" t="s">
        <v>15</v>
      </c>
      <c r="K27" s="1" t="s">
        <v>16</v>
      </c>
      <c r="L27" s="1" t="s">
        <v>17</v>
      </c>
      <c r="M27" s="1" t="s">
        <v>18</v>
      </c>
      <c r="N27" s="1" t="s">
        <v>19</v>
      </c>
    </row>
    <row r="28" spans="1:14" x14ac:dyDescent="0.25">
      <c r="A28" s="2" t="str">
        <f>B20</f>
        <v>[R] Tungsten carbide (WC) production</v>
      </c>
      <c r="B28" s="2" t="str">
        <f>B21</f>
        <v>WC</v>
      </c>
      <c r="C28" s="2" t="str">
        <f>B22</f>
        <v>Europe</v>
      </c>
      <c r="D28" s="2">
        <v>1</v>
      </c>
      <c r="E28" s="2" t="s">
        <v>6</v>
      </c>
      <c r="F28" s="4" t="s">
        <v>132</v>
      </c>
      <c r="G28" s="2" t="s">
        <v>20</v>
      </c>
    </row>
    <row r="29" spans="1:14" x14ac:dyDescent="0.25">
      <c r="A29" s="2" t="s">
        <v>95</v>
      </c>
      <c r="B29" s="2" t="s">
        <v>96</v>
      </c>
      <c r="C29" s="2" t="s">
        <v>23</v>
      </c>
      <c r="D29" s="2">
        <v>3.7547999999999999</v>
      </c>
      <c r="E29" s="2" t="s">
        <v>6</v>
      </c>
      <c r="F29" s="2" t="s">
        <v>24</v>
      </c>
      <c r="G29" s="2" t="s">
        <v>25</v>
      </c>
      <c r="J29" s="2" t="s">
        <v>169</v>
      </c>
    </row>
    <row r="30" spans="1:14" x14ac:dyDescent="0.25">
      <c r="A30" s="2" t="s">
        <v>152</v>
      </c>
      <c r="B30" s="2" t="s">
        <v>153</v>
      </c>
      <c r="C30" s="2" t="s">
        <v>158</v>
      </c>
      <c r="D30" s="2">
        <v>1.34E-3</v>
      </c>
      <c r="E30" s="2" t="s">
        <v>6</v>
      </c>
      <c r="F30" s="2" t="s">
        <v>24</v>
      </c>
      <c r="G30" s="2" t="s">
        <v>25</v>
      </c>
      <c r="J30" s="2" t="s">
        <v>170</v>
      </c>
    </row>
    <row r="31" spans="1:14" x14ac:dyDescent="0.25">
      <c r="A31" s="2" t="s">
        <v>62</v>
      </c>
      <c r="B31" s="2" t="s">
        <v>63</v>
      </c>
      <c r="C31" s="2" t="s">
        <v>158</v>
      </c>
      <c r="D31" s="2">
        <v>1.9510000000000001</v>
      </c>
      <c r="E31" s="2" t="s">
        <v>64</v>
      </c>
      <c r="F31" s="2" t="s">
        <v>24</v>
      </c>
      <c r="G31" s="2" t="s">
        <v>25</v>
      </c>
      <c r="J31" s="2" t="s">
        <v>171</v>
      </c>
    </row>
    <row r="32" spans="1:14" x14ac:dyDescent="0.25">
      <c r="A32" s="2" t="s">
        <v>103</v>
      </c>
      <c r="B32" s="2" t="s">
        <v>104</v>
      </c>
      <c r="C32" s="2" t="s">
        <v>32</v>
      </c>
      <c r="D32" s="2">
        <v>-3.6933500000000001</v>
      </c>
      <c r="E32" s="2" t="s">
        <v>6</v>
      </c>
      <c r="F32" s="2" t="s">
        <v>24</v>
      </c>
      <c r="G32" s="2" t="s">
        <v>25</v>
      </c>
      <c r="J32" s="2" t="s">
        <v>160</v>
      </c>
    </row>
    <row r="33" spans="1:14" s="7" customFormat="1" x14ac:dyDescent="0.25"/>
    <row r="34" spans="1:14" x14ac:dyDescent="0.25">
      <c r="A34" s="1" t="s">
        <v>0</v>
      </c>
      <c r="B34" s="1" t="s">
        <v>202</v>
      </c>
    </row>
    <row r="35" spans="1:14" x14ac:dyDescent="0.25">
      <c r="A35" s="3" t="s">
        <v>1</v>
      </c>
      <c r="B35" s="2" t="s">
        <v>168</v>
      </c>
    </row>
    <row r="36" spans="1:14" x14ac:dyDescent="0.25">
      <c r="A36" s="3" t="s">
        <v>2</v>
      </c>
      <c r="B36" s="2" t="s">
        <v>157</v>
      </c>
    </row>
    <row r="37" spans="1:14" x14ac:dyDescent="0.25">
      <c r="A37" s="3" t="s">
        <v>4</v>
      </c>
      <c r="B37" s="2">
        <v>1</v>
      </c>
    </row>
    <row r="38" spans="1:14" x14ac:dyDescent="0.25">
      <c r="A38" s="3" t="s">
        <v>5</v>
      </c>
      <c r="B38" s="2" t="s">
        <v>6</v>
      </c>
    </row>
    <row r="39" spans="1:14" x14ac:dyDescent="0.25">
      <c r="A39" s="3" t="s">
        <v>7</v>
      </c>
      <c r="B39" s="2" t="s">
        <v>8</v>
      </c>
    </row>
    <row r="40" spans="1:14" x14ac:dyDescent="0.25">
      <c r="A40" s="3" t="s">
        <v>9</v>
      </c>
    </row>
    <row r="41" spans="1:14" x14ac:dyDescent="0.25">
      <c r="A41" s="1" t="s">
        <v>10</v>
      </c>
      <c r="B41" s="1" t="s">
        <v>1</v>
      </c>
      <c r="C41" s="1" t="s">
        <v>2</v>
      </c>
      <c r="D41" s="1" t="s">
        <v>4</v>
      </c>
      <c r="E41" s="1" t="s">
        <v>5</v>
      </c>
      <c r="F41" s="1" t="s">
        <v>11</v>
      </c>
      <c r="G41" s="1" t="s">
        <v>12</v>
      </c>
      <c r="H41" s="1" t="s">
        <v>13</v>
      </c>
      <c r="I41" s="1" t="s">
        <v>14</v>
      </c>
      <c r="J41" s="1" t="s">
        <v>15</v>
      </c>
      <c r="K41" s="1" t="s">
        <v>16</v>
      </c>
      <c r="L41" s="1" t="s">
        <v>17</v>
      </c>
      <c r="M41" s="1" t="s">
        <v>18</v>
      </c>
      <c r="N41" s="1" t="s">
        <v>19</v>
      </c>
    </row>
    <row r="42" spans="1:14" x14ac:dyDescent="0.25">
      <c r="A42" s="2" t="str">
        <f>B34</f>
        <v>W ore mining and WC production in Europe</v>
      </c>
      <c r="B42" s="2" t="str">
        <f>B35</f>
        <v>WC</v>
      </c>
      <c r="C42" s="2" t="str">
        <f>B36</f>
        <v>Europe</v>
      </c>
      <c r="D42" s="2">
        <v>1</v>
      </c>
      <c r="E42" s="2" t="s">
        <v>6</v>
      </c>
      <c r="F42" s="4" t="s">
        <v>132</v>
      </c>
      <c r="G42" s="2" t="s">
        <v>20</v>
      </c>
    </row>
    <row r="43" spans="1:14" x14ac:dyDescent="0.25">
      <c r="A43" s="2" t="str">
        <f>A28</f>
        <v>[R] Tungsten carbide (WC) production</v>
      </c>
      <c r="B43" s="2" t="str">
        <f t="shared" ref="B43:C43" si="0">B28</f>
        <v>WC</v>
      </c>
      <c r="C43" s="2" t="str">
        <f t="shared" si="0"/>
        <v>Europe</v>
      </c>
      <c r="D43" s="2">
        <f>1</f>
        <v>1</v>
      </c>
      <c r="E43" s="2" t="s">
        <v>6</v>
      </c>
      <c r="F43" s="4" t="s">
        <v>132</v>
      </c>
      <c r="G43" s="2" t="s">
        <v>25</v>
      </c>
    </row>
    <row r="44" spans="1:14" x14ac:dyDescent="0.25">
      <c r="A44" s="2" t="str">
        <f>A9</f>
        <v>[M+C+P] Tungsten trioxide (WO3) production</v>
      </c>
      <c r="B44" s="2" t="str">
        <f t="shared" ref="B44:C44" si="1">B9</f>
        <v>WO3</v>
      </c>
      <c r="C44" s="2" t="str">
        <f t="shared" si="1"/>
        <v>Europe</v>
      </c>
      <c r="D44" s="2">
        <v>1</v>
      </c>
      <c r="E44" s="2" t="s">
        <v>6</v>
      </c>
      <c r="F44" s="4" t="s">
        <v>132</v>
      </c>
      <c r="G44" s="2" t="s">
        <v>25</v>
      </c>
    </row>
    <row r="45" spans="1:14" s="7" customFormat="1" x14ac:dyDescent="0.25"/>
    <row r="46" spans="1:14" x14ac:dyDescent="0.25">
      <c r="A46" s="1" t="s">
        <v>0</v>
      </c>
      <c r="B46" s="1" t="s">
        <v>215</v>
      </c>
    </row>
    <row r="47" spans="1:14" x14ac:dyDescent="0.25">
      <c r="A47" s="3" t="s">
        <v>1</v>
      </c>
      <c r="B47" s="2" t="s">
        <v>208</v>
      </c>
    </row>
    <row r="48" spans="1:14" x14ac:dyDescent="0.25">
      <c r="A48" s="3" t="s">
        <v>2</v>
      </c>
      <c r="B48" s="2" t="s">
        <v>157</v>
      </c>
    </row>
    <row r="49" spans="1:14" x14ac:dyDescent="0.25">
      <c r="A49" s="3" t="s">
        <v>4</v>
      </c>
      <c r="B49" s="2">
        <v>1</v>
      </c>
    </row>
    <row r="50" spans="1:14" x14ac:dyDescent="0.25">
      <c r="A50" s="3" t="s">
        <v>5</v>
      </c>
      <c r="B50" s="2" t="s">
        <v>6</v>
      </c>
    </row>
    <row r="51" spans="1:14" x14ac:dyDescent="0.25">
      <c r="A51" s="3" t="s">
        <v>7</v>
      </c>
      <c r="B51" s="2" t="s">
        <v>207</v>
      </c>
    </row>
    <row r="52" spans="1:14" x14ac:dyDescent="0.25">
      <c r="A52" s="3" t="s">
        <v>9</v>
      </c>
    </row>
    <row r="53" spans="1:14" x14ac:dyDescent="0.25">
      <c r="A53" s="1" t="s">
        <v>10</v>
      </c>
      <c r="B53" s="1" t="s">
        <v>1</v>
      </c>
      <c r="C53" s="1" t="s">
        <v>2</v>
      </c>
      <c r="D53" s="1" t="s">
        <v>4</v>
      </c>
      <c r="E53" s="1" t="s">
        <v>5</v>
      </c>
      <c r="F53" s="1" t="s">
        <v>11</v>
      </c>
      <c r="G53" s="1" t="s">
        <v>12</v>
      </c>
      <c r="H53" s="1" t="s">
        <v>13</v>
      </c>
      <c r="I53" s="1" t="s">
        <v>14</v>
      </c>
      <c r="J53" s="1" t="s">
        <v>15</v>
      </c>
      <c r="K53" s="1" t="s">
        <v>16</v>
      </c>
      <c r="L53" s="1" t="s">
        <v>17</v>
      </c>
      <c r="M53" s="1" t="s">
        <v>18</v>
      </c>
      <c r="N53" s="1" t="s">
        <v>19</v>
      </c>
    </row>
    <row r="54" spans="1:14" x14ac:dyDescent="0.25">
      <c r="A54" s="2" t="str">
        <f>B46</f>
        <v>W ore mining and WC production in Europe (W content)</v>
      </c>
      <c r="B54" s="2" t="str">
        <f>B47</f>
        <v>WC (W content)</v>
      </c>
      <c r="C54" s="2" t="str">
        <f>B48</f>
        <v>Europe</v>
      </c>
      <c r="D54" s="2">
        <v>1</v>
      </c>
      <c r="E54" s="2" t="s">
        <v>6</v>
      </c>
      <c r="F54" s="4" t="s">
        <v>132</v>
      </c>
      <c r="G54" s="2" t="s">
        <v>20</v>
      </c>
    </row>
    <row r="55" spans="1:14" x14ac:dyDescent="0.25">
      <c r="A55" s="2" t="str">
        <f>A28</f>
        <v>[R] Tungsten carbide (WC) production</v>
      </c>
      <c r="B55" s="2" t="str">
        <f t="shared" ref="B55:C55" si="2">B28</f>
        <v>WC</v>
      </c>
      <c r="C55" s="2" t="str">
        <f t="shared" si="2"/>
        <v>Europe</v>
      </c>
      <c r="D55" s="2">
        <v>1.0652883569096845</v>
      </c>
      <c r="E55" s="2" t="s">
        <v>6</v>
      </c>
      <c r="F55" s="4" t="s">
        <v>132</v>
      </c>
      <c r="G55" s="2" t="s">
        <v>25</v>
      </c>
    </row>
    <row r="56" spans="1:14" x14ac:dyDescent="0.25">
      <c r="A56" s="2" t="str">
        <f>A9</f>
        <v>[M+C+P] Tungsten trioxide (WO3) production</v>
      </c>
      <c r="B56" s="2" t="str">
        <f t="shared" ref="B56:C56" si="3">B9</f>
        <v>WO3</v>
      </c>
      <c r="C56" s="2" t="str">
        <f t="shared" si="3"/>
        <v>Europe</v>
      </c>
      <c r="D56" s="2">
        <v>1</v>
      </c>
      <c r="E56" s="2" t="s">
        <v>6</v>
      </c>
      <c r="F56" s="4" t="s">
        <v>132</v>
      </c>
      <c r="G56" s="2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9AAB-59D6-4231-A56B-907CDFECDB4A}">
  <sheetPr>
    <tabColor theme="8" tint="0.39997558519241921"/>
  </sheetPr>
  <dimension ref="A1:N108"/>
  <sheetViews>
    <sheetView zoomScaleNormal="100" workbookViewId="0"/>
  </sheetViews>
  <sheetFormatPr baseColWidth="10" defaultColWidth="8.7109375" defaultRowHeight="15" x14ac:dyDescent="0.25"/>
  <cols>
    <col min="1" max="1" width="69.28515625" style="12" customWidth="1"/>
    <col min="2" max="2" width="69.85546875" style="12" customWidth="1"/>
    <col min="3" max="3" width="25.85546875" style="12" bestFit="1" customWidth="1"/>
    <col min="4" max="5" width="12.7109375" style="12" bestFit="1" customWidth="1"/>
    <col min="6" max="6" width="19.7109375" style="12" bestFit="1" customWidth="1"/>
    <col min="7" max="7" width="13.28515625" style="12" bestFit="1" customWidth="1"/>
    <col min="8" max="8" width="10.28515625" style="12" bestFit="1" customWidth="1"/>
    <col min="9" max="9" width="15.5703125" style="12" bestFit="1" customWidth="1"/>
    <col min="10" max="10" width="17.7109375" style="12" bestFit="1" customWidth="1"/>
    <col min="11" max="11" width="3.5703125" style="12" bestFit="1" customWidth="1"/>
    <col min="12" max="12" width="5.42578125" style="12" bestFit="1" customWidth="1"/>
    <col min="13" max="13" width="9.5703125" style="12" bestFit="1" customWidth="1"/>
    <col min="14" max="14" width="9.7109375" style="12" bestFit="1" customWidth="1"/>
    <col min="15" max="16384" width="8.7109375" style="12"/>
  </cols>
  <sheetData>
    <row r="1" spans="1:14" x14ac:dyDescent="0.25">
      <c r="A1" s="11" t="s">
        <v>0</v>
      </c>
      <c r="B1" s="11" t="s">
        <v>172</v>
      </c>
    </row>
    <row r="2" spans="1:14" x14ac:dyDescent="0.25">
      <c r="A2" s="13" t="s">
        <v>1</v>
      </c>
      <c r="B2" s="12" t="s">
        <v>173</v>
      </c>
    </row>
    <row r="3" spans="1:14" x14ac:dyDescent="0.25">
      <c r="A3" s="13" t="s">
        <v>2</v>
      </c>
      <c r="B3" s="12" t="s">
        <v>157</v>
      </c>
    </row>
    <row r="4" spans="1:14" x14ac:dyDescent="0.25">
      <c r="A4" s="13" t="s">
        <v>4</v>
      </c>
      <c r="B4" s="12">
        <v>1</v>
      </c>
    </row>
    <row r="5" spans="1:14" x14ac:dyDescent="0.25">
      <c r="A5" s="13" t="s">
        <v>5</v>
      </c>
      <c r="B5" s="12" t="s">
        <v>6</v>
      </c>
    </row>
    <row r="6" spans="1:14" x14ac:dyDescent="0.25">
      <c r="A6" s="13" t="s">
        <v>7</v>
      </c>
      <c r="B6" s="14" t="s">
        <v>8</v>
      </c>
    </row>
    <row r="7" spans="1:14" x14ac:dyDescent="0.25">
      <c r="A7" s="13" t="s">
        <v>9</v>
      </c>
    </row>
    <row r="8" spans="1:14" x14ac:dyDescent="0.25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25">
      <c r="A9" s="12" t="str">
        <f>B1</f>
        <v>[P] Scrap oxidation</v>
      </c>
      <c r="B9" s="12" t="str">
        <f>B2</f>
        <v>Oxidized scrap</v>
      </c>
      <c r="C9" s="12" t="str">
        <f>B3</f>
        <v>Europe</v>
      </c>
      <c r="D9" s="12">
        <v>1</v>
      </c>
      <c r="E9" s="12" t="s">
        <v>6</v>
      </c>
      <c r="F9" s="15" t="s">
        <v>132</v>
      </c>
      <c r="G9" s="12" t="s">
        <v>20</v>
      </c>
    </row>
    <row r="10" spans="1:14" x14ac:dyDescent="0.25">
      <c r="A10" s="12" t="s">
        <v>174</v>
      </c>
      <c r="B10" s="12" t="s">
        <v>175</v>
      </c>
      <c r="C10" s="12" t="s">
        <v>158</v>
      </c>
      <c r="D10" s="12">
        <v>0.25315091723266886</v>
      </c>
      <c r="E10" s="12" t="s">
        <v>33</v>
      </c>
      <c r="F10" s="12" t="s">
        <v>24</v>
      </c>
      <c r="G10" s="12" t="s">
        <v>25</v>
      </c>
      <c r="J10" s="12" t="s">
        <v>176</v>
      </c>
    </row>
    <row r="11" spans="1:14" x14ac:dyDescent="0.25">
      <c r="A11" s="12" t="s">
        <v>177</v>
      </c>
      <c r="B11" s="12" t="s">
        <v>178</v>
      </c>
      <c r="C11" s="12" t="s">
        <v>158</v>
      </c>
      <c r="D11" s="12">
        <v>15.29988253062595</v>
      </c>
      <c r="E11" s="12" t="s">
        <v>113</v>
      </c>
      <c r="F11" s="12" t="s">
        <v>24</v>
      </c>
      <c r="G11" s="12" t="s">
        <v>25</v>
      </c>
      <c r="J11" s="12" t="s">
        <v>176</v>
      </c>
    </row>
    <row r="12" spans="1:14" x14ac:dyDescent="0.25">
      <c r="A12" s="12" t="s">
        <v>62</v>
      </c>
      <c r="B12" s="12" t="s">
        <v>63</v>
      </c>
      <c r="C12" s="12" t="s">
        <v>158</v>
      </c>
      <c r="D12" s="12">
        <v>0.30700552240308782</v>
      </c>
      <c r="E12" s="12" t="s">
        <v>64</v>
      </c>
      <c r="F12" s="12" t="s">
        <v>24</v>
      </c>
      <c r="G12" s="12" t="s">
        <v>25</v>
      </c>
      <c r="J12" s="12" t="s">
        <v>176</v>
      </c>
    </row>
    <row r="13" spans="1:14" x14ac:dyDescent="0.25">
      <c r="A13" s="12" t="s">
        <v>179</v>
      </c>
      <c r="D13" s="12">
        <v>0.1683168316831683</v>
      </c>
      <c r="E13" s="12" t="s">
        <v>6</v>
      </c>
      <c r="F13" s="12" t="s">
        <v>69</v>
      </c>
      <c r="G13" s="12" t="s">
        <v>70</v>
      </c>
      <c r="H13" s="12" t="s">
        <v>134</v>
      </c>
      <c r="J13" s="12" t="s">
        <v>176</v>
      </c>
    </row>
    <row r="14" spans="1:14" x14ac:dyDescent="0.25">
      <c r="A14" s="12" t="s">
        <v>180</v>
      </c>
      <c r="D14" s="12">
        <v>1.8998993119650951</v>
      </c>
      <c r="E14" s="12" t="s">
        <v>6</v>
      </c>
      <c r="F14" s="12" t="s">
        <v>69</v>
      </c>
      <c r="G14" s="12" t="s">
        <v>70</v>
      </c>
      <c r="H14" s="12" t="s">
        <v>134</v>
      </c>
      <c r="J14" s="12" t="s">
        <v>176</v>
      </c>
    </row>
    <row r="15" spans="1:14" x14ac:dyDescent="0.25">
      <c r="A15" s="12" t="s">
        <v>133</v>
      </c>
      <c r="D15" s="12">
        <v>0.1737707669071992</v>
      </c>
      <c r="E15" s="12" t="s">
        <v>6</v>
      </c>
      <c r="F15" s="12" t="s">
        <v>69</v>
      </c>
      <c r="G15" s="12" t="s">
        <v>70</v>
      </c>
      <c r="H15" s="12" t="s">
        <v>134</v>
      </c>
      <c r="J15" s="12" t="s">
        <v>176</v>
      </c>
    </row>
    <row r="16" spans="1:14" s="16" customFormat="1" x14ac:dyDescent="0.25"/>
    <row r="17" spans="1:14" x14ac:dyDescent="0.25">
      <c r="A17" s="11" t="s">
        <v>0</v>
      </c>
      <c r="B17" s="11" t="s">
        <v>181</v>
      </c>
    </row>
    <row r="18" spans="1:14" x14ac:dyDescent="0.25">
      <c r="A18" s="13" t="s">
        <v>1</v>
      </c>
      <c r="B18" s="12" t="s">
        <v>182</v>
      </c>
    </row>
    <row r="19" spans="1:14" x14ac:dyDescent="0.25">
      <c r="A19" s="13" t="s">
        <v>2</v>
      </c>
      <c r="B19" s="12" t="s">
        <v>157</v>
      </c>
    </row>
    <row r="20" spans="1:14" x14ac:dyDescent="0.25">
      <c r="A20" s="13" t="s">
        <v>4</v>
      </c>
      <c r="B20" s="12">
        <v>1</v>
      </c>
    </row>
    <row r="21" spans="1:14" x14ac:dyDescent="0.25">
      <c r="A21" s="13" t="s">
        <v>5</v>
      </c>
      <c r="B21" s="12" t="s">
        <v>6</v>
      </c>
    </row>
    <row r="22" spans="1:14" ht="30" x14ac:dyDescent="0.25">
      <c r="A22" s="13" t="s">
        <v>7</v>
      </c>
      <c r="B22" s="19" t="s">
        <v>218</v>
      </c>
    </row>
    <row r="23" spans="1:14" x14ac:dyDescent="0.25">
      <c r="A23" s="13" t="s">
        <v>9</v>
      </c>
    </row>
    <row r="24" spans="1:14" x14ac:dyDescent="0.25">
      <c r="A24" s="11" t="s">
        <v>10</v>
      </c>
      <c r="B24" s="11" t="s">
        <v>1</v>
      </c>
      <c r="C24" s="11" t="s">
        <v>2</v>
      </c>
      <c r="D24" s="11" t="s">
        <v>4</v>
      </c>
      <c r="E24" s="11" t="s">
        <v>5</v>
      </c>
      <c r="F24" s="11" t="s">
        <v>11</v>
      </c>
      <c r="G24" s="11" t="s">
        <v>12</v>
      </c>
      <c r="H24" s="11" t="s">
        <v>13</v>
      </c>
      <c r="I24" s="11" t="s">
        <v>14</v>
      </c>
      <c r="J24" s="11" t="s">
        <v>15</v>
      </c>
      <c r="K24" s="11" t="s">
        <v>16</v>
      </c>
      <c r="L24" s="11" t="s">
        <v>17</v>
      </c>
      <c r="M24" s="11" t="s">
        <v>18</v>
      </c>
      <c r="N24" s="11" t="s">
        <v>19</v>
      </c>
    </row>
    <row r="25" spans="1:14" x14ac:dyDescent="0.25">
      <c r="A25" s="12" t="str">
        <f>B17</f>
        <v>[P] Alkali leaching</v>
      </c>
      <c r="B25" s="12" t="str">
        <f>B18</f>
        <v>W solution</v>
      </c>
      <c r="C25" s="12" t="str">
        <f>B19</f>
        <v>Europe</v>
      </c>
      <c r="D25" s="12">
        <v>1</v>
      </c>
      <c r="E25" s="12" t="s">
        <v>6</v>
      </c>
      <c r="F25" s="15" t="s">
        <v>132</v>
      </c>
      <c r="G25" s="12" t="s">
        <v>20</v>
      </c>
    </row>
    <row r="26" spans="1:14" x14ac:dyDescent="0.25">
      <c r="A26" s="12" t="s">
        <v>183</v>
      </c>
      <c r="B26" s="12" t="s">
        <v>61</v>
      </c>
      <c r="C26" s="12" t="s">
        <v>158</v>
      </c>
      <c r="D26" s="17">
        <v>0.35982478966729015</v>
      </c>
      <c r="E26" s="12" t="s">
        <v>6</v>
      </c>
      <c r="F26" s="12" t="s">
        <v>24</v>
      </c>
      <c r="G26" s="12" t="s">
        <v>25</v>
      </c>
      <c r="J26" s="12" t="s">
        <v>176</v>
      </c>
    </row>
    <row r="27" spans="1:14" x14ac:dyDescent="0.25">
      <c r="A27" s="12" t="s">
        <v>44</v>
      </c>
      <c r="B27" s="12" t="s">
        <v>45</v>
      </c>
      <c r="C27" s="12" t="s">
        <v>158</v>
      </c>
      <c r="D27" s="17">
        <v>0.16266052135644624</v>
      </c>
      <c r="E27" s="12" t="s">
        <v>6</v>
      </c>
      <c r="F27" s="12" t="s">
        <v>24</v>
      </c>
      <c r="G27" s="12" t="s">
        <v>25</v>
      </c>
      <c r="J27" s="12" t="s">
        <v>176</v>
      </c>
    </row>
    <row r="28" spans="1:14" x14ac:dyDescent="0.25">
      <c r="A28" s="12" t="s">
        <v>62</v>
      </c>
      <c r="B28" s="12" t="s">
        <v>63</v>
      </c>
      <c r="C28" s="12" t="s">
        <v>158</v>
      </c>
      <c r="D28" s="17">
        <v>8.6798817188637356E-2</v>
      </c>
      <c r="E28" s="12" t="s">
        <v>64</v>
      </c>
      <c r="F28" s="12" t="s">
        <v>24</v>
      </c>
      <c r="G28" s="12" t="s">
        <v>25</v>
      </c>
      <c r="J28" s="12" t="s">
        <v>176</v>
      </c>
    </row>
    <row r="29" spans="1:14" x14ac:dyDescent="0.25">
      <c r="A29" s="12" t="s">
        <v>184</v>
      </c>
      <c r="D29" s="17">
        <v>3.7839607049555895E-5</v>
      </c>
      <c r="E29" s="12" t="s">
        <v>33</v>
      </c>
      <c r="F29" s="12" t="s">
        <v>69</v>
      </c>
      <c r="G29" s="12" t="s">
        <v>70</v>
      </c>
      <c r="H29" s="12" t="s">
        <v>134</v>
      </c>
      <c r="J29" s="12" t="s">
        <v>176</v>
      </c>
    </row>
    <row r="30" spans="1:14" s="16" customFormat="1" x14ac:dyDescent="0.25"/>
    <row r="31" spans="1:14" x14ac:dyDescent="0.25">
      <c r="A31" s="11" t="s">
        <v>0</v>
      </c>
      <c r="B31" s="11" t="s">
        <v>185</v>
      </c>
    </row>
    <row r="32" spans="1:14" x14ac:dyDescent="0.25">
      <c r="A32" s="13" t="s">
        <v>1</v>
      </c>
      <c r="B32" s="12" t="s">
        <v>182</v>
      </c>
    </row>
    <row r="33" spans="1:14" x14ac:dyDescent="0.25">
      <c r="A33" s="13" t="s">
        <v>2</v>
      </c>
      <c r="B33" s="12" t="s">
        <v>157</v>
      </c>
    </row>
    <row r="34" spans="1:14" x14ac:dyDescent="0.25">
      <c r="A34" s="13" t="s">
        <v>4</v>
      </c>
      <c r="B34" s="12">
        <v>1</v>
      </c>
    </row>
    <row r="35" spans="1:14" x14ac:dyDescent="0.25">
      <c r="A35" s="13" t="s">
        <v>5</v>
      </c>
      <c r="B35" s="12" t="s">
        <v>6</v>
      </c>
    </row>
    <row r="36" spans="1:14" x14ac:dyDescent="0.25">
      <c r="A36" s="13" t="s">
        <v>7</v>
      </c>
      <c r="B36" s="14" t="s">
        <v>8</v>
      </c>
    </row>
    <row r="37" spans="1:14" x14ac:dyDescent="0.25">
      <c r="A37" s="13" t="s">
        <v>9</v>
      </c>
    </row>
    <row r="38" spans="1:14" x14ac:dyDescent="0.25">
      <c r="A38" s="11" t="s">
        <v>10</v>
      </c>
      <c r="B38" s="11" t="s">
        <v>1</v>
      </c>
      <c r="C38" s="11" t="s">
        <v>2</v>
      </c>
      <c r="D38" s="11" t="s">
        <v>4</v>
      </c>
      <c r="E38" s="11" t="s">
        <v>5</v>
      </c>
      <c r="F38" s="11" t="s">
        <v>11</v>
      </c>
      <c r="G38" s="11" t="s">
        <v>12</v>
      </c>
      <c r="H38" s="11" t="s">
        <v>13</v>
      </c>
      <c r="I38" s="11" t="s">
        <v>14</v>
      </c>
      <c r="J38" s="11" t="s">
        <v>15</v>
      </c>
      <c r="K38" s="11" t="s">
        <v>16</v>
      </c>
      <c r="L38" s="11" t="s">
        <v>17</v>
      </c>
      <c r="M38" s="11" t="s">
        <v>18</v>
      </c>
      <c r="N38" s="11" t="s">
        <v>19</v>
      </c>
    </row>
    <row r="39" spans="1:14" x14ac:dyDescent="0.25">
      <c r="A39" s="12" t="str">
        <f>B31</f>
        <v>[P] Tunsgten (W) solution purification</v>
      </c>
      <c r="B39" s="12" t="str">
        <f>B32</f>
        <v>W solution</v>
      </c>
      <c r="C39" s="12" t="str">
        <f>B33</f>
        <v>Europe</v>
      </c>
      <c r="D39" s="12">
        <v>1</v>
      </c>
      <c r="E39" s="12" t="s">
        <v>6</v>
      </c>
      <c r="F39" s="15" t="s">
        <v>132</v>
      </c>
      <c r="G39" s="12" t="s">
        <v>20</v>
      </c>
    </row>
    <row r="40" spans="1:14" x14ac:dyDescent="0.25">
      <c r="A40" s="12" t="s">
        <v>186</v>
      </c>
      <c r="B40" s="12" t="s">
        <v>187</v>
      </c>
      <c r="C40" s="12" t="s">
        <v>23</v>
      </c>
      <c r="D40" s="12">
        <v>3.2310469314079417E-2</v>
      </c>
      <c r="E40" s="12" t="s">
        <v>6</v>
      </c>
      <c r="F40" s="12" t="s">
        <v>24</v>
      </c>
      <c r="G40" s="12" t="s">
        <v>25</v>
      </c>
      <c r="J40" s="12" t="s">
        <v>176</v>
      </c>
    </row>
    <row r="41" spans="1:14" x14ac:dyDescent="0.25">
      <c r="A41" s="12" t="s">
        <v>188</v>
      </c>
      <c r="B41" s="12" t="s">
        <v>189</v>
      </c>
      <c r="C41" s="12" t="s">
        <v>23</v>
      </c>
      <c r="D41" s="12">
        <v>8.0595667870036095E-2</v>
      </c>
      <c r="E41" s="12" t="s">
        <v>6</v>
      </c>
      <c r="F41" s="12" t="s">
        <v>24</v>
      </c>
      <c r="G41" s="12" t="s">
        <v>25</v>
      </c>
      <c r="J41" s="12" t="s">
        <v>176</v>
      </c>
    </row>
    <row r="42" spans="1:14" x14ac:dyDescent="0.25">
      <c r="A42" s="12" t="s">
        <v>83</v>
      </c>
      <c r="B42" s="12" t="s">
        <v>84</v>
      </c>
      <c r="C42" s="12" t="s">
        <v>158</v>
      </c>
      <c r="D42" s="12">
        <v>0.1129061371841155</v>
      </c>
      <c r="E42" s="12" t="s">
        <v>6</v>
      </c>
      <c r="F42" s="12" t="s">
        <v>24</v>
      </c>
      <c r="G42" s="12" t="s">
        <v>25</v>
      </c>
      <c r="J42" s="12" t="s">
        <v>176</v>
      </c>
    </row>
    <row r="43" spans="1:14" x14ac:dyDescent="0.25">
      <c r="A43" s="12" t="s">
        <v>183</v>
      </c>
      <c r="B43" s="12" t="s">
        <v>61</v>
      </c>
      <c r="C43" s="12" t="s">
        <v>158</v>
      </c>
      <c r="D43" s="12">
        <v>2.2563176895306859E-3</v>
      </c>
      <c r="E43" s="12" t="s">
        <v>6</v>
      </c>
      <c r="F43" s="12" t="s">
        <v>24</v>
      </c>
      <c r="G43" s="12" t="s">
        <v>25</v>
      </c>
      <c r="J43" s="12" t="s">
        <v>176</v>
      </c>
    </row>
    <row r="44" spans="1:14" x14ac:dyDescent="0.25">
      <c r="A44" s="12" t="s">
        <v>62</v>
      </c>
      <c r="B44" s="12" t="s">
        <v>63</v>
      </c>
      <c r="C44" s="12" t="s">
        <v>158</v>
      </c>
      <c r="D44" s="12">
        <v>7.603796696750903E-2</v>
      </c>
      <c r="E44" s="12" t="s">
        <v>64</v>
      </c>
      <c r="F44" s="12" t="s">
        <v>24</v>
      </c>
      <c r="G44" s="12" t="s">
        <v>25</v>
      </c>
      <c r="J44" s="12" t="s">
        <v>176</v>
      </c>
    </row>
    <row r="45" spans="1:14" x14ac:dyDescent="0.25">
      <c r="A45" s="12" t="s">
        <v>103</v>
      </c>
      <c r="B45" s="12" t="s">
        <v>104</v>
      </c>
      <c r="C45" s="12" t="s">
        <v>32</v>
      </c>
      <c r="D45" s="12">
        <v>-2.0306859205776171E-3</v>
      </c>
      <c r="E45" s="12" t="s">
        <v>6</v>
      </c>
      <c r="F45" s="12" t="s">
        <v>24</v>
      </c>
      <c r="G45" s="12" t="s">
        <v>25</v>
      </c>
      <c r="J45" s="12" t="s">
        <v>176</v>
      </c>
    </row>
    <row r="46" spans="1:14" s="16" customFormat="1" x14ac:dyDescent="0.25"/>
    <row r="47" spans="1:14" x14ac:dyDescent="0.25">
      <c r="A47" s="11" t="s">
        <v>0</v>
      </c>
      <c r="B47" s="11" t="s">
        <v>190</v>
      </c>
    </row>
    <row r="48" spans="1:14" x14ac:dyDescent="0.25">
      <c r="A48" s="13" t="s">
        <v>1</v>
      </c>
      <c r="B48" s="12" t="s">
        <v>136</v>
      </c>
    </row>
    <row r="49" spans="1:14" x14ac:dyDescent="0.25">
      <c r="A49" s="13" t="s">
        <v>2</v>
      </c>
      <c r="B49" s="12" t="s">
        <v>157</v>
      </c>
    </row>
    <row r="50" spans="1:14" x14ac:dyDescent="0.25">
      <c r="A50" s="13" t="s">
        <v>4</v>
      </c>
      <c r="B50" s="12">
        <v>1</v>
      </c>
    </row>
    <row r="51" spans="1:14" x14ac:dyDescent="0.25">
      <c r="A51" s="13" t="s">
        <v>5</v>
      </c>
      <c r="B51" s="12" t="s">
        <v>6</v>
      </c>
    </row>
    <row r="52" spans="1:14" x14ac:dyDescent="0.25">
      <c r="A52" s="13" t="s">
        <v>7</v>
      </c>
      <c r="B52" s="14" t="s">
        <v>8</v>
      </c>
    </row>
    <row r="53" spans="1:14" x14ac:dyDescent="0.25">
      <c r="A53" s="13" t="s">
        <v>9</v>
      </c>
    </row>
    <row r="54" spans="1:14" x14ac:dyDescent="0.25">
      <c r="A54" s="11" t="s">
        <v>10</v>
      </c>
      <c r="B54" s="11" t="s">
        <v>1</v>
      </c>
      <c r="C54" s="11" t="s">
        <v>2</v>
      </c>
      <c r="D54" s="11" t="s">
        <v>4</v>
      </c>
      <c r="E54" s="11" t="s">
        <v>5</v>
      </c>
      <c r="F54" s="11" t="s">
        <v>11</v>
      </c>
      <c r="G54" s="11" t="s">
        <v>12</v>
      </c>
      <c r="H54" s="11" t="s">
        <v>13</v>
      </c>
      <c r="I54" s="11" t="s">
        <v>14</v>
      </c>
      <c r="J54" s="11" t="s">
        <v>15</v>
      </c>
      <c r="K54" s="11" t="s">
        <v>16</v>
      </c>
      <c r="L54" s="11" t="s">
        <v>17</v>
      </c>
      <c r="M54" s="11" t="s">
        <v>18</v>
      </c>
      <c r="N54" s="11" t="s">
        <v>19</v>
      </c>
    </row>
    <row r="55" spans="1:14" x14ac:dyDescent="0.25">
      <c r="A55" s="12" t="str">
        <f>B47</f>
        <v>[P] W SX and crystallization</v>
      </c>
      <c r="B55" s="12" t="str">
        <f>B48</f>
        <v>APT</v>
      </c>
      <c r="C55" s="12" t="str">
        <f>B49</f>
        <v>Europe</v>
      </c>
      <c r="D55" s="12">
        <v>1</v>
      </c>
      <c r="E55" s="12" t="s">
        <v>6</v>
      </c>
      <c r="F55" s="15" t="s">
        <v>132</v>
      </c>
      <c r="G55" s="12" t="s">
        <v>20</v>
      </c>
    </row>
    <row r="56" spans="1:14" x14ac:dyDescent="0.25">
      <c r="A56" s="12" t="s">
        <v>83</v>
      </c>
      <c r="B56" s="12" t="s">
        <v>84</v>
      </c>
      <c r="C56" s="12" t="s">
        <v>158</v>
      </c>
      <c r="D56" s="12">
        <v>0.39720641489912051</v>
      </c>
      <c r="E56" s="12" t="s">
        <v>6</v>
      </c>
      <c r="F56" s="12" t="s">
        <v>24</v>
      </c>
      <c r="G56" s="12" t="s">
        <v>25</v>
      </c>
      <c r="J56" s="12" t="s">
        <v>176</v>
      </c>
    </row>
    <row r="57" spans="1:14" x14ac:dyDescent="0.25">
      <c r="A57" s="12" t="s">
        <v>183</v>
      </c>
      <c r="B57" s="12" t="s">
        <v>61</v>
      </c>
      <c r="C57" s="12" t="s">
        <v>158</v>
      </c>
      <c r="D57" s="12">
        <v>10.615312984997409</v>
      </c>
      <c r="E57" s="12" t="s">
        <v>6</v>
      </c>
      <c r="F57" s="12" t="s">
        <v>24</v>
      </c>
      <c r="G57" s="12" t="s">
        <v>25</v>
      </c>
      <c r="J57" s="12" t="s">
        <v>176</v>
      </c>
    </row>
    <row r="58" spans="1:14" x14ac:dyDescent="0.25">
      <c r="A58" s="12" t="s">
        <v>188</v>
      </c>
      <c r="B58" s="12" t="s">
        <v>189</v>
      </c>
      <c r="C58" s="12" t="s">
        <v>23</v>
      </c>
      <c r="D58" s="12">
        <v>0.44107604759441282</v>
      </c>
      <c r="E58" s="12" t="s">
        <v>6</v>
      </c>
      <c r="F58" s="12" t="s">
        <v>24</v>
      </c>
      <c r="G58" s="12" t="s">
        <v>25</v>
      </c>
      <c r="J58" s="12" t="s">
        <v>176</v>
      </c>
    </row>
    <row r="59" spans="1:14" x14ac:dyDescent="0.25">
      <c r="A59" s="12" t="s">
        <v>62</v>
      </c>
      <c r="B59" s="12" t="s">
        <v>63</v>
      </c>
      <c r="C59" s="12" t="s">
        <v>158</v>
      </c>
      <c r="D59" s="12">
        <v>1.3177569891360581</v>
      </c>
      <c r="E59" s="12" t="s">
        <v>64</v>
      </c>
      <c r="F59" s="12" t="s">
        <v>24</v>
      </c>
      <c r="G59" s="12" t="s">
        <v>25</v>
      </c>
      <c r="J59" s="12" t="s">
        <v>176</v>
      </c>
    </row>
    <row r="60" spans="1:14" x14ac:dyDescent="0.25">
      <c r="A60" s="12" t="s">
        <v>192</v>
      </c>
      <c r="B60" s="12" t="s">
        <v>193</v>
      </c>
      <c r="C60" s="12" t="s">
        <v>157</v>
      </c>
      <c r="D60" s="12">
        <v>-9.6630108639420591</v>
      </c>
      <c r="E60" s="12" t="s">
        <v>33</v>
      </c>
      <c r="F60" s="15" t="s">
        <v>132</v>
      </c>
      <c r="G60" s="12" t="s">
        <v>25</v>
      </c>
      <c r="J60" s="12" t="s">
        <v>176</v>
      </c>
    </row>
    <row r="61" spans="1:14" x14ac:dyDescent="0.25">
      <c r="A61" s="12" t="s">
        <v>184</v>
      </c>
      <c r="D61" s="12">
        <v>2.929436109674082E-3</v>
      </c>
      <c r="E61" s="12" t="s">
        <v>33</v>
      </c>
      <c r="F61" s="12" t="s">
        <v>69</v>
      </c>
      <c r="G61" s="12" t="s">
        <v>70</v>
      </c>
      <c r="H61" s="12" t="s">
        <v>134</v>
      </c>
      <c r="J61" s="12" t="s">
        <v>176</v>
      </c>
    </row>
    <row r="62" spans="1:14" x14ac:dyDescent="0.25">
      <c r="A62" s="12" t="s">
        <v>149</v>
      </c>
      <c r="D62" s="12">
        <v>2.969477496120021E-2</v>
      </c>
      <c r="E62" s="12" t="s">
        <v>6</v>
      </c>
      <c r="F62" s="12" t="s">
        <v>69</v>
      </c>
      <c r="G62" s="12" t="s">
        <v>70</v>
      </c>
      <c r="H62" s="12" t="s">
        <v>134</v>
      </c>
      <c r="J62" s="12" t="s">
        <v>176</v>
      </c>
    </row>
    <row r="63" spans="1:14" s="16" customFormat="1" x14ac:dyDescent="0.25"/>
    <row r="64" spans="1:14" x14ac:dyDescent="0.25">
      <c r="A64" s="11" t="s">
        <v>0</v>
      </c>
      <c r="B64" s="11" t="s">
        <v>192</v>
      </c>
    </row>
    <row r="65" spans="1:14" x14ac:dyDescent="0.25">
      <c r="A65" s="13" t="s">
        <v>1</v>
      </c>
      <c r="B65" s="12" t="s">
        <v>193</v>
      </c>
    </row>
    <row r="66" spans="1:14" x14ac:dyDescent="0.25">
      <c r="A66" s="13" t="s">
        <v>2</v>
      </c>
      <c r="B66" s="12" t="s">
        <v>157</v>
      </c>
    </row>
    <row r="67" spans="1:14" x14ac:dyDescent="0.25">
      <c r="A67" s="13" t="s">
        <v>4</v>
      </c>
      <c r="B67" s="12">
        <v>-1</v>
      </c>
    </row>
    <row r="68" spans="1:14" x14ac:dyDescent="0.25">
      <c r="A68" s="13" t="s">
        <v>5</v>
      </c>
      <c r="B68" s="12" t="s">
        <v>33</v>
      </c>
    </row>
    <row r="69" spans="1:14" x14ac:dyDescent="0.25">
      <c r="A69" s="13" t="s">
        <v>7</v>
      </c>
      <c r="B69" s="12" t="s">
        <v>8</v>
      </c>
    </row>
    <row r="70" spans="1:14" x14ac:dyDescent="0.25">
      <c r="A70" s="13" t="s">
        <v>9</v>
      </c>
    </row>
    <row r="71" spans="1:14" x14ac:dyDescent="0.25">
      <c r="A71" s="11" t="s">
        <v>10</v>
      </c>
      <c r="B71" s="11" t="s">
        <v>1</v>
      </c>
      <c r="C71" s="11" t="s">
        <v>2</v>
      </c>
      <c r="D71" s="11" t="s">
        <v>4</v>
      </c>
      <c r="E71" s="11" t="s">
        <v>5</v>
      </c>
      <c r="F71" s="11" t="s">
        <v>11</v>
      </c>
      <c r="G71" s="11" t="s">
        <v>12</v>
      </c>
      <c r="H71" s="11" t="s">
        <v>13</v>
      </c>
      <c r="I71" s="11" t="s">
        <v>14</v>
      </c>
      <c r="J71" s="11" t="s">
        <v>15</v>
      </c>
      <c r="K71" s="11" t="s">
        <v>16</v>
      </c>
      <c r="L71" s="11" t="s">
        <v>17</v>
      </c>
      <c r="M71" s="11" t="s">
        <v>18</v>
      </c>
      <c r="N71" s="11" t="s">
        <v>19</v>
      </c>
    </row>
    <row r="72" spans="1:14" x14ac:dyDescent="0.25">
      <c r="A72" s="12" t="str">
        <f>B64</f>
        <v>Effluent treatment</v>
      </c>
      <c r="B72" s="12" t="str">
        <f>B65</f>
        <v>Wastewater</v>
      </c>
      <c r="C72" s="12" t="str">
        <f>B66</f>
        <v>Europe</v>
      </c>
      <c r="D72" s="12">
        <v>-1</v>
      </c>
      <c r="E72" s="12" t="s">
        <v>33</v>
      </c>
      <c r="F72" s="15" t="s">
        <v>132</v>
      </c>
      <c r="G72" s="12" t="s">
        <v>20</v>
      </c>
    </row>
    <row r="73" spans="1:14" x14ac:dyDescent="0.25">
      <c r="A73" s="12" t="s">
        <v>194</v>
      </c>
      <c r="B73" s="12" t="s">
        <v>195</v>
      </c>
      <c r="C73" s="12" t="s">
        <v>23</v>
      </c>
      <c r="D73" s="12">
        <v>2.3407066542132718E-3</v>
      </c>
      <c r="E73" s="12" t="s">
        <v>6</v>
      </c>
      <c r="F73" s="12" t="s">
        <v>24</v>
      </c>
      <c r="G73" s="12" t="s">
        <v>25</v>
      </c>
      <c r="J73" s="12" t="s">
        <v>176</v>
      </c>
    </row>
    <row r="74" spans="1:14" x14ac:dyDescent="0.25">
      <c r="A74" s="12" t="s">
        <v>196</v>
      </c>
      <c r="B74" s="12" t="s">
        <v>197</v>
      </c>
      <c r="C74" s="12" t="s">
        <v>158</v>
      </c>
      <c r="D74" s="12">
        <v>7.8877827641980099E-3</v>
      </c>
      <c r="E74" s="12" t="s">
        <v>6</v>
      </c>
      <c r="F74" s="12" t="s">
        <v>24</v>
      </c>
      <c r="G74" s="12" t="s">
        <v>25</v>
      </c>
      <c r="J74" s="12" t="s">
        <v>176</v>
      </c>
    </row>
    <row r="75" spans="1:14" x14ac:dyDescent="0.25">
      <c r="A75" s="12" t="s">
        <v>83</v>
      </c>
      <c r="B75" s="12" t="s">
        <v>84</v>
      </c>
      <c r="C75" s="12" t="s">
        <v>158</v>
      </c>
      <c r="D75" s="12">
        <v>2.8082784700549011E-2</v>
      </c>
      <c r="E75" s="12" t="s">
        <v>6</v>
      </c>
      <c r="F75" s="12" t="s">
        <v>24</v>
      </c>
      <c r="G75" s="12" t="s">
        <v>25</v>
      </c>
      <c r="J75" s="12" t="s">
        <v>176</v>
      </c>
    </row>
    <row r="76" spans="1:14" x14ac:dyDescent="0.25">
      <c r="A76" s="12" t="s">
        <v>183</v>
      </c>
      <c r="B76" s="12" t="s">
        <v>61</v>
      </c>
      <c r="C76" s="12" t="s">
        <v>158</v>
      </c>
      <c r="D76" s="12">
        <v>0.18377110053078799</v>
      </c>
      <c r="E76" s="12" t="s">
        <v>6</v>
      </c>
      <c r="F76" s="12" t="s">
        <v>24</v>
      </c>
      <c r="G76" s="12" t="s">
        <v>25</v>
      </c>
      <c r="J76" s="12" t="s">
        <v>176</v>
      </c>
    </row>
    <row r="77" spans="1:14" x14ac:dyDescent="0.25">
      <c r="A77" s="12" t="s">
        <v>62</v>
      </c>
      <c r="B77" s="12" t="s">
        <v>63</v>
      </c>
      <c r="C77" s="12" t="s">
        <v>158</v>
      </c>
      <c r="D77" s="12">
        <v>4.1791360605508351E-2</v>
      </c>
      <c r="E77" s="12" t="s">
        <v>64</v>
      </c>
      <c r="F77" s="12" t="s">
        <v>24</v>
      </c>
      <c r="G77" s="12" t="s">
        <v>25</v>
      </c>
      <c r="J77" s="12" t="s">
        <v>176</v>
      </c>
    </row>
    <row r="78" spans="1:14" x14ac:dyDescent="0.25">
      <c r="A78" s="12" t="s">
        <v>34</v>
      </c>
      <c r="B78" s="12" t="s">
        <v>35</v>
      </c>
      <c r="C78" s="12" t="s">
        <v>191</v>
      </c>
      <c r="D78" s="12">
        <v>-9.6548169578786712E-4</v>
      </c>
      <c r="E78" s="12" t="s">
        <v>33</v>
      </c>
      <c r="F78" s="12" t="s">
        <v>24</v>
      </c>
      <c r="G78" s="12" t="s">
        <v>25</v>
      </c>
      <c r="J78" s="12" t="s">
        <v>176</v>
      </c>
    </row>
    <row r="79" spans="1:14" x14ac:dyDescent="0.25">
      <c r="A79" s="12" t="s">
        <v>103</v>
      </c>
      <c r="B79" s="12" t="s">
        <v>104</v>
      </c>
      <c r="C79" s="12" t="s">
        <v>32</v>
      </c>
      <c r="D79" s="12">
        <v>-0.12621021937717841</v>
      </c>
      <c r="E79" s="12" t="s">
        <v>6</v>
      </c>
      <c r="F79" s="12" t="s">
        <v>24</v>
      </c>
      <c r="G79" s="12" t="s">
        <v>25</v>
      </c>
      <c r="J79" s="12" t="s">
        <v>176</v>
      </c>
    </row>
    <row r="80" spans="1:14" x14ac:dyDescent="0.25">
      <c r="A80" s="12" t="s">
        <v>184</v>
      </c>
      <c r="D80" s="12">
        <v>7.2328405130191136E-6</v>
      </c>
      <c r="E80" s="12" t="s">
        <v>33</v>
      </c>
      <c r="F80" s="12" t="s">
        <v>69</v>
      </c>
      <c r="G80" s="12" t="s">
        <v>70</v>
      </c>
      <c r="H80" s="12" t="s">
        <v>134</v>
      </c>
      <c r="J80" s="12" t="s">
        <v>176</v>
      </c>
    </row>
    <row r="81" spans="1:14" s="18" customFormat="1" x14ac:dyDescent="0.25"/>
    <row r="82" spans="1:14" x14ac:dyDescent="0.25">
      <c r="A82" s="11" t="s">
        <v>0</v>
      </c>
      <c r="B82" s="11" t="s">
        <v>203</v>
      </c>
    </row>
    <row r="83" spans="1:14" x14ac:dyDescent="0.25">
      <c r="A83" s="13" t="s">
        <v>1</v>
      </c>
      <c r="B83" s="12" t="s">
        <v>136</v>
      </c>
    </row>
    <row r="84" spans="1:14" x14ac:dyDescent="0.25">
      <c r="A84" s="13" t="s">
        <v>2</v>
      </c>
      <c r="B84" s="12" t="s">
        <v>157</v>
      </c>
    </row>
    <row r="85" spans="1:14" x14ac:dyDescent="0.25">
      <c r="A85" s="13" t="s">
        <v>4</v>
      </c>
      <c r="B85" s="12">
        <v>1</v>
      </c>
    </row>
    <row r="86" spans="1:14" x14ac:dyDescent="0.25">
      <c r="A86" s="13" t="s">
        <v>5</v>
      </c>
      <c r="B86" s="12" t="s">
        <v>6</v>
      </c>
    </row>
    <row r="87" spans="1:14" x14ac:dyDescent="0.25">
      <c r="A87" s="13" t="s">
        <v>7</v>
      </c>
      <c r="B87" s="17" t="s">
        <v>219</v>
      </c>
    </row>
    <row r="88" spans="1:14" x14ac:dyDescent="0.25">
      <c r="A88" s="13" t="s">
        <v>9</v>
      </c>
    </row>
    <row r="89" spans="1:14" x14ac:dyDescent="0.25">
      <c r="A89" s="11" t="s">
        <v>10</v>
      </c>
      <c r="B89" s="11" t="s">
        <v>1</v>
      </c>
      <c r="C89" s="11" t="s">
        <v>2</v>
      </c>
      <c r="D89" s="11" t="s">
        <v>4</v>
      </c>
      <c r="E89" s="11" t="s">
        <v>5</v>
      </c>
      <c r="F89" s="11" t="s">
        <v>11</v>
      </c>
      <c r="G89" s="11" t="s">
        <v>12</v>
      </c>
      <c r="H89" s="11" t="s">
        <v>13</v>
      </c>
      <c r="I89" s="11" t="s">
        <v>14</v>
      </c>
      <c r="J89" s="11" t="s">
        <v>15</v>
      </c>
      <c r="K89" s="11" t="s">
        <v>16</v>
      </c>
      <c r="L89" s="11" t="s">
        <v>17</v>
      </c>
      <c r="M89" s="11" t="s">
        <v>18</v>
      </c>
      <c r="N89" s="11" t="s">
        <v>19</v>
      </c>
    </row>
    <row r="90" spans="1:14" x14ac:dyDescent="0.25">
      <c r="A90" s="12" t="s">
        <v>203</v>
      </c>
      <c r="B90" s="12" t="s">
        <v>136</v>
      </c>
      <c r="C90" s="12" t="s">
        <v>157</v>
      </c>
      <c r="D90" s="12">
        <v>1</v>
      </c>
      <c r="E90" s="12" t="s">
        <v>6</v>
      </c>
      <c r="F90" s="15" t="s">
        <v>132</v>
      </c>
      <c r="G90" s="12" t="s">
        <v>20</v>
      </c>
    </row>
    <row r="91" spans="1:14" x14ac:dyDescent="0.25">
      <c r="A91" s="12" t="s">
        <v>190</v>
      </c>
      <c r="B91" s="12" t="s">
        <v>136</v>
      </c>
      <c r="C91" s="12" t="s">
        <v>157</v>
      </c>
      <c r="D91" s="12">
        <f>1</f>
        <v>1</v>
      </c>
      <c r="E91" s="12" t="s">
        <v>6</v>
      </c>
      <c r="F91" s="15" t="s">
        <v>132</v>
      </c>
      <c r="G91" s="12" t="s">
        <v>25</v>
      </c>
    </row>
    <row r="92" spans="1:14" x14ac:dyDescent="0.25">
      <c r="A92" s="12" t="s">
        <v>185</v>
      </c>
      <c r="B92" s="12" t="s">
        <v>182</v>
      </c>
      <c r="C92" s="12" t="s">
        <v>157</v>
      </c>
      <c r="D92" s="12">
        <f>2216/966.5</f>
        <v>2.2928091050181068</v>
      </c>
      <c r="E92" s="12" t="s">
        <v>6</v>
      </c>
      <c r="F92" s="15" t="s">
        <v>132</v>
      </c>
      <c r="G92" s="12" t="s">
        <v>25</v>
      </c>
    </row>
    <row r="93" spans="1:14" x14ac:dyDescent="0.25">
      <c r="A93" s="12" t="s">
        <v>181</v>
      </c>
      <c r="B93" s="12" t="s">
        <v>182</v>
      </c>
      <c r="C93" s="12" t="s">
        <v>157</v>
      </c>
      <c r="D93" s="12">
        <f>1720/966.5</f>
        <v>1.7796171753750647</v>
      </c>
      <c r="E93" s="12" t="s">
        <v>6</v>
      </c>
      <c r="F93" s="15" t="s">
        <v>132</v>
      </c>
      <c r="G93" s="12" t="s">
        <v>25</v>
      </c>
    </row>
    <row r="94" spans="1:14" x14ac:dyDescent="0.25">
      <c r="A94" s="12" t="s">
        <v>172</v>
      </c>
      <c r="B94" s="12" t="s">
        <v>173</v>
      </c>
      <c r="C94" s="12" t="s">
        <v>157</v>
      </c>
      <c r="D94" s="17">
        <f>(1191.8/966.5)*(85.6/100)</f>
        <v>1.0555414381789963</v>
      </c>
      <c r="E94" s="12" t="s">
        <v>6</v>
      </c>
      <c r="F94" s="15" t="s">
        <v>132</v>
      </c>
      <c r="G94" s="12" t="s">
        <v>25</v>
      </c>
    </row>
    <row r="95" spans="1:14" s="18" customFormat="1" x14ac:dyDescent="0.25"/>
    <row r="96" spans="1:14" x14ac:dyDescent="0.25">
      <c r="A96" s="11" t="s">
        <v>0</v>
      </c>
      <c r="B96" s="11" t="s">
        <v>211</v>
      </c>
    </row>
    <row r="97" spans="1:14" x14ac:dyDescent="0.25">
      <c r="A97" s="13" t="s">
        <v>1</v>
      </c>
      <c r="B97" s="12" t="s">
        <v>209</v>
      </c>
    </row>
    <row r="98" spans="1:14" x14ac:dyDescent="0.25">
      <c r="A98" s="13" t="s">
        <v>2</v>
      </c>
      <c r="B98" s="12" t="s">
        <v>157</v>
      </c>
    </row>
    <row r="99" spans="1:14" x14ac:dyDescent="0.25">
      <c r="A99" s="13" t="s">
        <v>4</v>
      </c>
      <c r="B99" s="12">
        <v>1</v>
      </c>
    </row>
    <row r="100" spans="1:14" x14ac:dyDescent="0.25">
      <c r="A100" s="13" t="s">
        <v>5</v>
      </c>
      <c r="B100" s="12" t="s">
        <v>6</v>
      </c>
    </row>
    <row r="101" spans="1:14" ht="30" x14ac:dyDescent="0.25">
      <c r="A101" s="13" t="s">
        <v>7</v>
      </c>
      <c r="B101" s="19" t="s">
        <v>220</v>
      </c>
    </row>
    <row r="102" spans="1:14" x14ac:dyDescent="0.25">
      <c r="A102" s="13" t="s">
        <v>9</v>
      </c>
    </row>
    <row r="103" spans="1:14" x14ac:dyDescent="0.25">
      <c r="A103" s="11" t="s">
        <v>10</v>
      </c>
      <c r="B103" s="11" t="s">
        <v>1</v>
      </c>
      <c r="C103" s="11" t="s">
        <v>2</v>
      </c>
      <c r="D103" s="11" t="s">
        <v>4</v>
      </c>
      <c r="E103" s="11" t="s">
        <v>5</v>
      </c>
      <c r="F103" s="11" t="s">
        <v>11</v>
      </c>
      <c r="G103" s="11" t="s">
        <v>12</v>
      </c>
      <c r="H103" s="11" t="s">
        <v>13</v>
      </c>
      <c r="I103" s="11" t="s">
        <v>14</v>
      </c>
      <c r="J103" s="11" t="s">
        <v>15</v>
      </c>
      <c r="K103" s="11" t="s">
        <v>16</v>
      </c>
      <c r="L103" s="11" t="s">
        <v>17</v>
      </c>
      <c r="M103" s="11" t="s">
        <v>18</v>
      </c>
      <c r="N103" s="11" t="s">
        <v>19</v>
      </c>
    </row>
    <row r="104" spans="1:14" x14ac:dyDescent="0.25">
      <c r="A104" s="12" t="s">
        <v>211</v>
      </c>
      <c r="B104" s="12" t="s">
        <v>209</v>
      </c>
      <c r="C104" s="12" t="s">
        <v>157</v>
      </c>
      <c r="D104" s="12">
        <v>1</v>
      </c>
      <c r="E104" s="12" t="s">
        <v>6</v>
      </c>
      <c r="F104" s="15" t="s">
        <v>132</v>
      </c>
      <c r="G104" s="12" t="s">
        <v>20</v>
      </c>
    </row>
    <row r="105" spans="1:14" x14ac:dyDescent="0.25">
      <c r="A105" s="12" t="s">
        <v>190</v>
      </c>
      <c r="B105" s="12" t="s">
        <v>136</v>
      </c>
      <c r="C105" s="12" t="s">
        <v>157</v>
      </c>
      <c r="D105" s="12">
        <v>1.420257526296699</v>
      </c>
      <c r="E105" s="12" t="s">
        <v>6</v>
      </c>
      <c r="F105" s="15" t="s">
        <v>132</v>
      </c>
      <c r="G105" s="12" t="s">
        <v>25</v>
      </c>
    </row>
    <row r="106" spans="1:14" x14ac:dyDescent="0.25">
      <c r="A106" s="12" t="s">
        <v>185</v>
      </c>
      <c r="B106" s="12" t="s">
        <v>182</v>
      </c>
      <c r="C106" s="12" t="s">
        <v>157</v>
      </c>
      <c r="D106" s="12">
        <v>3.2563793877635647</v>
      </c>
      <c r="E106" s="12" t="s">
        <v>6</v>
      </c>
      <c r="F106" s="15" t="s">
        <v>132</v>
      </c>
      <c r="G106" s="12" t="s">
        <v>25</v>
      </c>
    </row>
    <row r="107" spans="1:14" x14ac:dyDescent="0.25">
      <c r="A107" s="12" t="s">
        <v>181</v>
      </c>
      <c r="B107" s="12" t="s">
        <v>182</v>
      </c>
      <c r="C107" s="12" t="s">
        <v>157</v>
      </c>
      <c r="D107" s="12">
        <v>2.5275146872533081</v>
      </c>
      <c r="E107" s="12" t="s">
        <v>6</v>
      </c>
      <c r="F107" s="15" t="s">
        <v>132</v>
      </c>
      <c r="G107" s="12" t="s">
        <v>25</v>
      </c>
    </row>
    <row r="108" spans="1:14" x14ac:dyDescent="0.25">
      <c r="A108" s="12" t="s">
        <v>172</v>
      </c>
      <c r="B108" s="12" t="s">
        <v>173</v>
      </c>
      <c r="C108" s="12" t="s">
        <v>157</v>
      </c>
      <c r="D108" s="17">
        <v>1.499788760000512</v>
      </c>
      <c r="E108" s="12" t="s">
        <v>6</v>
      </c>
      <c r="F108" s="15" t="s">
        <v>132</v>
      </c>
      <c r="G108" s="12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B86CE6-7A0B-4E78-B5C4-46E80AC64B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149CF1-D971-4DDA-9AD7-DC199947DBE4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3.xml><?xml version="1.0" encoding="utf-8"?>
<ds:datastoreItem xmlns:ds="http://schemas.openxmlformats.org/officeDocument/2006/customXml" ds:itemID="{35613930-7FF3-4F3A-BE18-EDD27E593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Note</vt:lpstr>
      <vt:lpstr>W_Market_GLO</vt:lpstr>
      <vt:lpstr>PR1_WC_CN</vt:lpstr>
      <vt:lpstr>PR2_WC_US</vt:lpstr>
      <vt:lpstr>PR3_WC_RER</vt:lpstr>
      <vt:lpstr>PR4_APT_Europe_Recycling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2025-06-24T14:13:40Z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