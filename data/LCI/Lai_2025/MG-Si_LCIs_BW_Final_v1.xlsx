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brgm365.sharepoint.com/sites/RPPEXIMPMET/Documents partages/General/P2/04_Data/04_Modelling/02_LCI modelling/Si_Silicon metal/"/>
    </mc:Choice>
  </mc:AlternateContent>
  <xr:revisionPtr revIDLastSave="264" documentId="8_{F98461B1-3DCE-4A0B-9F0F-EE039AC41C01}" xr6:coauthVersionLast="47" xr6:coauthVersionMax="47" xr10:uidLastSave="{53A8233F-BBDF-4310-9F4D-D90393F01EEB}"/>
  <bookViews>
    <workbookView xWindow="-120" yWindow="-120" windowWidth="29040" windowHeight="15840" tabRatio="850" activeTab="3" xr2:uid="{00000000-000D-0000-FFFF-FFFF00000000}"/>
  </bookViews>
  <sheets>
    <sheet name="Note" sheetId="1" r:id="rId1"/>
    <sheet name="MG-Si_Market_GLO" sheetId="7" r:id="rId2"/>
    <sheet name="PR1_MG-Si_CN_ThermalReduction" sheetId="2" r:id="rId3"/>
    <sheet name="PR2_MG-Si_NO_ThermalReduction" sheetId="3" r:id="rId4"/>
    <sheet name="PR3_Si_US_Drying" sheetId="4" r:id="rId5"/>
    <sheet name="PR4_Si_US_MagneticSeparation" sheetId="5" r:id="rId6"/>
    <sheet name="PR5_Si_US_Flot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7" l="1"/>
  <c r="C16" i="7"/>
  <c r="E16" i="7"/>
  <c r="F16" i="7"/>
  <c r="A16" i="7"/>
  <c r="B15" i="7"/>
  <c r="C15" i="7"/>
  <c r="E15" i="7"/>
  <c r="F15" i="7"/>
  <c r="A15" i="7"/>
  <c r="B14" i="7"/>
  <c r="C14" i="7"/>
  <c r="E14" i="7"/>
  <c r="F14" i="7"/>
  <c r="A14" i="7"/>
  <c r="B13" i="7"/>
  <c r="C13" i="7"/>
  <c r="E13" i="7"/>
  <c r="F13" i="7"/>
  <c r="A13" i="7"/>
  <c r="B12" i="7"/>
  <c r="C12" i="7"/>
  <c r="E12" i="7"/>
  <c r="F12" i="7"/>
  <c r="A12" i="7"/>
  <c r="E68" i="6"/>
  <c r="C66" i="6"/>
  <c r="B66" i="6"/>
  <c r="A66" i="6"/>
  <c r="F9" i="6"/>
  <c r="F68" i="6" s="1"/>
  <c r="C9" i="6"/>
  <c r="C68" i="6" s="1"/>
  <c r="B9" i="6"/>
  <c r="B68" i="6" s="1"/>
  <c r="A9" i="6"/>
  <c r="A68" i="6" s="1"/>
  <c r="E63" i="5"/>
  <c r="C61" i="5"/>
  <c r="B61" i="5"/>
  <c r="A61" i="5"/>
  <c r="F9" i="5"/>
  <c r="F63" i="5" s="1"/>
  <c r="C9" i="5"/>
  <c r="C63" i="5" s="1"/>
  <c r="B9" i="5"/>
  <c r="B63" i="5" s="1"/>
  <c r="A9" i="5"/>
  <c r="A63" i="5" s="1"/>
  <c r="E38" i="4"/>
  <c r="C36" i="4"/>
  <c r="B36" i="4"/>
  <c r="A36" i="4"/>
  <c r="F9" i="4"/>
  <c r="F38" i="4" s="1"/>
  <c r="C9" i="4"/>
  <c r="C38" i="4" s="1"/>
  <c r="B9" i="4"/>
  <c r="B38" i="4" s="1"/>
  <c r="A9" i="4"/>
  <c r="A38" i="4" s="1"/>
  <c r="F36" i="4" l="1"/>
  <c r="F61" i="5"/>
  <c r="F66" i="6"/>
  <c r="E61" i="3"/>
  <c r="C60" i="3"/>
  <c r="B60" i="3"/>
  <c r="A60" i="3"/>
  <c r="F9" i="3"/>
  <c r="F61" i="3" s="1"/>
  <c r="C9" i="3"/>
  <c r="C61" i="3" s="1"/>
  <c r="B9" i="3"/>
  <c r="B61" i="3" s="1"/>
  <c r="A9" i="3"/>
  <c r="A61" i="3" s="1"/>
  <c r="E66" i="2"/>
  <c r="E65" i="2"/>
  <c r="C64" i="2"/>
  <c r="B64" i="2"/>
  <c r="A64" i="2"/>
  <c r="C30" i="2"/>
  <c r="C65" i="2" s="1"/>
  <c r="B30" i="2"/>
  <c r="B65" i="2" s="1"/>
  <c r="A30" i="2"/>
  <c r="A65" i="2" s="1"/>
  <c r="F9" i="2"/>
  <c r="F30" i="2" s="1"/>
  <c r="C9" i="2"/>
  <c r="C66" i="2" s="1"/>
  <c r="B9" i="2"/>
  <c r="B66" i="2" s="1"/>
  <c r="A9" i="2"/>
  <c r="A66" i="2" s="1"/>
  <c r="F11" i="7"/>
  <c r="E11" i="7"/>
  <c r="C11" i="7"/>
  <c r="B11" i="7"/>
  <c r="A11" i="7"/>
  <c r="F60" i="3" l="1"/>
  <c r="F65" i="2"/>
  <c r="F64" i="2"/>
  <c r="F66" i="2"/>
</calcChain>
</file>

<file path=xl/sharedStrings.xml><?xml version="1.0" encoding="utf-8"?>
<sst xmlns="http://schemas.openxmlformats.org/spreadsheetml/2006/main" count="1597" uniqueCount="200">
  <si>
    <t>Activity</t>
  </si>
  <si>
    <t>reference product</t>
  </si>
  <si>
    <t>location</t>
  </si>
  <si>
    <t>amount</t>
  </si>
  <si>
    <t>unit</t>
  </si>
  <si>
    <t>cubic meter</t>
  </si>
  <si>
    <t>comment</t>
  </si>
  <si>
    <t>n/a</t>
  </si>
  <si>
    <t>Exchanges</t>
  </si>
  <si>
    <t>name</t>
  </si>
  <si>
    <t>database</t>
  </si>
  <si>
    <t>type</t>
  </si>
  <si>
    <t>categories</t>
  </si>
  <si>
    <t>uncertainty type</t>
  </si>
  <si>
    <t>pedigree</t>
  </si>
  <si>
    <t>loc</t>
  </si>
  <si>
    <t>scale</t>
  </si>
  <si>
    <t>minimum</t>
  </si>
  <si>
    <t>maximum</t>
  </si>
  <si>
    <t>production</t>
  </si>
  <si>
    <t>market group for electricity, medium voltage</t>
  </si>
  <si>
    <t>electricity, medium voltage</t>
  </si>
  <si>
    <t>CN</t>
  </si>
  <si>
    <t>kilowatt hour</t>
  </si>
  <si>
    <t>ecoinvent 3.10 cutoff</t>
  </si>
  <si>
    <t>technosphere</t>
  </si>
  <si>
    <t>(4,5,5,1,2)</t>
  </si>
  <si>
    <t>market for diesel, burned in building machine</t>
  </si>
  <si>
    <t>diesel, burned in building machine</t>
  </si>
  <si>
    <t>GLO</t>
  </si>
  <si>
    <t>megajoule</t>
  </si>
  <si>
    <t>market for explosive, tovex</t>
  </si>
  <si>
    <t>explosive, tovex</t>
  </si>
  <si>
    <t>kilogram</t>
  </si>
  <si>
    <t>market for non-sulfidic tailing, off-site</t>
  </si>
  <si>
    <t>non-sulfidic tailing, off-site</t>
  </si>
  <si>
    <t>Water, unspecified natural origin</t>
  </si>
  <si>
    <t>biosphere3</t>
  </si>
  <si>
    <t>biosphere</t>
  </si>
  <si>
    <t>natural resource::in ground</t>
  </si>
  <si>
    <t>Silicon</t>
  </si>
  <si>
    <t>Carbon monoxide, fossil</t>
  </si>
  <si>
    <t>air</t>
  </si>
  <si>
    <t>Sulfur dioxide</t>
  </si>
  <si>
    <t>Hydrogen sulfide</t>
  </si>
  <si>
    <t>Ammonia</t>
  </si>
  <si>
    <t>Particulate Matter, &gt; 2.5 um and &lt; 10um</t>
  </si>
  <si>
    <t>[P+R] Metal grade silicon (MG-Si) production</t>
  </si>
  <si>
    <t>MG-Si</t>
  </si>
  <si>
    <t>market for petroleum coke</t>
  </si>
  <si>
    <t>petroleum coke</t>
  </si>
  <si>
    <t>market for wood chips, wet, measured as dry mass</t>
  </si>
  <si>
    <t>wood chips, wet, measured as dry mass</t>
  </si>
  <si>
    <t>RoW</t>
  </si>
  <si>
    <t>market for graphite</t>
  </si>
  <si>
    <t>graphite</t>
  </si>
  <si>
    <t>market for anode, graphite, for Li-ion battery</t>
  </si>
  <si>
    <t>anode, graphite, for Li-ion battery</t>
  </si>
  <si>
    <t>market for charcoal</t>
  </si>
  <si>
    <t>charcoal</t>
  </si>
  <si>
    <t>market for hard coal</t>
  </si>
  <si>
    <t>hard coal</t>
  </si>
  <si>
    <t>market for coal tar</t>
  </si>
  <si>
    <t>coal tar</t>
  </si>
  <si>
    <t>market for wastewater, average</t>
  </si>
  <si>
    <t>wastewater, average</t>
  </si>
  <si>
    <t>market for inert waste, for final disposal</t>
  </si>
  <si>
    <t>inert waste, for final disposal</t>
  </si>
  <si>
    <t>market for slag from metallurgical grade silicon production</t>
  </si>
  <si>
    <t>slag from metallurgical grade silicon production</t>
  </si>
  <si>
    <t>Carbon dioxide, fossil</t>
  </si>
  <si>
    <t>Nitrogen oxides</t>
  </si>
  <si>
    <t>Hydrochloric acid</t>
  </si>
  <si>
    <t>BOD5, Biological Oxygen Demand</t>
  </si>
  <si>
    <t>water</t>
  </si>
  <si>
    <t>COD, Chemical Oxygen Demand</t>
  </si>
  <si>
    <t>Ammonium</t>
  </si>
  <si>
    <t>Suspended solids, unspecified</t>
  </si>
  <si>
    <t>Quartz mining and metal-grade Si production in China through Carbon Thermal reduction</t>
  </si>
  <si>
    <t>market for electricity, medium voltage</t>
  </si>
  <si>
    <t>NO</t>
  </si>
  <si>
    <t>(4,2.0,4.0,1.0,1.0)</t>
  </si>
  <si>
    <t>Europe without Switzerland</t>
  </si>
  <si>
    <t>market for coke</t>
  </si>
  <si>
    <t>coke</t>
  </si>
  <si>
    <t>market for silica sand</t>
  </si>
  <si>
    <t>silica sand</t>
  </si>
  <si>
    <t>market for oxygen, liquid</t>
  </si>
  <si>
    <t>oxygen, liquid</t>
  </si>
  <si>
    <t>RER</t>
  </si>
  <si>
    <t>(4,4.0,5.0,3.0,1.0)</t>
  </si>
  <si>
    <t>market for silicone factory</t>
  </si>
  <si>
    <t>silicone factory</t>
  </si>
  <si>
    <t>(4,2.0,4.0,1.0,3.0)</t>
  </si>
  <si>
    <t>market for transport, freight, sea, container ship</t>
  </si>
  <si>
    <t>transport, freight, sea, container ship</t>
  </si>
  <si>
    <t>ton kilometer</t>
  </si>
  <si>
    <t>market for transport, freight, lorry, unspecified</t>
  </si>
  <si>
    <t>transport, freight, lorry, unspecified</t>
  </si>
  <si>
    <t>market for transport, freight train</t>
  </si>
  <si>
    <t>transport, freight train</t>
  </si>
  <si>
    <t>Heat, waste</t>
  </si>
  <si>
    <t>air::low population density, long-term</t>
  </si>
  <si>
    <t>Arsenic ion</t>
  </si>
  <si>
    <t>Aluminium III</t>
  </si>
  <si>
    <t>Antimony ion</t>
  </si>
  <si>
    <t>Boron</t>
  </si>
  <si>
    <t>Cadmium II</t>
  </si>
  <si>
    <t>Carbon monoxide, non-fossil</t>
  </si>
  <si>
    <t>Carbon dioxide, non-fossil</t>
  </si>
  <si>
    <t>Chromium III</t>
  </si>
  <si>
    <t>Chlorine</t>
  </si>
  <si>
    <t>Cyanide</t>
  </si>
  <si>
    <t>Fluorine</t>
  </si>
  <si>
    <t>Hydrogen fluoride</t>
  </si>
  <si>
    <t>Iron ion</t>
  </si>
  <si>
    <t>Lead II</t>
  </si>
  <si>
    <t>Mercury II</t>
  </si>
  <si>
    <t>NMVOC, non-methane volatile organic compounds</t>
  </si>
  <si>
    <t>Particulate Matter, &gt; 10 um</t>
  </si>
  <si>
    <t>Potassium I</t>
  </si>
  <si>
    <t>Sodium</t>
  </si>
  <si>
    <t>Tin ion</t>
  </si>
  <si>
    <t>Metal-grade Si production in Norway</t>
  </si>
  <si>
    <t>[M+C] Silica sand production (High-quality)</t>
  </si>
  <si>
    <t>Silica sand</t>
  </si>
  <si>
    <t>US</t>
  </si>
  <si>
    <t>market for lubricating oil</t>
  </si>
  <si>
    <t>lubricating oil</t>
  </si>
  <si>
    <t>(4,4,5,1,2)</t>
  </si>
  <si>
    <t>market for steel, low-alloyed, hot rolled</t>
  </si>
  <si>
    <t>steel, low-alloyed, hot rolled</t>
  </si>
  <si>
    <t>market for mine infrastructure, open cast, non-ferrous metal</t>
  </si>
  <si>
    <t>mine infrastructure, open cast, non-ferrous metal</t>
  </si>
  <si>
    <t>market for light fuel oil</t>
  </si>
  <si>
    <t>light fuel oil</t>
  </si>
  <si>
    <t>market for synthetic rubber</t>
  </si>
  <si>
    <t>synthetic rubber</t>
  </si>
  <si>
    <t>market group for transport, freight, light commercial vehicle</t>
  </si>
  <si>
    <t>transport, freight, light commercial vehicle</t>
  </si>
  <si>
    <t>market for transport, freight, lorry 7.5-16 metric ton, EURO5</t>
  </si>
  <si>
    <t>transport, freight, lorry 7.5-16 metric ton, EURO5</t>
  </si>
  <si>
    <t>market for transport, freight, lorry 16-32 metric ton, EURO5</t>
  </si>
  <si>
    <t>transport, freight, lorry 16-32 metric ton, EURO5</t>
  </si>
  <si>
    <t>market for building, hall</t>
  </si>
  <si>
    <t>building, hall</t>
  </si>
  <si>
    <t>square meter</t>
  </si>
  <si>
    <t>market for conveyor belt</t>
  </si>
  <si>
    <t>conveyor belt</t>
  </si>
  <si>
    <t>meter</t>
  </si>
  <si>
    <t>market for industrial machine, heavy, unspecified</t>
  </si>
  <si>
    <t>industrial machine, heavy, unspecified</t>
  </si>
  <si>
    <t>market for heavy fuel oil, burned in refinery furnace</t>
  </si>
  <si>
    <t>heavy fuel oil, burned in refinery furnace</t>
  </si>
  <si>
    <t>Sand, unspecified</t>
  </si>
  <si>
    <t>Quartz mining and high-quality silica sand production in the US</t>
  </si>
  <si>
    <t>[M+C] Silica sand production - Magnetic separation</t>
  </si>
  <si>
    <t>market group for electricity, low voltage</t>
  </si>
  <si>
    <t>electricity, low voltage</t>
  </si>
  <si>
    <t>market for transport, freight, lorry 3.5-7.5 metric ton, EURO5</t>
  </si>
  <si>
    <t>transport, freight, lorry 3.5-7.5 metric ton, EURO5</t>
  </si>
  <si>
    <t>market for hydrogen fluoride</t>
  </si>
  <si>
    <t>hydrogen fluoride</t>
  </si>
  <si>
    <t>market for hydrochloric acid, without water, in 30% solution state</t>
  </si>
  <si>
    <t>hydrochloric acid, without water, in 30% solution state</t>
  </si>
  <si>
    <t>market for lime</t>
  </si>
  <si>
    <t>lime</t>
  </si>
  <si>
    <t>market for compressed air, 800 kPa gauge</t>
  </si>
  <si>
    <t>compressed air, 800 kPa gauge</t>
  </si>
  <si>
    <t>Transformation, from unspecified</t>
  </si>
  <si>
    <t>natural resource::land</t>
  </si>
  <si>
    <t>Transformation, to mineral extraction site</t>
  </si>
  <si>
    <t>Quartz mining and silica sand production in the US through magnetic separation</t>
  </si>
  <si>
    <t>[M+C] Silica sand production - Flotation</t>
  </si>
  <si>
    <t>market for sulfuric acid</t>
  </si>
  <si>
    <t>sulfuric acid</t>
  </si>
  <si>
    <t>market for tallow, unrefined</t>
  </si>
  <si>
    <t>tallow, unrefined</t>
  </si>
  <si>
    <t>market for fatty alcohol</t>
  </si>
  <si>
    <t>fatty alcohol</t>
  </si>
  <si>
    <t>Quartz mining and silica sand production in the US through flotation separation</t>
  </si>
  <si>
    <t>[M+C] Quartz mining</t>
  </si>
  <si>
    <t>Metal grade silicon (MG-Si) global market</t>
  </si>
  <si>
    <t>(4,5,4,1,3)</t>
  </si>
  <si>
    <t>An ecoinvent activity is here included to model the upstream silica sand mining.</t>
  </si>
  <si>
    <t>silicon production, metallurgical grade</t>
  </si>
  <si>
    <t>silicon, metallurgical grade</t>
  </si>
  <si>
    <t>An ecoinvent activity is here included to model the downstream silica sand refining to produce metal grade silicon. This ecoinvent activity shall be modified by removing the 'silica sand' input (so as to avoid double counting).</t>
  </si>
  <si>
    <t>skip</t>
  </si>
  <si>
    <t>Sheet</t>
  </si>
  <si>
    <t>Corresponding route</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</si>
  <si>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Alexander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Sustainable Systems Engineering (STEN), Department of Green Chemistry and Technology, Faculty of Bioscience Engineering, Ghent University, Coupure Links 653,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sz val="11"/>
        <color theme="1"/>
        <rFont val="Calibri"/>
        <family val="2"/>
        <scheme val="minor"/>
      </rPr>
      <t>This file provides all LCI datasets developed for</t>
    </r>
    <r>
      <rPr>
        <b/>
        <sz val="11"/>
        <color theme="1"/>
        <rFont val="Calibri"/>
        <family val="2"/>
        <scheme val="minor"/>
      </rPr>
      <t xml:space="preserve"> Metal grade Silicon (MG-Si)</t>
    </r>
    <r>
      <rPr>
        <sz val="11"/>
        <color theme="1"/>
        <rFont val="Calibri"/>
        <family val="2"/>
        <scheme val="minor"/>
      </rPr>
      <t>, with distinguishing its global market and each individual production route.</t>
    </r>
  </si>
  <si>
    <t>MG-Si global market</t>
  </si>
  <si>
    <t>MG-Si_Market_GLO</t>
  </si>
  <si>
    <t>PR1_MG-Si_CN_ThermalReduction</t>
  </si>
  <si>
    <t>PR2_MG-Si_NO_ThermalReduction</t>
  </si>
  <si>
    <t>PR3_Si_US_Drying</t>
  </si>
  <si>
    <t>PR4_Si_US_MagneticSeparation</t>
  </si>
  <si>
    <t>PR5_Si_US_Flotation</t>
  </si>
  <si>
    <t>Calcium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</si>
</sst>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ont>
    <font>
      <sz val="11"/>
      <color rgb="FFFF0000"/>
      <name val="Calibri"/>
      <family val="2"/>
      <scheme val="minor"/>
    </font>
    <font>
      <b/>
      <sz val="11"/>
      <color theme="1"/>
      <name val="Calibri"/>
      <family val="2"/>
      <scheme val="minor"/>
    </font>
    <font>
      <b/>
      <sz val="11"/>
      <name val="Calibri"/>
      <family val="2"/>
    </font>
    <font>
      <sz val="11"/>
      <color theme="8"/>
      <name val="Calibri"/>
      <family val="2"/>
      <scheme val="minor"/>
    </font>
    <font>
      <u/>
      <sz val="11"/>
      <color theme="10"/>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34">
    <xf numFmtId="0" fontId="0" fillId="0" borderId="0" xfId="0"/>
    <xf numFmtId="0" fontId="2" fillId="0" borderId="0" xfId="0" applyFont="1" applyAlignment="1">
      <alignment horizontal="left"/>
    </xf>
    <xf numFmtId="0" fontId="0" fillId="2" borderId="0" xfId="0" applyFill="1"/>
    <xf numFmtId="0" fontId="4" fillId="0" borderId="0" xfId="0" applyFont="1" applyAlignment="1">
      <alignment horizontal="left" vertical="top"/>
    </xf>
    <xf numFmtId="0" fontId="0" fillId="0" borderId="0" xfId="0" applyAlignment="1">
      <alignment horizontal="left"/>
    </xf>
    <xf numFmtId="0" fontId="3" fillId="0" borderId="0" xfId="0" applyFont="1" applyAlignment="1">
      <alignment horizontal="left"/>
    </xf>
    <xf numFmtId="0" fontId="0" fillId="0" borderId="0" xfId="0" applyAlignment="1">
      <alignment horizontal="left" vertical="center"/>
    </xf>
    <xf numFmtId="0" fontId="1"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0" fillId="3" borderId="0" xfId="0" applyFill="1" applyAlignment="1">
      <alignment horizontal="left"/>
    </xf>
    <xf numFmtId="0" fontId="0" fillId="2" borderId="0" xfId="0" applyFill="1" applyAlignment="1">
      <alignment horizontal="left"/>
    </xf>
    <xf numFmtId="0" fontId="5" fillId="0" borderId="0" xfId="0" applyFont="1" applyAlignment="1">
      <alignment horizontal="left" vertical="center" wrapText="1"/>
    </xf>
    <xf numFmtId="0" fontId="5" fillId="0" borderId="0" xfId="0" applyFont="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6" fillId="0" borderId="4" xfId="1" applyBorder="1" applyAlignment="1">
      <alignment horizontal="left" vertical="center"/>
    </xf>
    <xf numFmtId="0" fontId="0" fillId="0" borderId="0" xfId="0" applyAlignment="1">
      <alignment horizontal="center" vertical="center"/>
    </xf>
    <xf numFmtId="0" fontId="0" fillId="0" borderId="5" xfId="0" applyBorder="1" applyAlignment="1">
      <alignment horizontal="center" vertical="center"/>
    </xf>
    <xf numFmtId="0" fontId="6" fillId="0" borderId="6" xfId="1" applyBorder="1"/>
    <xf numFmtId="0" fontId="0" fillId="0" borderId="7" xfId="0" applyBorder="1"/>
    <xf numFmtId="0" fontId="0" fillId="0" borderId="8" xfId="0" applyBorder="1"/>
    <xf numFmtId="0" fontId="6" fillId="0" borderId="4" xfId="1" quotePrefix="1"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Q39"/>
  <sheetViews>
    <sheetView showGridLines="0" zoomScaleNormal="100" workbookViewId="0">
      <selection activeCell="B39" sqref="B39"/>
    </sheetView>
  </sheetViews>
  <sheetFormatPr baseColWidth="10" defaultRowHeight="15" x14ac:dyDescent="0.25"/>
  <cols>
    <col min="1" max="1" width="1.85546875" customWidth="1"/>
    <col min="2" max="2" width="31.85546875" bestFit="1" customWidth="1"/>
    <col min="3" max="3" width="11.42578125" customWidth="1"/>
  </cols>
  <sheetData>
    <row r="1" spans="1:17" ht="15.75" thickBot="1" x14ac:dyDescent="0.3">
      <c r="A1" t="s">
        <v>188</v>
      </c>
    </row>
    <row r="2" spans="1:17" ht="15" customHeight="1" x14ac:dyDescent="0.25">
      <c r="B2" s="25" t="s">
        <v>191</v>
      </c>
      <c r="C2" s="26"/>
      <c r="D2" s="26"/>
      <c r="E2" s="26"/>
      <c r="F2" s="26"/>
      <c r="G2" s="26"/>
      <c r="H2" s="26"/>
      <c r="I2" s="26"/>
      <c r="J2" s="26"/>
      <c r="K2" s="26"/>
      <c r="L2" s="26"/>
      <c r="M2" s="26"/>
      <c r="N2" s="26"/>
      <c r="O2" s="26"/>
      <c r="P2" s="26"/>
      <c r="Q2" s="27"/>
    </row>
    <row r="3" spans="1:17" x14ac:dyDescent="0.25">
      <c r="B3" s="28"/>
      <c r="C3" s="29"/>
      <c r="D3" s="29"/>
      <c r="E3" s="29"/>
      <c r="F3" s="29"/>
      <c r="G3" s="29"/>
      <c r="H3" s="29"/>
      <c r="I3" s="29"/>
      <c r="J3" s="29"/>
      <c r="K3" s="29"/>
      <c r="L3" s="29"/>
      <c r="M3" s="29"/>
      <c r="N3" s="29"/>
      <c r="O3" s="29"/>
      <c r="P3" s="29"/>
      <c r="Q3" s="30"/>
    </row>
    <row r="4" spans="1:17" x14ac:dyDescent="0.25">
      <c r="B4" s="28"/>
      <c r="C4" s="29"/>
      <c r="D4" s="29"/>
      <c r="E4" s="29"/>
      <c r="F4" s="29"/>
      <c r="G4" s="29"/>
      <c r="H4" s="29"/>
      <c r="I4" s="29"/>
      <c r="J4" s="29"/>
      <c r="K4" s="29"/>
      <c r="L4" s="29"/>
      <c r="M4" s="29"/>
      <c r="N4" s="29"/>
      <c r="O4" s="29"/>
      <c r="P4" s="29"/>
      <c r="Q4" s="30"/>
    </row>
    <row r="5" spans="1:17" x14ac:dyDescent="0.25">
      <c r="B5" s="28"/>
      <c r="C5" s="29"/>
      <c r="D5" s="29"/>
      <c r="E5" s="29"/>
      <c r="F5" s="29"/>
      <c r="G5" s="29"/>
      <c r="H5" s="29"/>
      <c r="I5" s="29"/>
      <c r="J5" s="29"/>
      <c r="K5" s="29"/>
      <c r="L5" s="29"/>
      <c r="M5" s="29"/>
      <c r="N5" s="29"/>
      <c r="O5" s="29"/>
      <c r="P5" s="29"/>
      <c r="Q5" s="30"/>
    </row>
    <row r="6" spans="1:17" x14ac:dyDescent="0.25">
      <c r="B6" s="28"/>
      <c r="C6" s="29"/>
      <c r="D6" s="29"/>
      <c r="E6" s="29"/>
      <c r="F6" s="29"/>
      <c r="G6" s="29"/>
      <c r="H6" s="29"/>
      <c r="I6" s="29"/>
      <c r="J6" s="29"/>
      <c r="K6" s="29"/>
      <c r="L6" s="29"/>
      <c r="M6" s="29"/>
      <c r="N6" s="29"/>
      <c r="O6" s="29"/>
      <c r="P6" s="29"/>
      <c r="Q6" s="30"/>
    </row>
    <row r="7" spans="1:17" x14ac:dyDescent="0.25">
      <c r="B7" s="28"/>
      <c r="C7" s="29"/>
      <c r="D7" s="29"/>
      <c r="E7" s="29"/>
      <c r="F7" s="29"/>
      <c r="G7" s="29"/>
      <c r="H7" s="29"/>
      <c r="I7" s="29"/>
      <c r="J7" s="29"/>
      <c r="K7" s="29"/>
      <c r="L7" s="29"/>
      <c r="M7" s="29"/>
      <c r="N7" s="29"/>
      <c r="O7" s="29"/>
      <c r="P7" s="29"/>
      <c r="Q7" s="30"/>
    </row>
    <row r="8" spans="1:17" x14ac:dyDescent="0.25">
      <c r="B8" s="28"/>
      <c r="C8" s="29"/>
      <c r="D8" s="29"/>
      <c r="E8" s="29"/>
      <c r="F8" s="29"/>
      <c r="G8" s="29"/>
      <c r="H8" s="29"/>
      <c r="I8" s="29"/>
      <c r="J8" s="29"/>
      <c r="K8" s="29"/>
      <c r="L8" s="29"/>
      <c r="M8" s="29"/>
      <c r="N8" s="29"/>
      <c r="O8" s="29"/>
      <c r="P8" s="29"/>
      <c r="Q8" s="30"/>
    </row>
    <row r="9" spans="1:17" x14ac:dyDescent="0.25">
      <c r="B9" s="28"/>
      <c r="C9" s="29"/>
      <c r="D9" s="29"/>
      <c r="E9" s="29"/>
      <c r="F9" s="29"/>
      <c r="G9" s="29"/>
      <c r="H9" s="29"/>
      <c r="I9" s="29"/>
      <c r="J9" s="29"/>
      <c r="K9" s="29"/>
      <c r="L9" s="29"/>
      <c r="M9" s="29"/>
      <c r="N9" s="29"/>
      <c r="O9" s="29"/>
      <c r="P9" s="29"/>
      <c r="Q9" s="30"/>
    </row>
    <row r="10" spans="1:17" x14ac:dyDescent="0.25">
      <c r="B10" s="28"/>
      <c r="C10" s="29"/>
      <c r="D10" s="29"/>
      <c r="E10" s="29"/>
      <c r="F10" s="29"/>
      <c r="G10" s="29"/>
      <c r="H10" s="29"/>
      <c r="I10" s="29"/>
      <c r="J10" s="29"/>
      <c r="K10" s="29"/>
      <c r="L10" s="29"/>
      <c r="M10" s="29"/>
      <c r="N10" s="29"/>
      <c r="O10" s="29"/>
      <c r="P10" s="29"/>
      <c r="Q10" s="30"/>
    </row>
    <row r="11" spans="1:17" x14ac:dyDescent="0.25">
      <c r="B11" s="28"/>
      <c r="C11" s="29"/>
      <c r="D11" s="29"/>
      <c r="E11" s="29"/>
      <c r="F11" s="29"/>
      <c r="G11" s="29"/>
      <c r="H11" s="29"/>
      <c r="I11" s="29"/>
      <c r="J11" s="29"/>
      <c r="K11" s="29"/>
      <c r="L11" s="29"/>
      <c r="M11" s="29"/>
      <c r="N11" s="29"/>
      <c r="O11" s="29"/>
      <c r="P11" s="29"/>
      <c r="Q11" s="30"/>
    </row>
    <row r="12" spans="1:17" x14ac:dyDescent="0.25">
      <c r="B12" s="28"/>
      <c r="C12" s="29"/>
      <c r="D12" s="29"/>
      <c r="E12" s="29"/>
      <c r="F12" s="29"/>
      <c r="G12" s="29"/>
      <c r="H12" s="29"/>
      <c r="I12" s="29"/>
      <c r="J12" s="29"/>
      <c r="K12" s="29"/>
      <c r="L12" s="29"/>
      <c r="M12" s="29"/>
      <c r="N12" s="29"/>
      <c r="O12" s="29"/>
      <c r="P12" s="29"/>
      <c r="Q12" s="30"/>
    </row>
    <row r="13" spans="1:17" x14ac:dyDescent="0.25">
      <c r="B13" s="28"/>
      <c r="C13" s="29"/>
      <c r="D13" s="29"/>
      <c r="E13" s="29"/>
      <c r="F13" s="29"/>
      <c r="G13" s="29"/>
      <c r="H13" s="29"/>
      <c r="I13" s="29"/>
      <c r="J13" s="29"/>
      <c r="K13" s="29"/>
      <c r="L13" s="29"/>
      <c r="M13" s="29"/>
      <c r="N13" s="29"/>
      <c r="O13" s="29"/>
      <c r="P13" s="29"/>
      <c r="Q13" s="30"/>
    </row>
    <row r="14" spans="1:17" x14ac:dyDescent="0.25">
      <c r="B14" s="28"/>
      <c r="C14" s="29"/>
      <c r="D14" s="29"/>
      <c r="E14" s="29"/>
      <c r="F14" s="29"/>
      <c r="G14" s="29"/>
      <c r="H14" s="29"/>
      <c r="I14" s="29"/>
      <c r="J14" s="29"/>
      <c r="K14" s="29"/>
      <c r="L14" s="29"/>
      <c r="M14" s="29"/>
      <c r="N14" s="29"/>
      <c r="O14" s="29"/>
      <c r="P14" s="29"/>
      <c r="Q14" s="30"/>
    </row>
    <row r="15" spans="1:17" x14ac:dyDescent="0.25">
      <c r="B15" s="28"/>
      <c r="C15" s="29"/>
      <c r="D15" s="29"/>
      <c r="E15" s="29"/>
      <c r="F15" s="29"/>
      <c r="G15" s="29"/>
      <c r="H15" s="29"/>
      <c r="I15" s="29"/>
      <c r="J15" s="29"/>
      <c r="K15" s="29"/>
      <c r="L15" s="29"/>
      <c r="M15" s="29"/>
      <c r="N15" s="29"/>
      <c r="O15" s="29"/>
      <c r="P15" s="29"/>
      <c r="Q15" s="30"/>
    </row>
    <row r="16" spans="1:17" x14ac:dyDescent="0.25">
      <c r="B16" s="28"/>
      <c r="C16" s="29"/>
      <c r="D16" s="29"/>
      <c r="E16" s="29"/>
      <c r="F16" s="29"/>
      <c r="G16" s="29"/>
      <c r="H16" s="29"/>
      <c r="I16" s="29"/>
      <c r="J16" s="29"/>
      <c r="K16" s="29"/>
      <c r="L16" s="29"/>
      <c r="M16" s="29"/>
      <c r="N16" s="29"/>
      <c r="O16" s="29"/>
      <c r="P16" s="29"/>
      <c r="Q16" s="30"/>
    </row>
    <row r="17" spans="2:17" x14ac:dyDescent="0.25">
      <c r="B17" s="28"/>
      <c r="C17" s="29"/>
      <c r="D17" s="29"/>
      <c r="E17" s="29"/>
      <c r="F17" s="29"/>
      <c r="G17" s="29"/>
      <c r="H17" s="29"/>
      <c r="I17" s="29"/>
      <c r="J17" s="29"/>
      <c r="K17" s="29"/>
      <c r="L17" s="29"/>
      <c r="M17" s="29"/>
      <c r="N17" s="29"/>
      <c r="O17" s="29"/>
      <c r="P17" s="29"/>
      <c r="Q17" s="30"/>
    </row>
    <row r="18" spans="2:17" x14ac:dyDescent="0.25">
      <c r="B18" s="28"/>
      <c r="C18" s="29"/>
      <c r="D18" s="29"/>
      <c r="E18" s="29"/>
      <c r="F18" s="29"/>
      <c r="G18" s="29"/>
      <c r="H18" s="29"/>
      <c r="I18" s="29"/>
      <c r="J18" s="29"/>
      <c r="K18" s="29"/>
      <c r="L18" s="29"/>
      <c r="M18" s="29"/>
      <c r="N18" s="29"/>
      <c r="O18" s="29"/>
      <c r="P18" s="29"/>
      <c r="Q18" s="30"/>
    </row>
    <row r="19" spans="2:17" x14ac:dyDescent="0.25">
      <c r="B19" s="28"/>
      <c r="C19" s="29"/>
      <c r="D19" s="29"/>
      <c r="E19" s="29"/>
      <c r="F19" s="29"/>
      <c r="G19" s="29"/>
      <c r="H19" s="29"/>
      <c r="I19" s="29"/>
      <c r="J19" s="29"/>
      <c r="K19" s="29"/>
      <c r="L19" s="29"/>
      <c r="M19" s="29"/>
      <c r="N19" s="29"/>
      <c r="O19" s="29"/>
      <c r="P19" s="29"/>
      <c r="Q19" s="30"/>
    </row>
    <row r="20" spans="2:17" x14ac:dyDescent="0.25">
      <c r="B20" s="28"/>
      <c r="C20" s="29"/>
      <c r="D20" s="29"/>
      <c r="E20" s="29"/>
      <c r="F20" s="29"/>
      <c r="G20" s="29"/>
      <c r="H20" s="29"/>
      <c r="I20" s="29"/>
      <c r="J20" s="29"/>
      <c r="K20" s="29"/>
      <c r="L20" s="29"/>
      <c r="M20" s="29"/>
      <c r="N20" s="29"/>
      <c r="O20" s="29"/>
      <c r="P20" s="29"/>
      <c r="Q20" s="30"/>
    </row>
    <row r="21" spans="2:17" x14ac:dyDescent="0.25">
      <c r="B21" s="28"/>
      <c r="C21" s="29"/>
      <c r="D21" s="29"/>
      <c r="E21" s="29"/>
      <c r="F21" s="29"/>
      <c r="G21" s="29"/>
      <c r="H21" s="29"/>
      <c r="I21" s="29"/>
      <c r="J21" s="29"/>
      <c r="K21" s="29"/>
      <c r="L21" s="29"/>
      <c r="M21" s="29"/>
      <c r="N21" s="29"/>
      <c r="O21" s="29"/>
      <c r="P21" s="29"/>
      <c r="Q21" s="30"/>
    </row>
    <row r="22" spans="2:17" x14ac:dyDescent="0.25">
      <c r="B22" s="28"/>
      <c r="C22" s="29"/>
      <c r="D22" s="29"/>
      <c r="E22" s="29"/>
      <c r="F22" s="29"/>
      <c r="G22" s="29"/>
      <c r="H22" s="29"/>
      <c r="I22" s="29"/>
      <c r="J22" s="29"/>
      <c r="K22" s="29"/>
      <c r="L22" s="29"/>
      <c r="M22" s="29"/>
      <c r="N22" s="29"/>
      <c r="O22" s="29"/>
      <c r="P22" s="29"/>
      <c r="Q22" s="30"/>
    </row>
    <row r="23" spans="2:17" x14ac:dyDescent="0.25">
      <c r="B23" s="28"/>
      <c r="C23" s="29"/>
      <c r="D23" s="29"/>
      <c r="E23" s="29"/>
      <c r="F23" s="29"/>
      <c r="G23" s="29"/>
      <c r="H23" s="29"/>
      <c r="I23" s="29"/>
      <c r="J23" s="29"/>
      <c r="K23" s="29"/>
      <c r="L23" s="29"/>
      <c r="M23" s="29"/>
      <c r="N23" s="29"/>
      <c r="O23" s="29"/>
      <c r="P23" s="29"/>
      <c r="Q23" s="30"/>
    </row>
    <row r="24" spans="2:17" ht="15" customHeight="1" x14ac:dyDescent="0.25">
      <c r="B24" s="28"/>
      <c r="C24" s="29"/>
      <c r="D24" s="29"/>
      <c r="E24" s="29"/>
      <c r="F24" s="29"/>
      <c r="G24" s="29"/>
      <c r="H24" s="29"/>
      <c r="I24" s="29"/>
      <c r="J24" s="29"/>
      <c r="K24" s="29"/>
      <c r="L24" s="29"/>
      <c r="M24" s="29"/>
      <c r="N24" s="29"/>
      <c r="O24" s="29"/>
      <c r="P24" s="29"/>
      <c r="Q24" s="30"/>
    </row>
    <row r="25" spans="2:17" x14ac:dyDescent="0.25">
      <c r="B25" s="28"/>
      <c r="C25" s="29"/>
      <c r="D25" s="29"/>
      <c r="E25" s="29"/>
      <c r="F25" s="29"/>
      <c r="G25" s="29"/>
      <c r="H25" s="29"/>
      <c r="I25" s="29"/>
      <c r="J25" s="29"/>
      <c r="K25" s="29"/>
      <c r="L25" s="29"/>
      <c r="M25" s="29"/>
      <c r="N25" s="29"/>
      <c r="O25" s="29"/>
      <c r="P25" s="29"/>
      <c r="Q25" s="30"/>
    </row>
    <row r="26" spans="2:17" x14ac:dyDescent="0.25">
      <c r="B26" s="28"/>
      <c r="C26" s="29"/>
      <c r="D26" s="29"/>
      <c r="E26" s="29"/>
      <c r="F26" s="29"/>
      <c r="G26" s="29"/>
      <c r="H26" s="29"/>
      <c r="I26" s="29"/>
      <c r="J26" s="29"/>
      <c r="K26" s="29"/>
      <c r="L26" s="29"/>
      <c r="M26" s="29"/>
      <c r="N26" s="29"/>
      <c r="O26" s="29"/>
      <c r="P26" s="29"/>
      <c r="Q26" s="30"/>
    </row>
    <row r="27" spans="2:17" x14ac:dyDescent="0.25">
      <c r="B27" s="28"/>
      <c r="C27" s="29"/>
      <c r="D27" s="29"/>
      <c r="E27" s="29"/>
      <c r="F27" s="29"/>
      <c r="G27" s="29"/>
      <c r="H27" s="29"/>
      <c r="I27" s="29"/>
      <c r="J27" s="29"/>
      <c r="K27" s="29"/>
      <c r="L27" s="29"/>
      <c r="M27" s="29"/>
      <c r="N27" s="29"/>
      <c r="O27" s="29"/>
      <c r="P27" s="29"/>
      <c r="Q27" s="30"/>
    </row>
    <row r="28" spans="2:17" x14ac:dyDescent="0.25">
      <c r="B28" s="28"/>
      <c r="C28" s="29"/>
      <c r="D28" s="29"/>
      <c r="E28" s="29"/>
      <c r="F28" s="29"/>
      <c r="G28" s="29"/>
      <c r="H28" s="29"/>
      <c r="I28" s="29"/>
      <c r="J28" s="29"/>
      <c r="K28" s="29"/>
      <c r="L28" s="29"/>
      <c r="M28" s="29"/>
      <c r="N28" s="29"/>
      <c r="O28" s="29"/>
      <c r="P28" s="29"/>
      <c r="Q28" s="30"/>
    </row>
    <row r="29" spans="2:17" x14ac:dyDescent="0.25">
      <c r="B29" s="28"/>
      <c r="C29" s="29"/>
      <c r="D29" s="29"/>
      <c r="E29" s="29"/>
      <c r="F29" s="29"/>
      <c r="G29" s="29"/>
      <c r="H29" s="29"/>
      <c r="I29" s="29"/>
      <c r="J29" s="29"/>
      <c r="K29" s="29"/>
      <c r="L29" s="29"/>
      <c r="M29" s="29"/>
      <c r="N29" s="29"/>
      <c r="O29" s="29"/>
      <c r="P29" s="29"/>
      <c r="Q29" s="30"/>
    </row>
    <row r="30" spans="2:17" x14ac:dyDescent="0.25">
      <c r="B30" s="28"/>
      <c r="C30" s="29"/>
      <c r="D30" s="29"/>
      <c r="E30" s="29"/>
      <c r="F30" s="29"/>
      <c r="G30" s="29"/>
      <c r="H30" s="29"/>
      <c r="I30" s="29"/>
      <c r="J30" s="29"/>
      <c r="K30" s="29"/>
      <c r="L30" s="29"/>
      <c r="M30" s="29"/>
      <c r="N30" s="29"/>
      <c r="O30" s="29"/>
      <c r="P30" s="29"/>
      <c r="Q30" s="30"/>
    </row>
    <row r="31" spans="2:17" ht="15.75" thickBot="1" x14ac:dyDescent="0.3">
      <c r="B31" s="31"/>
      <c r="C31" s="32"/>
      <c r="D31" s="32"/>
      <c r="E31" s="32"/>
      <c r="F31" s="32"/>
      <c r="G31" s="32"/>
      <c r="H31" s="32"/>
      <c r="I31" s="32"/>
      <c r="J31" s="32"/>
      <c r="K31" s="32"/>
      <c r="L31" s="32"/>
      <c r="M31" s="32"/>
      <c r="N31" s="32"/>
      <c r="O31" s="32"/>
      <c r="P31" s="32"/>
      <c r="Q31" s="33"/>
    </row>
    <row r="32" spans="2:17" ht="15.75" thickBot="1" x14ac:dyDescent="0.3"/>
    <row r="33" spans="2:10" x14ac:dyDescent="0.25">
      <c r="B33" s="14" t="s">
        <v>189</v>
      </c>
      <c r="C33" s="15" t="s">
        <v>190</v>
      </c>
      <c r="D33" s="16"/>
      <c r="E33" s="16"/>
      <c r="F33" s="16"/>
      <c r="G33" s="16"/>
      <c r="H33" s="16"/>
      <c r="I33" s="16"/>
      <c r="J33" s="17"/>
    </row>
    <row r="34" spans="2:10" x14ac:dyDescent="0.25">
      <c r="B34" s="24" t="s">
        <v>193</v>
      </c>
      <c r="C34" t="s">
        <v>192</v>
      </c>
      <c r="D34" s="19"/>
      <c r="E34" s="19"/>
      <c r="F34" s="19"/>
      <c r="G34" s="19"/>
      <c r="H34" s="19"/>
      <c r="I34" s="19"/>
      <c r="J34" s="20"/>
    </row>
    <row r="35" spans="2:10" x14ac:dyDescent="0.25">
      <c r="B35" s="24" t="s">
        <v>194</v>
      </c>
      <c r="C35" s="6" t="s">
        <v>78</v>
      </c>
      <c r="D35" s="19"/>
      <c r="E35" s="19"/>
      <c r="F35" s="19"/>
      <c r="G35" s="19"/>
      <c r="H35" s="19"/>
      <c r="I35" s="19"/>
      <c r="J35" s="20"/>
    </row>
    <row r="36" spans="2:10" x14ac:dyDescent="0.25">
      <c r="B36" s="24" t="s">
        <v>195</v>
      </c>
      <c r="C36" s="6" t="s">
        <v>123</v>
      </c>
      <c r="D36" s="19"/>
      <c r="E36" s="19"/>
      <c r="F36" s="19"/>
      <c r="G36" s="19"/>
      <c r="H36" s="19"/>
      <c r="I36" s="19"/>
      <c r="J36" s="20"/>
    </row>
    <row r="37" spans="2:10" x14ac:dyDescent="0.25">
      <c r="B37" s="18" t="s">
        <v>196</v>
      </c>
      <c r="C37" s="6" t="s">
        <v>155</v>
      </c>
      <c r="D37" s="19"/>
      <c r="E37" s="19"/>
      <c r="F37" s="19"/>
      <c r="G37" s="19"/>
      <c r="H37" s="19"/>
      <c r="I37" s="19"/>
      <c r="J37" s="20"/>
    </row>
    <row r="38" spans="2:10" x14ac:dyDescent="0.25">
      <c r="B38" s="18" t="s">
        <v>197</v>
      </c>
      <c r="C38" s="6" t="s">
        <v>172</v>
      </c>
      <c r="D38" s="19"/>
      <c r="E38" s="19"/>
      <c r="F38" s="19"/>
      <c r="G38" s="19"/>
      <c r="H38" s="19"/>
      <c r="I38" s="19"/>
      <c r="J38" s="20"/>
    </row>
    <row r="39" spans="2:10" ht="15.75" thickBot="1" x14ac:dyDescent="0.3">
      <c r="B39" s="21" t="s">
        <v>198</v>
      </c>
      <c r="C39" s="22" t="s">
        <v>180</v>
      </c>
      <c r="D39" s="22"/>
      <c r="E39" s="22"/>
      <c r="F39" s="22"/>
      <c r="G39" s="22"/>
      <c r="H39" s="22"/>
      <c r="I39" s="22"/>
      <c r="J39" s="23"/>
    </row>
  </sheetData>
  <mergeCells count="1">
    <mergeCell ref="B2:Q31"/>
  </mergeCells>
  <hyperlinks>
    <hyperlink ref="B34" location="'MG-Si_Market_GLO'!A1" display="'MG-Si_Market_GLO" xr:uid="{DD4FA896-9D8F-434A-B54E-EA77929FDD6F}"/>
    <hyperlink ref="B35" location="'PR1_MG-Si_CN_ThermalReduction'!A1" display="'PR1_MG-Si_CN_ThermalReduction" xr:uid="{48587AF1-8377-4563-B5CC-A73AA5BA1B32}"/>
    <hyperlink ref="B36" location="'PR2_MG-Si_NO_ThermalReduction'!A1" display="'PR2_MG-Si_NO_ThermalReduction" xr:uid="{63AF278D-7232-4211-9C67-10E5C81B0A5A}"/>
    <hyperlink ref="B37" location="PR3_Si_US_Drying!A1" display="PR3_Si_US_Drying" xr:uid="{39B90ADA-D3EB-465D-AE82-6F46DEFE92E4}"/>
    <hyperlink ref="B38" location="PR4_Si_US_MagneticSeparation!A1" display="PR4_Si_US_MagneticSeparation" xr:uid="{00FDB0A6-0A2F-481F-9654-2412D4580380}"/>
    <hyperlink ref="B39" location="PR5_Si_US_Flotation!A1" display="PR5_Si_US_Flotation" xr:uid="{477A666A-D27E-4B30-B7FA-B35C0E3FE7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32F7-77FF-413E-B260-6D48DA2A464D}">
  <sheetPr>
    <tabColor theme="8" tint="0.39997558519241921"/>
  </sheetPr>
  <dimension ref="A1:N22"/>
  <sheetViews>
    <sheetView workbookViewId="0">
      <selection activeCell="A12" sqref="A12"/>
    </sheetView>
  </sheetViews>
  <sheetFormatPr baseColWidth="10" defaultRowHeight="15" x14ac:dyDescent="0.25"/>
  <cols>
    <col min="1" max="1" width="75.85546875" bestFit="1" customWidth="1"/>
    <col min="2" max="2" width="35.5703125" bestFit="1" customWidth="1"/>
    <col min="3" max="3" width="8.140625" bestFit="1" customWidth="1"/>
    <col min="4" max="4" width="12" bestFit="1" customWidth="1"/>
    <col min="5" max="5" width="8.7109375" bestFit="1" customWidth="1"/>
    <col min="6" max="6" width="9.140625" bestFit="1" customWidth="1"/>
    <col min="7" max="7" width="13.28515625" bestFit="1" customWidth="1"/>
    <col min="8" max="8" width="10.140625" bestFit="1" customWidth="1"/>
    <col min="9" max="9" width="15.5703125" bestFit="1" customWidth="1"/>
    <col min="10" max="10" width="9" bestFit="1" customWidth="1"/>
    <col min="11" max="11" width="3.5703125" bestFit="1" customWidth="1"/>
    <col min="12" max="12" width="5.42578125" bestFit="1" customWidth="1"/>
    <col min="13" max="13" width="9.5703125" bestFit="1" customWidth="1"/>
    <col min="14" max="14" width="9.85546875" bestFit="1" customWidth="1"/>
  </cols>
  <sheetData>
    <row r="1" spans="1:14" x14ac:dyDescent="0.25">
      <c r="A1" t="s">
        <v>10</v>
      </c>
      <c r="B1" s="1" t="s">
        <v>40</v>
      </c>
    </row>
    <row r="2" spans="1:14" s="2" customFormat="1" x14ac:dyDescent="0.25"/>
    <row r="3" spans="1:14" x14ac:dyDescent="0.25">
      <c r="A3" s="3" t="s">
        <v>0</v>
      </c>
      <c r="B3" s="3" t="s">
        <v>182</v>
      </c>
      <c r="C3" s="4"/>
      <c r="D3" s="4"/>
      <c r="E3" s="4"/>
      <c r="F3" s="4"/>
      <c r="G3" s="4"/>
      <c r="H3" s="4"/>
      <c r="I3" s="4"/>
      <c r="J3" s="4"/>
      <c r="K3" s="4"/>
      <c r="L3" s="4"/>
      <c r="M3" s="4"/>
      <c r="N3" s="4"/>
    </row>
    <row r="4" spans="1:14" x14ac:dyDescent="0.25">
      <c r="A4" s="5" t="s">
        <v>1</v>
      </c>
      <c r="B4" s="4" t="s">
        <v>48</v>
      </c>
      <c r="C4" s="4"/>
      <c r="D4" s="4"/>
      <c r="E4" s="4"/>
      <c r="F4" s="4"/>
      <c r="G4" s="4"/>
      <c r="H4" s="4"/>
      <c r="I4" s="4"/>
      <c r="J4" s="4"/>
      <c r="K4" s="4"/>
      <c r="L4" s="4"/>
      <c r="M4" s="4"/>
      <c r="N4" s="4"/>
    </row>
    <row r="5" spans="1:14" x14ac:dyDescent="0.25">
      <c r="A5" s="5" t="s">
        <v>2</v>
      </c>
      <c r="B5" s="4" t="s">
        <v>29</v>
      </c>
      <c r="C5" s="4"/>
      <c r="D5" s="4"/>
      <c r="E5" s="4"/>
      <c r="F5" s="4"/>
      <c r="G5" s="4"/>
      <c r="H5" s="4"/>
      <c r="I5" s="4"/>
      <c r="J5" s="4"/>
      <c r="K5" s="4"/>
      <c r="L5" s="4"/>
      <c r="M5" s="4"/>
      <c r="N5" s="4"/>
    </row>
    <row r="6" spans="1:14" x14ac:dyDescent="0.25">
      <c r="A6" s="5" t="s">
        <v>3</v>
      </c>
      <c r="B6" s="4">
        <v>1</v>
      </c>
      <c r="C6" s="4"/>
      <c r="D6" s="4"/>
      <c r="E6" s="4"/>
      <c r="F6" s="4"/>
      <c r="G6" s="4"/>
      <c r="H6" s="4"/>
      <c r="I6" s="4"/>
      <c r="J6" s="4"/>
      <c r="K6" s="4"/>
      <c r="L6" s="4"/>
      <c r="M6" s="4"/>
      <c r="N6" s="4"/>
    </row>
    <row r="7" spans="1:14" x14ac:dyDescent="0.25">
      <c r="A7" s="5" t="s">
        <v>4</v>
      </c>
      <c r="B7" s="4" t="s">
        <v>33</v>
      </c>
      <c r="C7" s="4"/>
      <c r="D7" s="4"/>
      <c r="E7" s="4"/>
      <c r="F7" s="4"/>
      <c r="G7" s="4"/>
      <c r="H7" s="4"/>
      <c r="I7" s="4"/>
      <c r="J7" s="4"/>
      <c r="K7" s="4"/>
      <c r="L7" s="4"/>
      <c r="M7" s="4"/>
      <c r="N7" s="4"/>
    </row>
    <row r="8" spans="1:14" x14ac:dyDescent="0.25">
      <c r="A8" s="5" t="s">
        <v>6</v>
      </c>
      <c r="B8" s="4" t="s">
        <v>7</v>
      </c>
      <c r="C8" s="4"/>
      <c r="D8" s="4"/>
      <c r="E8" s="4"/>
      <c r="F8" s="4"/>
      <c r="G8" s="4"/>
      <c r="H8" s="4"/>
      <c r="I8" s="4"/>
      <c r="J8" s="4"/>
      <c r="K8" s="4"/>
      <c r="L8" s="4"/>
      <c r="M8" s="4"/>
      <c r="N8" s="4"/>
    </row>
    <row r="9" spans="1:14" x14ac:dyDescent="0.25">
      <c r="A9" s="5" t="s">
        <v>8</v>
      </c>
      <c r="B9" s="4"/>
      <c r="C9" s="4"/>
      <c r="D9" s="4"/>
      <c r="E9" s="4"/>
      <c r="F9" s="4"/>
      <c r="G9" s="4"/>
      <c r="H9" s="4"/>
      <c r="I9" s="4"/>
      <c r="J9" s="4"/>
      <c r="K9" s="4"/>
      <c r="L9" s="4"/>
      <c r="M9" s="4"/>
      <c r="N9" s="4"/>
    </row>
    <row r="10" spans="1:14" x14ac:dyDescent="0.25">
      <c r="A10" s="3" t="s">
        <v>9</v>
      </c>
      <c r="B10" s="3" t="s">
        <v>1</v>
      </c>
      <c r="C10" s="3" t="s">
        <v>2</v>
      </c>
      <c r="D10" s="3" t="s">
        <v>3</v>
      </c>
      <c r="E10" s="3" t="s">
        <v>4</v>
      </c>
      <c r="F10" s="3" t="s">
        <v>10</v>
      </c>
      <c r="G10" s="3" t="s">
        <v>11</v>
      </c>
      <c r="H10" s="3" t="s">
        <v>12</v>
      </c>
      <c r="I10" s="3" t="s">
        <v>13</v>
      </c>
      <c r="J10" s="3" t="s">
        <v>14</v>
      </c>
      <c r="K10" s="3" t="s">
        <v>15</v>
      </c>
      <c r="L10" s="3" t="s">
        <v>16</v>
      </c>
      <c r="M10" s="3" t="s">
        <v>17</v>
      </c>
      <c r="N10" s="3" t="s">
        <v>18</v>
      </c>
    </row>
    <row r="11" spans="1:14" x14ac:dyDescent="0.25">
      <c r="A11" t="str">
        <f>B3</f>
        <v>Metal grade silicon (MG-Si) global market</v>
      </c>
      <c r="B11" t="str">
        <f>B4</f>
        <v>MG-Si</v>
      </c>
      <c r="C11" t="str">
        <f>B5</f>
        <v>GLO</v>
      </c>
      <c r="D11" s="4">
        <v>1</v>
      </c>
      <c r="E11" s="4" t="str">
        <f>B7</f>
        <v>kilogram</v>
      </c>
      <c r="F11" s="1" t="str">
        <f>B1</f>
        <v>Silicon</v>
      </c>
      <c r="G11" s="4" t="s">
        <v>19</v>
      </c>
    </row>
    <row r="12" spans="1:14" s="4" customFormat="1" x14ac:dyDescent="0.25">
      <c r="A12" s="4" t="str">
        <f>'PR1_MG-Si_CN_ThermalReduction'!A64</f>
        <v>Quartz mining and metal-grade Si production in China through Carbon Thermal reduction</v>
      </c>
      <c r="B12" s="4" t="str">
        <f>'PR1_MG-Si_CN_ThermalReduction'!B64</f>
        <v>MG-Si</v>
      </c>
      <c r="C12" s="4" t="str">
        <f>'PR1_MG-Si_CN_ThermalReduction'!C64</f>
        <v>CN</v>
      </c>
      <c r="D12" s="4">
        <v>0.90952380952380962</v>
      </c>
      <c r="E12" s="4" t="str">
        <f>'PR1_MG-Si_CN_ThermalReduction'!E64</f>
        <v>kilogram</v>
      </c>
      <c r="F12" s="1" t="str">
        <f>'PR1_MG-Si_CN_ThermalReduction'!F64</f>
        <v>Silicon</v>
      </c>
      <c r="G12" s="4" t="s">
        <v>25</v>
      </c>
    </row>
    <row r="13" spans="1:14" s="4" customFormat="1" x14ac:dyDescent="0.25">
      <c r="A13" s="4" t="str">
        <f>'PR2_MG-Si_NO_ThermalReduction'!A60</f>
        <v>Metal-grade Si production in Norway</v>
      </c>
      <c r="B13" s="4" t="str">
        <f>'PR2_MG-Si_NO_ThermalReduction'!B60</f>
        <v>MG-Si</v>
      </c>
      <c r="C13" s="4" t="str">
        <f>'PR2_MG-Si_NO_ThermalReduction'!C60</f>
        <v>NO</v>
      </c>
      <c r="D13" s="4">
        <v>7.6190476190476197E-2</v>
      </c>
      <c r="E13" s="4" t="str">
        <f>'PR2_MG-Si_NO_ThermalReduction'!E60</f>
        <v>kilogram</v>
      </c>
      <c r="F13" s="1" t="str">
        <f>'PR2_MG-Si_NO_ThermalReduction'!F60</f>
        <v>Silicon</v>
      </c>
      <c r="G13" s="4" t="s">
        <v>25</v>
      </c>
    </row>
    <row r="14" spans="1:14" s="4" customFormat="1" x14ac:dyDescent="0.25">
      <c r="A14" s="4" t="str">
        <f>PR3_Si_US_Drying!A36</f>
        <v>Quartz mining and high-quality silica sand production in the US</v>
      </c>
      <c r="B14" s="4" t="str">
        <f>PR3_Si_US_Drying!B36</f>
        <v>Silica sand</v>
      </c>
      <c r="C14" s="4" t="str">
        <f>PR3_Si_US_Drying!C36</f>
        <v>US</v>
      </c>
      <c r="D14" s="4">
        <v>1.1907142857142857E-2</v>
      </c>
      <c r="E14" s="4" t="str">
        <f>PR3_Si_US_Drying!E36</f>
        <v>kilogram</v>
      </c>
      <c r="F14" s="1" t="str">
        <f>PR3_Si_US_Drying!F36</f>
        <v>Silicon</v>
      </c>
      <c r="G14" s="4" t="s">
        <v>25</v>
      </c>
    </row>
    <row r="15" spans="1:14" s="4" customFormat="1" x14ac:dyDescent="0.25">
      <c r="A15" s="4" t="str">
        <f>PR4_Si_US_MagneticSeparation!A61</f>
        <v>Quartz mining and silica sand production in the US through magnetic separation</v>
      </c>
      <c r="B15" s="4" t="str">
        <f>PR4_Si_US_MagneticSeparation!B61</f>
        <v>Silica sand</v>
      </c>
      <c r="C15" s="4" t="str">
        <f>PR4_Si_US_MagneticSeparation!C61</f>
        <v>US</v>
      </c>
      <c r="D15" s="4">
        <v>9.1857142857142864E-4</v>
      </c>
      <c r="E15" s="4" t="str">
        <f>PR4_Si_US_MagneticSeparation!E61</f>
        <v>kilogram</v>
      </c>
      <c r="F15" s="1" t="str">
        <f>PR4_Si_US_MagneticSeparation!F61</f>
        <v>Silicon</v>
      </c>
      <c r="G15" s="4" t="s">
        <v>25</v>
      </c>
    </row>
    <row r="16" spans="1:14" s="4" customFormat="1" x14ac:dyDescent="0.25">
      <c r="A16" s="4" t="str">
        <f>PR5_Si_US_Flotation!A66</f>
        <v>Quartz mining and silica sand production in the US through flotation separation</v>
      </c>
      <c r="B16" s="4" t="str">
        <f>PR5_Si_US_Flotation!B66</f>
        <v>Silica sand</v>
      </c>
      <c r="C16" s="4" t="str">
        <f>PR5_Si_US_Flotation!C66</f>
        <v>US</v>
      </c>
      <c r="D16" s="4">
        <v>1.4600000000000001E-3</v>
      </c>
      <c r="E16" s="4" t="str">
        <f>PR5_Si_US_Flotation!E66</f>
        <v>kilogram</v>
      </c>
      <c r="F16" s="1" t="str">
        <f>PR5_Si_US_Flotation!F66</f>
        <v>Silicon</v>
      </c>
      <c r="G16" s="4" t="s">
        <v>25</v>
      </c>
    </row>
    <row r="17" spans="6:6" s="4" customFormat="1" x14ac:dyDescent="0.25">
      <c r="F17" s="1"/>
    </row>
    <row r="18" spans="6:6" s="4" customFormat="1" x14ac:dyDescent="0.25">
      <c r="F18" s="1"/>
    </row>
    <row r="19" spans="6:6" s="4" customFormat="1" x14ac:dyDescent="0.25">
      <c r="F19" s="1"/>
    </row>
    <row r="20" spans="6:6" s="4" customFormat="1" x14ac:dyDescent="0.25">
      <c r="F20" s="1"/>
    </row>
    <row r="21" spans="6:6" s="4" customFormat="1" x14ac:dyDescent="0.25">
      <c r="F21" s="1"/>
    </row>
    <row r="22" spans="6:6" s="4" customFormat="1" x14ac:dyDescent="0.25">
      <c r="F2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N66"/>
  <sheetViews>
    <sheetView workbookViewId="0"/>
  </sheetViews>
  <sheetFormatPr baseColWidth="10" defaultColWidth="8.7109375" defaultRowHeight="15" x14ac:dyDescent="0.25"/>
  <cols>
    <col min="1" max="1" width="75.85546875" style="6" bestFit="1" customWidth="1"/>
    <col min="2" max="2" width="76.42578125" style="6" bestFit="1" customWidth="1"/>
    <col min="3" max="3" width="7.5703125" style="6" bestFit="1" customWidth="1"/>
    <col min="4" max="4" width="12.42578125" style="6" bestFit="1" customWidth="1"/>
    <col min="5" max="5" width="11.85546875" style="6" bestFit="1" customWidth="1"/>
    <col min="6" max="6" width="18.42578125" style="6" bestFit="1" customWidth="1"/>
    <col min="7" max="7" width="12.28515625" style="6" bestFit="1" customWidth="1"/>
    <col min="8" max="8" width="23.85546875" style="6" bestFit="1" customWidth="1"/>
    <col min="9" max="9" width="14.5703125" style="6" bestFit="1" customWidth="1"/>
    <col min="10" max="10" width="8.85546875" style="6" bestFit="1" customWidth="1"/>
    <col min="11" max="11" width="3.42578125" style="6" bestFit="1" customWidth="1"/>
    <col min="12" max="12" width="5" style="6" bestFit="1" customWidth="1"/>
    <col min="13" max="13" width="8.85546875" style="6" bestFit="1" customWidth="1"/>
    <col min="14" max="14" width="9.28515625" style="6" bestFit="1" customWidth="1"/>
    <col min="15" max="16384" width="8.7109375" style="6"/>
  </cols>
  <sheetData>
    <row r="1" spans="1:14" x14ac:dyDescent="0.25">
      <c r="A1" s="7" t="s">
        <v>0</v>
      </c>
      <c r="B1" s="7" t="s">
        <v>181</v>
      </c>
    </row>
    <row r="2" spans="1:14" x14ac:dyDescent="0.25">
      <c r="A2" s="8" t="s">
        <v>1</v>
      </c>
      <c r="B2" s="6" t="s">
        <v>125</v>
      </c>
    </row>
    <row r="3" spans="1:14" x14ac:dyDescent="0.25">
      <c r="A3" s="8" t="s">
        <v>2</v>
      </c>
      <c r="B3" s="6" t="s">
        <v>22</v>
      </c>
    </row>
    <row r="4" spans="1:14" x14ac:dyDescent="0.25">
      <c r="A4" s="8" t="s">
        <v>3</v>
      </c>
      <c r="B4" s="6">
        <v>1</v>
      </c>
    </row>
    <row r="5" spans="1:14" x14ac:dyDescent="0.25">
      <c r="A5" s="8" t="s">
        <v>4</v>
      </c>
      <c r="B5" s="6" t="s">
        <v>33</v>
      </c>
    </row>
    <row r="6" spans="1:14" x14ac:dyDescent="0.25">
      <c r="A6" s="8" t="s">
        <v>6</v>
      </c>
      <c r="B6" s="6" t="s">
        <v>7</v>
      </c>
    </row>
    <row r="7" spans="1:14" x14ac:dyDescent="0.25">
      <c r="A7" s="8" t="s">
        <v>8</v>
      </c>
    </row>
    <row r="8" spans="1:14" x14ac:dyDescent="0.25">
      <c r="A8" s="7" t="s">
        <v>9</v>
      </c>
      <c r="B8" s="7" t="s">
        <v>1</v>
      </c>
      <c r="C8" s="7" t="s">
        <v>2</v>
      </c>
      <c r="D8" s="7" t="s">
        <v>3</v>
      </c>
      <c r="E8" s="7" t="s">
        <v>4</v>
      </c>
      <c r="F8" s="7" t="s">
        <v>10</v>
      </c>
      <c r="G8" s="7" t="s">
        <v>11</v>
      </c>
      <c r="H8" s="7" t="s">
        <v>12</v>
      </c>
      <c r="I8" s="7" t="s">
        <v>13</v>
      </c>
      <c r="J8" s="7" t="s">
        <v>14</v>
      </c>
      <c r="K8" s="7" t="s">
        <v>15</v>
      </c>
      <c r="L8" s="7" t="s">
        <v>16</v>
      </c>
      <c r="M8" s="7" t="s">
        <v>17</v>
      </c>
      <c r="N8" s="7" t="s">
        <v>18</v>
      </c>
    </row>
    <row r="9" spans="1:14" x14ac:dyDescent="0.25">
      <c r="A9" s="6" t="str">
        <f>B1</f>
        <v>[M+C] Quartz mining</v>
      </c>
      <c r="B9" s="6" t="str">
        <f>B2</f>
        <v>Silica sand</v>
      </c>
      <c r="C9" s="6" t="str">
        <f>B3</f>
        <v>CN</v>
      </c>
      <c r="D9" s="6">
        <v>1</v>
      </c>
      <c r="E9" s="6" t="s">
        <v>33</v>
      </c>
      <c r="F9" s="9" t="str">
        <f>'MG-Si_Market_GLO'!B1</f>
        <v>Silicon</v>
      </c>
      <c r="G9" s="6" t="s">
        <v>19</v>
      </c>
    </row>
    <row r="10" spans="1:14" x14ac:dyDescent="0.25">
      <c r="A10" s="6" t="s">
        <v>20</v>
      </c>
      <c r="B10" s="6" t="s">
        <v>21</v>
      </c>
      <c r="C10" s="6" t="s">
        <v>22</v>
      </c>
      <c r="D10" s="6">
        <v>1.714285714285714E-2</v>
      </c>
      <c r="E10" s="6" t="s">
        <v>23</v>
      </c>
      <c r="F10" s="6" t="s">
        <v>24</v>
      </c>
      <c r="G10" s="6" t="s">
        <v>25</v>
      </c>
      <c r="J10" s="6" t="s">
        <v>26</v>
      </c>
    </row>
    <row r="11" spans="1:14" x14ac:dyDescent="0.25">
      <c r="A11" s="6" t="s">
        <v>27</v>
      </c>
      <c r="B11" s="6" t="s">
        <v>28</v>
      </c>
      <c r="C11" s="6" t="s">
        <v>29</v>
      </c>
      <c r="D11" s="6">
        <v>6.4285714285714293E-2</v>
      </c>
      <c r="E11" s="6" t="s">
        <v>30</v>
      </c>
      <c r="F11" s="6" t="s">
        <v>24</v>
      </c>
      <c r="G11" s="6" t="s">
        <v>25</v>
      </c>
      <c r="J11" s="6" t="s">
        <v>26</v>
      </c>
    </row>
    <row r="12" spans="1:14" x14ac:dyDescent="0.25">
      <c r="A12" s="6" t="s">
        <v>31</v>
      </c>
      <c r="B12" s="6" t="s">
        <v>32</v>
      </c>
      <c r="C12" s="6" t="s">
        <v>29</v>
      </c>
      <c r="D12" s="6">
        <v>0.15928571428571431</v>
      </c>
      <c r="E12" s="6" t="s">
        <v>33</v>
      </c>
      <c r="F12" s="6" t="s">
        <v>24</v>
      </c>
      <c r="G12" s="6" t="s">
        <v>25</v>
      </c>
      <c r="J12" s="6" t="s">
        <v>26</v>
      </c>
    </row>
    <row r="13" spans="1:14" x14ac:dyDescent="0.25">
      <c r="A13" s="6" t="s">
        <v>34</v>
      </c>
      <c r="B13" s="6" t="s">
        <v>35</v>
      </c>
      <c r="C13" s="6" t="s">
        <v>29</v>
      </c>
      <c r="D13" s="6">
        <v>-2.1428571428571432E-5</v>
      </c>
      <c r="E13" s="6" t="s">
        <v>33</v>
      </c>
      <c r="F13" s="6" t="s">
        <v>24</v>
      </c>
      <c r="G13" s="6" t="s">
        <v>25</v>
      </c>
      <c r="J13" s="6" t="s">
        <v>26</v>
      </c>
    </row>
    <row r="14" spans="1:14" x14ac:dyDescent="0.25">
      <c r="A14" s="6" t="s">
        <v>36</v>
      </c>
      <c r="D14" s="6">
        <v>3.2499999999999999E-4</v>
      </c>
      <c r="E14" s="6" t="s">
        <v>5</v>
      </c>
      <c r="F14" s="6" t="s">
        <v>37</v>
      </c>
      <c r="G14" s="6" t="s">
        <v>38</v>
      </c>
      <c r="H14" s="6" t="s">
        <v>39</v>
      </c>
      <c r="J14" s="6" t="s">
        <v>26</v>
      </c>
    </row>
    <row r="15" spans="1:14" x14ac:dyDescent="0.25">
      <c r="A15" s="6" t="s">
        <v>40</v>
      </c>
      <c r="D15" s="6">
        <v>2.871428571428571</v>
      </c>
      <c r="E15" s="6" t="s">
        <v>33</v>
      </c>
      <c r="F15" s="6" t="s">
        <v>37</v>
      </c>
      <c r="G15" s="6" t="s">
        <v>38</v>
      </c>
      <c r="H15" s="6" t="s">
        <v>39</v>
      </c>
      <c r="J15" s="6" t="s">
        <v>26</v>
      </c>
    </row>
    <row r="16" spans="1:14" x14ac:dyDescent="0.25">
      <c r="A16" s="6" t="s">
        <v>41</v>
      </c>
      <c r="D16" s="6">
        <v>1.1928571428571431E-3</v>
      </c>
      <c r="E16" s="6" t="s">
        <v>33</v>
      </c>
      <c r="F16" s="6" t="s">
        <v>37</v>
      </c>
      <c r="G16" s="6" t="s">
        <v>38</v>
      </c>
      <c r="H16" s="6" t="s">
        <v>42</v>
      </c>
      <c r="J16" s="6" t="s">
        <v>26</v>
      </c>
    </row>
    <row r="17" spans="1:14" x14ac:dyDescent="0.25">
      <c r="A17" s="6" t="s">
        <v>43</v>
      </c>
      <c r="D17" s="6">
        <v>2.7285714285714292E-3</v>
      </c>
      <c r="E17" s="6" t="s">
        <v>33</v>
      </c>
      <c r="F17" s="6" t="s">
        <v>37</v>
      </c>
      <c r="G17" s="6" t="s">
        <v>38</v>
      </c>
      <c r="H17" s="6" t="s">
        <v>42</v>
      </c>
      <c r="J17" s="6" t="s">
        <v>26</v>
      </c>
    </row>
    <row r="18" spans="1:14" x14ac:dyDescent="0.25">
      <c r="A18" s="6" t="s">
        <v>44</v>
      </c>
      <c r="D18" s="6">
        <v>1.3642857142857139E-3</v>
      </c>
      <c r="E18" s="6" t="s">
        <v>33</v>
      </c>
      <c r="F18" s="6" t="s">
        <v>37</v>
      </c>
      <c r="G18" s="6" t="s">
        <v>38</v>
      </c>
      <c r="H18" s="6" t="s">
        <v>42</v>
      </c>
      <c r="J18" s="6" t="s">
        <v>26</v>
      </c>
    </row>
    <row r="19" spans="1:14" x14ac:dyDescent="0.25">
      <c r="A19" s="6" t="s">
        <v>45</v>
      </c>
      <c r="D19" s="6">
        <v>7.2857142857142869E-4</v>
      </c>
      <c r="E19" s="6" t="s">
        <v>33</v>
      </c>
      <c r="F19" s="6" t="s">
        <v>37</v>
      </c>
      <c r="G19" s="6" t="s">
        <v>38</v>
      </c>
      <c r="H19" s="6" t="s">
        <v>42</v>
      </c>
      <c r="J19" s="6" t="s">
        <v>26</v>
      </c>
    </row>
    <row r="20" spans="1:14" x14ac:dyDescent="0.25">
      <c r="A20" s="6" t="s">
        <v>46</v>
      </c>
      <c r="D20" s="6">
        <v>5.0000000000000009E-5</v>
      </c>
      <c r="E20" s="6" t="s">
        <v>33</v>
      </c>
      <c r="F20" s="6" t="s">
        <v>37</v>
      </c>
      <c r="G20" s="6" t="s">
        <v>38</v>
      </c>
      <c r="H20" s="6" t="s">
        <v>42</v>
      </c>
      <c r="J20" s="6" t="s">
        <v>26</v>
      </c>
    </row>
    <row r="21" spans="1:14" s="10" customFormat="1" x14ac:dyDescent="0.25"/>
    <row r="22" spans="1:14" x14ac:dyDescent="0.25">
      <c r="A22" s="7" t="s">
        <v>0</v>
      </c>
      <c r="B22" s="7" t="s">
        <v>47</v>
      </c>
    </row>
    <row r="23" spans="1:14" x14ac:dyDescent="0.25">
      <c r="A23" s="8" t="s">
        <v>1</v>
      </c>
      <c r="B23" s="6" t="s">
        <v>48</v>
      </c>
    </row>
    <row r="24" spans="1:14" x14ac:dyDescent="0.25">
      <c r="A24" s="8" t="s">
        <v>2</v>
      </c>
      <c r="B24" s="6" t="s">
        <v>22</v>
      </c>
    </row>
    <row r="25" spans="1:14" x14ac:dyDescent="0.25">
      <c r="A25" s="8" t="s">
        <v>3</v>
      </c>
      <c r="B25" s="6">
        <v>1</v>
      </c>
    </row>
    <row r="26" spans="1:14" x14ac:dyDescent="0.25">
      <c r="A26" s="8" t="s">
        <v>4</v>
      </c>
      <c r="B26" s="6" t="s">
        <v>33</v>
      </c>
    </row>
    <row r="27" spans="1:14" x14ac:dyDescent="0.25">
      <c r="A27" s="8" t="s">
        <v>6</v>
      </c>
      <c r="B27" s="6" t="s">
        <v>7</v>
      </c>
    </row>
    <row r="28" spans="1:14" x14ac:dyDescent="0.25">
      <c r="A28" s="8" t="s">
        <v>8</v>
      </c>
    </row>
    <row r="29" spans="1:14" x14ac:dyDescent="0.25">
      <c r="A29" s="7" t="s">
        <v>9</v>
      </c>
      <c r="B29" s="7" t="s">
        <v>1</v>
      </c>
      <c r="C29" s="7" t="s">
        <v>2</v>
      </c>
      <c r="D29" s="7" t="s">
        <v>3</v>
      </c>
      <c r="E29" s="7" t="s">
        <v>4</v>
      </c>
      <c r="F29" s="7" t="s">
        <v>10</v>
      </c>
      <c r="G29" s="7" t="s">
        <v>11</v>
      </c>
      <c r="H29" s="7" t="s">
        <v>12</v>
      </c>
      <c r="I29" s="7" t="s">
        <v>13</v>
      </c>
      <c r="J29" s="7" t="s">
        <v>14</v>
      </c>
      <c r="K29" s="7" t="s">
        <v>15</v>
      </c>
      <c r="L29" s="7" t="s">
        <v>16</v>
      </c>
      <c r="M29" s="7" t="s">
        <v>17</v>
      </c>
      <c r="N29" s="7" t="s">
        <v>18</v>
      </c>
    </row>
    <row r="30" spans="1:14" x14ac:dyDescent="0.25">
      <c r="A30" s="6" t="str">
        <f>B22</f>
        <v>[P+R] Metal grade silicon (MG-Si) production</v>
      </c>
      <c r="B30" s="6" t="str">
        <f>B23</f>
        <v>MG-Si</v>
      </c>
      <c r="C30" s="6" t="str">
        <f>B24</f>
        <v>CN</v>
      </c>
      <c r="D30" s="6">
        <v>1</v>
      </c>
      <c r="E30" s="6" t="s">
        <v>33</v>
      </c>
      <c r="F30" s="9" t="str">
        <f>F9</f>
        <v>Silicon</v>
      </c>
      <c r="G30" s="6" t="s">
        <v>19</v>
      </c>
    </row>
    <row r="31" spans="1:14" x14ac:dyDescent="0.25">
      <c r="A31" s="6" t="s">
        <v>20</v>
      </c>
      <c r="B31" s="6" t="s">
        <v>21</v>
      </c>
      <c r="C31" s="6" t="s">
        <v>22</v>
      </c>
      <c r="D31" s="6">
        <v>12.99285714285714</v>
      </c>
      <c r="E31" s="6" t="s">
        <v>23</v>
      </c>
      <c r="F31" s="6" t="s">
        <v>24</v>
      </c>
      <c r="G31" s="6" t="s">
        <v>25</v>
      </c>
      <c r="J31" s="6" t="s">
        <v>26</v>
      </c>
    </row>
    <row r="32" spans="1:14" x14ac:dyDescent="0.25">
      <c r="A32" s="6" t="s">
        <v>49</v>
      </c>
      <c r="B32" s="6" t="s">
        <v>50</v>
      </c>
      <c r="C32" s="6" t="s">
        <v>29</v>
      </c>
      <c r="D32" s="6">
        <v>0.54285714285714293</v>
      </c>
      <c r="E32" s="6" t="s">
        <v>33</v>
      </c>
      <c r="F32" s="6" t="s">
        <v>24</v>
      </c>
      <c r="G32" s="6" t="s">
        <v>25</v>
      </c>
      <c r="J32" s="6" t="s">
        <v>26</v>
      </c>
    </row>
    <row r="33" spans="1:10" x14ac:dyDescent="0.25">
      <c r="A33" s="6" t="s">
        <v>51</v>
      </c>
      <c r="B33" s="6" t="s">
        <v>52</v>
      </c>
      <c r="C33" s="6" t="s">
        <v>53</v>
      </c>
      <c r="D33" s="6">
        <v>0.32857142857142863</v>
      </c>
      <c r="E33" s="6" t="s">
        <v>33</v>
      </c>
      <c r="F33" s="6" t="s">
        <v>24</v>
      </c>
      <c r="G33" s="6" t="s">
        <v>25</v>
      </c>
      <c r="J33" s="6" t="s">
        <v>26</v>
      </c>
    </row>
    <row r="34" spans="1:10" x14ac:dyDescent="0.25">
      <c r="A34" s="6" t="s">
        <v>54</v>
      </c>
      <c r="B34" s="6" t="s">
        <v>55</v>
      </c>
      <c r="C34" s="6" t="s">
        <v>29</v>
      </c>
      <c r="D34" s="6">
        <v>0.12857142857142859</v>
      </c>
      <c r="E34" s="6" t="s">
        <v>33</v>
      </c>
      <c r="F34" s="6" t="s">
        <v>24</v>
      </c>
      <c r="G34" s="6" t="s">
        <v>25</v>
      </c>
      <c r="J34" s="6" t="s">
        <v>26</v>
      </c>
    </row>
    <row r="35" spans="1:10" x14ac:dyDescent="0.25">
      <c r="A35" s="6" t="s">
        <v>49</v>
      </c>
      <c r="B35" s="6" t="s">
        <v>50</v>
      </c>
      <c r="C35" s="6" t="s">
        <v>29</v>
      </c>
      <c r="D35" s="6">
        <v>0.1214285714285714</v>
      </c>
      <c r="E35" s="6" t="s">
        <v>33</v>
      </c>
      <c r="F35" s="6" t="s">
        <v>24</v>
      </c>
      <c r="G35" s="6" t="s">
        <v>25</v>
      </c>
      <c r="J35" s="6" t="s">
        <v>26</v>
      </c>
    </row>
    <row r="36" spans="1:10" x14ac:dyDescent="0.25">
      <c r="A36" s="6" t="s">
        <v>56</v>
      </c>
      <c r="B36" s="6" t="s">
        <v>57</v>
      </c>
      <c r="C36" s="6" t="s">
        <v>22</v>
      </c>
      <c r="D36" s="6">
        <v>4.0714285714285717E-2</v>
      </c>
      <c r="E36" s="6" t="s">
        <v>33</v>
      </c>
      <c r="F36" s="6" t="s">
        <v>24</v>
      </c>
      <c r="G36" s="6" t="s">
        <v>25</v>
      </c>
      <c r="J36" s="6" t="s">
        <v>26</v>
      </c>
    </row>
    <row r="37" spans="1:10" x14ac:dyDescent="0.25">
      <c r="A37" s="6" t="s">
        <v>58</v>
      </c>
      <c r="B37" s="6" t="s">
        <v>59</v>
      </c>
      <c r="C37" s="6" t="s">
        <v>29</v>
      </c>
      <c r="D37" s="6">
        <v>0.19285714285714289</v>
      </c>
      <c r="E37" s="6" t="s">
        <v>33</v>
      </c>
      <c r="F37" s="6" t="s">
        <v>24</v>
      </c>
      <c r="G37" s="6" t="s">
        <v>25</v>
      </c>
      <c r="J37" s="6" t="s">
        <v>26</v>
      </c>
    </row>
    <row r="38" spans="1:10" x14ac:dyDescent="0.25">
      <c r="A38" s="6" t="s">
        <v>60</v>
      </c>
      <c r="B38" s="6" t="s">
        <v>61</v>
      </c>
      <c r="C38" s="6" t="s">
        <v>22</v>
      </c>
      <c r="D38" s="6">
        <v>2.1428571428571428</v>
      </c>
      <c r="E38" s="6" t="s">
        <v>33</v>
      </c>
      <c r="F38" s="6" t="s">
        <v>24</v>
      </c>
      <c r="G38" s="6" t="s">
        <v>25</v>
      </c>
      <c r="J38" s="6" t="s">
        <v>26</v>
      </c>
    </row>
    <row r="39" spans="1:10" x14ac:dyDescent="0.25">
      <c r="A39" s="6" t="s">
        <v>62</v>
      </c>
      <c r="B39" s="6" t="s">
        <v>63</v>
      </c>
      <c r="C39" s="6" t="s">
        <v>29</v>
      </c>
      <c r="D39" s="6">
        <v>3.4285714285714287E-2</v>
      </c>
      <c r="E39" s="6" t="s">
        <v>33</v>
      </c>
      <c r="F39" s="6" t="s">
        <v>24</v>
      </c>
      <c r="G39" s="6" t="s">
        <v>25</v>
      </c>
      <c r="J39" s="6" t="s">
        <v>26</v>
      </c>
    </row>
    <row r="40" spans="1:10" x14ac:dyDescent="0.25">
      <c r="A40" s="6" t="s">
        <v>62</v>
      </c>
      <c r="B40" s="6" t="s">
        <v>63</v>
      </c>
      <c r="C40" s="6" t="s">
        <v>29</v>
      </c>
      <c r="D40" s="6">
        <v>0.56428571428571439</v>
      </c>
      <c r="E40" s="6" t="s">
        <v>33</v>
      </c>
      <c r="F40" s="6" t="s">
        <v>24</v>
      </c>
      <c r="G40" s="6" t="s">
        <v>25</v>
      </c>
      <c r="J40" s="6" t="s">
        <v>26</v>
      </c>
    </row>
    <row r="41" spans="1:10" x14ac:dyDescent="0.25">
      <c r="A41" s="6" t="s">
        <v>64</v>
      </c>
      <c r="B41" s="6" t="s">
        <v>65</v>
      </c>
      <c r="C41" s="6" t="s">
        <v>53</v>
      </c>
      <c r="D41" s="6">
        <v>-2.1773500000000002E-3</v>
      </c>
      <c r="E41" s="6" t="s">
        <v>5</v>
      </c>
      <c r="F41" s="6" t="s">
        <v>24</v>
      </c>
      <c r="G41" s="6" t="s">
        <v>25</v>
      </c>
      <c r="J41" s="6" t="s">
        <v>26</v>
      </c>
    </row>
    <row r="42" spans="1:10" x14ac:dyDescent="0.25">
      <c r="A42" s="6" t="s">
        <v>66</v>
      </c>
      <c r="B42" s="6" t="s">
        <v>67</v>
      </c>
      <c r="C42" s="6" t="s">
        <v>53</v>
      </c>
      <c r="D42" s="6">
        <v>-0.45015714285714292</v>
      </c>
      <c r="E42" s="6" t="s">
        <v>33</v>
      </c>
      <c r="F42" s="6" t="s">
        <v>24</v>
      </c>
      <c r="G42" s="6" t="s">
        <v>25</v>
      </c>
      <c r="J42" s="6" t="s">
        <v>26</v>
      </c>
    </row>
    <row r="43" spans="1:10" x14ac:dyDescent="0.25">
      <c r="A43" s="6" t="s">
        <v>68</v>
      </c>
      <c r="B43" s="6" t="s">
        <v>69</v>
      </c>
      <c r="C43" s="6" t="s">
        <v>53</v>
      </c>
      <c r="D43" s="6">
        <v>-0.37342142857142863</v>
      </c>
      <c r="E43" s="6" t="s">
        <v>33</v>
      </c>
      <c r="F43" s="6" t="s">
        <v>24</v>
      </c>
      <c r="G43" s="6" t="s">
        <v>25</v>
      </c>
      <c r="J43" s="6" t="s">
        <v>26</v>
      </c>
    </row>
    <row r="44" spans="1:10" x14ac:dyDescent="0.25">
      <c r="A44" s="6" t="s">
        <v>36</v>
      </c>
      <c r="D44" s="6">
        <v>0.1177642857142857</v>
      </c>
      <c r="E44" s="6" t="s">
        <v>5</v>
      </c>
      <c r="F44" s="6" t="s">
        <v>37</v>
      </c>
      <c r="G44" s="6" t="s">
        <v>38</v>
      </c>
      <c r="H44" s="6" t="s">
        <v>39</v>
      </c>
      <c r="J44" s="6" t="s">
        <v>26</v>
      </c>
    </row>
    <row r="45" spans="1:10" x14ac:dyDescent="0.25">
      <c r="A45" s="6" t="s">
        <v>70</v>
      </c>
      <c r="D45" s="6">
        <v>5.7142857142857151E-3</v>
      </c>
      <c r="E45" s="6" t="s">
        <v>33</v>
      </c>
      <c r="F45" s="6" t="s">
        <v>37</v>
      </c>
      <c r="G45" s="6" t="s">
        <v>38</v>
      </c>
      <c r="H45" s="6" t="s">
        <v>42</v>
      </c>
      <c r="J45" s="6" t="s">
        <v>26</v>
      </c>
    </row>
    <row r="46" spans="1:10" x14ac:dyDescent="0.25">
      <c r="A46" s="6" t="s">
        <v>71</v>
      </c>
      <c r="D46" s="6">
        <v>0.13422857142857139</v>
      </c>
      <c r="E46" s="6" t="s">
        <v>33</v>
      </c>
      <c r="F46" s="6" t="s">
        <v>37</v>
      </c>
      <c r="G46" s="6" t="s">
        <v>38</v>
      </c>
      <c r="H46" s="6" t="s">
        <v>42</v>
      </c>
      <c r="J46" s="6" t="s">
        <v>26</v>
      </c>
    </row>
    <row r="47" spans="1:10" x14ac:dyDescent="0.25">
      <c r="A47" s="6" t="s">
        <v>43</v>
      </c>
      <c r="D47" s="6">
        <v>0.53635714285714287</v>
      </c>
      <c r="E47" s="6" t="s">
        <v>33</v>
      </c>
      <c r="F47" s="6" t="s">
        <v>37</v>
      </c>
      <c r="G47" s="6" t="s">
        <v>38</v>
      </c>
      <c r="H47" s="6" t="s">
        <v>42</v>
      </c>
      <c r="J47" s="6" t="s">
        <v>26</v>
      </c>
    </row>
    <row r="48" spans="1:10" x14ac:dyDescent="0.25">
      <c r="A48" s="6" t="s">
        <v>41</v>
      </c>
      <c r="D48" s="6">
        <v>6.3671428571428573E-2</v>
      </c>
      <c r="E48" s="6" t="s">
        <v>33</v>
      </c>
      <c r="F48" s="6" t="s">
        <v>37</v>
      </c>
      <c r="G48" s="6" t="s">
        <v>38</v>
      </c>
      <c r="H48" s="6" t="s">
        <v>42</v>
      </c>
      <c r="J48" s="6" t="s">
        <v>26</v>
      </c>
    </row>
    <row r="49" spans="1:14" x14ac:dyDescent="0.25">
      <c r="A49" s="6" t="s">
        <v>72</v>
      </c>
      <c r="D49" s="6">
        <v>6.5000000000000008E-4</v>
      </c>
      <c r="E49" s="6" t="s">
        <v>33</v>
      </c>
      <c r="F49" s="6" t="s">
        <v>37</v>
      </c>
      <c r="G49" s="6" t="s">
        <v>38</v>
      </c>
      <c r="H49" s="6" t="s">
        <v>42</v>
      </c>
      <c r="J49" s="6" t="s">
        <v>26</v>
      </c>
    </row>
    <row r="50" spans="1:14" x14ac:dyDescent="0.25">
      <c r="A50" s="6" t="s">
        <v>73</v>
      </c>
      <c r="D50" s="6">
        <v>0.82342857142857151</v>
      </c>
      <c r="E50" s="6" t="s">
        <v>33</v>
      </c>
      <c r="F50" s="6" t="s">
        <v>37</v>
      </c>
      <c r="G50" s="6" t="s">
        <v>38</v>
      </c>
      <c r="H50" s="6" t="s">
        <v>74</v>
      </c>
      <c r="J50" s="6" t="s">
        <v>26</v>
      </c>
    </row>
    <row r="51" spans="1:14" x14ac:dyDescent="0.25">
      <c r="A51" s="6" t="s">
        <v>75</v>
      </c>
      <c r="D51" s="6">
        <v>0.18</v>
      </c>
      <c r="E51" s="6" t="s">
        <v>33</v>
      </c>
      <c r="F51" s="6" t="s">
        <v>37</v>
      </c>
      <c r="G51" s="6" t="s">
        <v>38</v>
      </c>
      <c r="H51" s="6" t="s">
        <v>74</v>
      </c>
      <c r="J51" s="6" t="s">
        <v>26</v>
      </c>
    </row>
    <row r="52" spans="1:14" x14ac:dyDescent="0.25">
      <c r="A52" s="6" t="s">
        <v>76</v>
      </c>
      <c r="D52" s="6">
        <v>0.17042857142857151</v>
      </c>
      <c r="E52" s="6" t="s">
        <v>33</v>
      </c>
      <c r="F52" s="6" t="s">
        <v>37</v>
      </c>
      <c r="G52" s="6" t="s">
        <v>38</v>
      </c>
      <c r="H52" s="6" t="s">
        <v>74</v>
      </c>
      <c r="J52" s="6" t="s">
        <v>26</v>
      </c>
    </row>
    <row r="53" spans="1:14" x14ac:dyDescent="0.25">
      <c r="A53" s="6" t="s">
        <v>77</v>
      </c>
      <c r="D53" s="6">
        <v>3.8285714285714291E-2</v>
      </c>
      <c r="E53" s="6" t="s">
        <v>33</v>
      </c>
      <c r="F53" s="6" t="s">
        <v>37</v>
      </c>
      <c r="G53" s="6" t="s">
        <v>38</v>
      </c>
      <c r="H53" s="6" t="s">
        <v>74</v>
      </c>
      <c r="J53" s="6" t="s">
        <v>26</v>
      </c>
    </row>
    <row r="54" spans="1:14" x14ac:dyDescent="0.25">
      <c r="A54" s="6" t="s">
        <v>46</v>
      </c>
      <c r="D54" s="6">
        <v>6.2549999999999994E-2</v>
      </c>
      <c r="E54" s="6" t="s">
        <v>33</v>
      </c>
      <c r="F54" s="6" t="s">
        <v>37</v>
      </c>
      <c r="G54" s="6" t="s">
        <v>38</v>
      </c>
      <c r="H54" s="6" t="s">
        <v>42</v>
      </c>
      <c r="J54" s="6" t="s">
        <v>26</v>
      </c>
    </row>
    <row r="55" spans="1:14" s="11" customFormat="1" x14ac:dyDescent="0.25"/>
    <row r="56" spans="1:14" x14ac:dyDescent="0.25">
      <c r="A56" s="7" t="s">
        <v>0</v>
      </c>
      <c r="B56" s="7" t="s">
        <v>78</v>
      </c>
    </row>
    <row r="57" spans="1:14" x14ac:dyDescent="0.25">
      <c r="A57" s="8" t="s">
        <v>1</v>
      </c>
      <c r="B57" s="6" t="s">
        <v>48</v>
      </c>
    </row>
    <row r="58" spans="1:14" x14ac:dyDescent="0.25">
      <c r="A58" s="8" t="s">
        <v>2</v>
      </c>
      <c r="B58" s="6" t="s">
        <v>22</v>
      </c>
    </row>
    <row r="59" spans="1:14" x14ac:dyDescent="0.25">
      <c r="A59" s="8" t="s">
        <v>3</v>
      </c>
      <c r="B59" s="6">
        <v>1</v>
      </c>
    </row>
    <row r="60" spans="1:14" x14ac:dyDescent="0.25">
      <c r="A60" s="8" t="s">
        <v>4</v>
      </c>
      <c r="B60" s="6" t="s">
        <v>33</v>
      </c>
    </row>
    <row r="61" spans="1:14" x14ac:dyDescent="0.25">
      <c r="A61" s="8" t="s">
        <v>6</v>
      </c>
      <c r="B61" s="6" t="s">
        <v>7</v>
      </c>
    </row>
    <row r="62" spans="1:14" x14ac:dyDescent="0.25">
      <c r="A62" s="8" t="s">
        <v>8</v>
      </c>
    </row>
    <row r="63" spans="1:14" x14ac:dyDescent="0.25">
      <c r="A63" s="7" t="s">
        <v>9</v>
      </c>
      <c r="B63" s="7" t="s">
        <v>1</v>
      </c>
      <c r="C63" s="7" t="s">
        <v>2</v>
      </c>
      <c r="D63" s="7" t="s">
        <v>3</v>
      </c>
      <c r="E63" s="7" t="s">
        <v>4</v>
      </c>
      <c r="F63" s="7" t="s">
        <v>10</v>
      </c>
      <c r="G63" s="7" t="s">
        <v>11</v>
      </c>
      <c r="H63" s="7" t="s">
        <v>12</v>
      </c>
      <c r="I63" s="7" t="s">
        <v>13</v>
      </c>
      <c r="J63" s="7" t="s">
        <v>14</v>
      </c>
      <c r="K63" s="7" t="s">
        <v>15</v>
      </c>
      <c r="L63" s="7" t="s">
        <v>16</v>
      </c>
      <c r="M63" s="7" t="s">
        <v>17</v>
      </c>
      <c r="N63" s="7" t="s">
        <v>18</v>
      </c>
    </row>
    <row r="64" spans="1:14" x14ac:dyDescent="0.25">
      <c r="A64" s="6" t="str">
        <f>B56</f>
        <v>Quartz mining and metal-grade Si production in China through Carbon Thermal reduction</v>
      </c>
      <c r="B64" s="6" t="str">
        <f>B57</f>
        <v>MG-Si</v>
      </c>
      <c r="C64" s="6" t="str">
        <f>B58</f>
        <v>CN</v>
      </c>
      <c r="D64" s="6">
        <v>1</v>
      </c>
      <c r="E64" s="6" t="s">
        <v>33</v>
      </c>
      <c r="F64" s="9" t="str">
        <f>F30</f>
        <v>Silicon</v>
      </c>
      <c r="G64" s="6" t="s">
        <v>19</v>
      </c>
    </row>
    <row r="65" spans="1:7" x14ac:dyDescent="0.25">
      <c r="A65" s="6" t="str">
        <f>A30</f>
        <v>[P+R] Metal grade silicon (MG-Si) production</v>
      </c>
      <c r="B65" s="6" t="str">
        <f>B30</f>
        <v>MG-Si</v>
      </c>
      <c r="C65" s="6" t="str">
        <f>C30</f>
        <v>CN</v>
      </c>
      <c r="D65" s="6">
        <v>1</v>
      </c>
      <c r="E65" s="6" t="str">
        <f>E30</f>
        <v>kilogram</v>
      </c>
      <c r="F65" s="9" t="str">
        <f>F30</f>
        <v>Silicon</v>
      </c>
      <c r="G65" s="6" t="s">
        <v>25</v>
      </c>
    </row>
    <row r="66" spans="1:7" x14ac:dyDescent="0.25">
      <c r="A66" s="6" t="str">
        <f>A9</f>
        <v>[M+C] Quartz mining</v>
      </c>
      <c r="B66" s="6" t="str">
        <f>B9</f>
        <v>Silica sand</v>
      </c>
      <c r="C66" s="6" t="str">
        <f>C9</f>
        <v>CN</v>
      </c>
      <c r="D66" s="6">
        <v>2.871428571428571</v>
      </c>
      <c r="E66" s="6" t="str">
        <f>E9</f>
        <v>kilogram</v>
      </c>
      <c r="F66" s="9" t="str">
        <f>F9</f>
        <v>Silicon</v>
      </c>
      <c r="G66" s="6" t="s">
        <v>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N62"/>
  <sheetViews>
    <sheetView tabSelected="1" workbookViewId="0">
      <selection activeCell="A29" sqref="A29"/>
    </sheetView>
  </sheetViews>
  <sheetFormatPr baseColWidth="10" defaultColWidth="8.7109375" defaultRowHeight="15" x14ac:dyDescent="0.25"/>
  <cols>
    <col min="1" max="1" width="50" style="6" bestFit="1" customWidth="1"/>
    <col min="2" max="2" width="47.85546875" style="6" customWidth="1"/>
    <col min="3" max="3" width="24" style="6" bestFit="1" customWidth="1"/>
    <col min="4" max="4" width="13.42578125" style="6" customWidth="1"/>
    <col min="5" max="5" width="12" style="6" bestFit="1" customWidth="1"/>
    <col min="6" max="6" width="18.42578125" style="6" bestFit="1" customWidth="1"/>
    <col min="7" max="7" width="12.28515625" style="6" bestFit="1" customWidth="1"/>
    <col min="8" max="8" width="32.5703125" style="6" bestFit="1" customWidth="1"/>
    <col min="9" max="9" width="14.5703125" style="6" bestFit="1" customWidth="1"/>
    <col min="10" max="10" width="17.7109375" style="6" bestFit="1" customWidth="1"/>
    <col min="11" max="11" width="3.42578125" style="6" bestFit="1" customWidth="1"/>
    <col min="12" max="12" width="5" style="6" bestFit="1" customWidth="1"/>
    <col min="13" max="13" width="8.85546875" style="6" bestFit="1" customWidth="1"/>
    <col min="14" max="14" width="9.28515625" style="6" bestFit="1" customWidth="1"/>
    <col min="15" max="16384" width="8.7109375" style="6"/>
  </cols>
  <sheetData>
    <row r="1" spans="1:14" x14ac:dyDescent="0.25">
      <c r="A1" s="7" t="s">
        <v>0</v>
      </c>
      <c r="B1" s="7" t="s">
        <v>47</v>
      </c>
    </row>
    <row r="2" spans="1:14" x14ac:dyDescent="0.25">
      <c r="A2" s="8" t="s">
        <v>1</v>
      </c>
      <c r="B2" s="6" t="s">
        <v>48</v>
      </c>
    </row>
    <row r="3" spans="1:14" x14ac:dyDescent="0.25">
      <c r="A3" s="8" t="s">
        <v>2</v>
      </c>
      <c r="B3" s="6" t="s">
        <v>80</v>
      </c>
    </row>
    <row r="4" spans="1:14" x14ac:dyDescent="0.25">
      <c r="A4" s="8" t="s">
        <v>3</v>
      </c>
      <c r="B4" s="6">
        <v>1</v>
      </c>
    </row>
    <row r="5" spans="1:14" x14ac:dyDescent="0.25">
      <c r="A5" s="8" t="s">
        <v>4</v>
      </c>
      <c r="B5" s="6" t="s">
        <v>33</v>
      </c>
    </row>
    <row r="6" spans="1:14" x14ac:dyDescent="0.25">
      <c r="A6" s="8" t="s">
        <v>6</v>
      </c>
      <c r="B6" s="6" t="s">
        <v>7</v>
      </c>
    </row>
    <row r="7" spans="1:14" x14ac:dyDescent="0.25">
      <c r="A7" s="8" t="s">
        <v>8</v>
      </c>
    </row>
    <row r="8" spans="1:14" x14ac:dyDescent="0.25">
      <c r="A8" s="7" t="s">
        <v>9</v>
      </c>
      <c r="B8" s="7" t="s">
        <v>1</v>
      </c>
      <c r="C8" s="7" t="s">
        <v>2</v>
      </c>
      <c r="D8" s="7" t="s">
        <v>3</v>
      </c>
      <c r="E8" s="7" t="s">
        <v>4</v>
      </c>
      <c r="F8" s="7" t="s">
        <v>10</v>
      </c>
      <c r="G8" s="7" t="s">
        <v>11</v>
      </c>
      <c r="H8" s="7" t="s">
        <v>12</v>
      </c>
      <c r="I8" s="7" t="s">
        <v>13</v>
      </c>
      <c r="J8" s="7" t="s">
        <v>14</v>
      </c>
      <c r="K8" s="7" t="s">
        <v>15</v>
      </c>
      <c r="L8" s="7" t="s">
        <v>16</v>
      </c>
      <c r="M8" s="7" t="s">
        <v>17</v>
      </c>
      <c r="N8" s="7" t="s">
        <v>18</v>
      </c>
    </row>
    <row r="9" spans="1:14" x14ac:dyDescent="0.25">
      <c r="A9" s="6" t="str">
        <f>B1</f>
        <v>[P+R] Metal grade silicon (MG-Si) production</v>
      </c>
      <c r="B9" s="6" t="str">
        <f>B2</f>
        <v>MG-Si</v>
      </c>
      <c r="C9" s="6" t="str">
        <f>B3</f>
        <v>NO</v>
      </c>
      <c r="D9" s="6">
        <v>1</v>
      </c>
      <c r="E9" s="6" t="s">
        <v>33</v>
      </c>
      <c r="F9" s="9" t="str">
        <f>'MG-Si_Market_GLO'!B1</f>
        <v>Silicon</v>
      </c>
      <c r="G9" s="6" t="s">
        <v>19</v>
      </c>
    </row>
    <row r="10" spans="1:14" x14ac:dyDescent="0.25">
      <c r="A10" s="6" t="s">
        <v>79</v>
      </c>
      <c r="B10" s="6" t="s">
        <v>21</v>
      </c>
      <c r="C10" s="6" t="s">
        <v>80</v>
      </c>
      <c r="D10" s="6">
        <v>11</v>
      </c>
      <c r="E10" s="6" t="s">
        <v>23</v>
      </c>
      <c r="F10" s="6" t="s">
        <v>24</v>
      </c>
      <c r="G10" s="6" t="s">
        <v>25</v>
      </c>
      <c r="J10" s="6" t="s">
        <v>81</v>
      </c>
    </row>
    <row r="11" spans="1:14" x14ac:dyDescent="0.25">
      <c r="A11" s="6" t="s">
        <v>51</v>
      </c>
      <c r="B11" s="6" t="s">
        <v>52</v>
      </c>
      <c r="C11" s="6" t="s">
        <v>82</v>
      </c>
      <c r="D11" s="6">
        <v>3.2499999999999999E-3</v>
      </c>
      <c r="E11" s="6" t="s">
        <v>33</v>
      </c>
      <c r="F11" s="6" t="s">
        <v>24</v>
      </c>
      <c r="G11" s="6" t="s">
        <v>25</v>
      </c>
      <c r="J11" s="6" t="s">
        <v>81</v>
      </c>
    </row>
    <row r="12" spans="1:14" x14ac:dyDescent="0.25">
      <c r="A12" s="6" t="s">
        <v>83</v>
      </c>
      <c r="B12" s="6" t="s">
        <v>84</v>
      </c>
      <c r="C12" s="6" t="s">
        <v>53</v>
      </c>
      <c r="D12" s="6">
        <v>23.1</v>
      </c>
      <c r="E12" s="6" t="s">
        <v>30</v>
      </c>
      <c r="F12" s="6" t="s">
        <v>24</v>
      </c>
      <c r="G12" s="6" t="s">
        <v>25</v>
      </c>
      <c r="J12" s="6" t="s">
        <v>81</v>
      </c>
    </row>
    <row r="13" spans="1:14" x14ac:dyDescent="0.25">
      <c r="A13" s="6" t="s">
        <v>54</v>
      </c>
      <c r="B13" s="6" t="s">
        <v>55</v>
      </c>
      <c r="C13" s="6" t="s">
        <v>29</v>
      </c>
      <c r="D13" s="6">
        <v>0.1</v>
      </c>
      <c r="E13" s="6" t="s">
        <v>33</v>
      </c>
      <c r="F13" s="6" t="s">
        <v>24</v>
      </c>
      <c r="G13" s="6" t="s">
        <v>25</v>
      </c>
      <c r="J13" s="6" t="s">
        <v>81</v>
      </c>
    </row>
    <row r="14" spans="1:14" x14ac:dyDescent="0.25">
      <c r="A14" s="6" t="s">
        <v>58</v>
      </c>
      <c r="B14" s="6" t="s">
        <v>59</v>
      </c>
      <c r="C14" s="6" t="s">
        <v>29</v>
      </c>
      <c r="D14" s="6">
        <v>0.17</v>
      </c>
      <c r="E14" s="6" t="s">
        <v>33</v>
      </c>
      <c r="F14" s="6" t="s">
        <v>24</v>
      </c>
      <c r="G14" s="6" t="s">
        <v>25</v>
      </c>
      <c r="J14" s="6" t="s">
        <v>81</v>
      </c>
    </row>
    <row r="15" spans="1:14" x14ac:dyDescent="0.25">
      <c r="A15" s="6" t="s">
        <v>49</v>
      </c>
      <c r="B15" s="6" t="s">
        <v>50</v>
      </c>
      <c r="C15" s="6" t="s">
        <v>29</v>
      </c>
      <c r="D15" s="6">
        <v>0.5</v>
      </c>
      <c r="E15" s="6" t="s">
        <v>33</v>
      </c>
      <c r="F15" s="6" t="s">
        <v>24</v>
      </c>
      <c r="G15" s="6" t="s">
        <v>25</v>
      </c>
      <c r="J15" s="6" t="s">
        <v>81</v>
      </c>
    </row>
    <row r="16" spans="1:14" x14ac:dyDescent="0.25">
      <c r="A16" s="6" t="s">
        <v>85</v>
      </c>
      <c r="B16" s="6" t="s">
        <v>86</v>
      </c>
      <c r="C16" s="6" t="s">
        <v>29</v>
      </c>
      <c r="D16" s="6">
        <v>2.7</v>
      </c>
      <c r="E16" s="6" t="s">
        <v>33</v>
      </c>
      <c r="F16" s="6" t="s">
        <v>24</v>
      </c>
      <c r="G16" s="6" t="s">
        <v>25</v>
      </c>
      <c r="J16" s="6" t="s">
        <v>81</v>
      </c>
    </row>
    <row r="17" spans="1:10" x14ac:dyDescent="0.25">
      <c r="A17" s="6" t="s">
        <v>87</v>
      </c>
      <c r="B17" s="6" t="s">
        <v>88</v>
      </c>
      <c r="C17" s="6" t="s">
        <v>89</v>
      </c>
      <c r="D17" s="6">
        <v>0.02</v>
      </c>
      <c r="E17" s="6" t="s">
        <v>33</v>
      </c>
      <c r="F17" s="6" t="s">
        <v>24</v>
      </c>
      <c r="G17" s="6" t="s">
        <v>25</v>
      </c>
      <c r="J17" s="6" t="s">
        <v>90</v>
      </c>
    </row>
    <row r="18" spans="1:10" x14ac:dyDescent="0.25">
      <c r="A18" s="6" t="s">
        <v>68</v>
      </c>
      <c r="B18" s="6" t="s">
        <v>69</v>
      </c>
      <c r="C18" s="6" t="s">
        <v>53</v>
      </c>
      <c r="D18" s="6">
        <v>-2.5000000000000001E-2</v>
      </c>
      <c r="E18" s="6" t="s">
        <v>33</v>
      </c>
      <c r="F18" s="6" t="s">
        <v>24</v>
      </c>
      <c r="G18" s="6" t="s">
        <v>25</v>
      </c>
      <c r="J18" s="6" t="s">
        <v>81</v>
      </c>
    </row>
    <row r="19" spans="1:10" x14ac:dyDescent="0.25">
      <c r="A19" s="6" t="s">
        <v>91</v>
      </c>
      <c r="B19" s="6" t="s">
        <v>92</v>
      </c>
      <c r="C19" s="6" t="s">
        <v>29</v>
      </c>
      <c r="D19" s="6">
        <v>9.9999999999999994E-12</v>
      </c>
      <c r="E19" s="6" t="s">
        <v>4</v>
      </c>
      <c r="F19" s="6" t="s">
        <v>24</v>
      </c>
      <c r="G19" s="6" t="s">
        <v>25</v>
      </c>
      <c r="J19" s="6" t="s">
        <v>93</v>
      </c>
    </row>
    <row r="20" spans="1:10" x14ac:dyDescent="0.25">
      <c r="A20" s="6" t="s">
        <v>94</v>
      </c>
      <c r="B20" s="6" t="s">
        <v>95</v>
      </c>
      <c r="C20" s="6" t="s">
        <v>29</v>
      </c>
      <c r="D20" s="6">
        <v>2.5499999999999998</v>
      </c>
      <c r="E20" s="6" t="s">
        <v>96</v>
      </c>
      <c r="F20" s="6" t="s">
        <v>24</v>
      </c>
      <c r="G20" s="6" t="s">
        <v>25</v>
      </c>
      <c r="J20" s="6" t="s">
        <v>183</v>
      </c>
    </row>
    <row r="21" spans="1:10" x14ac:dyDescent="0.25">
      <c r="A21" s="6" t="s">
        <v>97</v>
      </c>
      <c r="B21" s="6" t="s">
        <v>98</v>
      </c>
      <c r="C21" s="6" t="s">
        <v>89</v>
      </c>
      <c r="D21" s="6">
        <v>0.156</v>
      </c>
      <c r="E21" s="6" t="s">
        <v>96</v>
      </c>
      <c r="F21" s="6" t="s">
        <v>24</v>
      </c>
      <c r="G21" s="6" t="s">
        <v>25</v>
      </c>
      <c r="J21" s="6" t="s">
        <v>183</v>
      </c>
    </row>
    <row r="22" spans="1:10" x14ac:dyDescent="0.25">
      <c r="A22" s="6" t="s">
        <v>99</v>
      </c>
      <c r="B22" s="6" t="s">
        <v>100</v>
      </c>
      <c r="C22" s="6" t="s">
        <v>82</v>
      </c>
      <c r="D22" s="6">
        <v>6.9000000000000006E-2</v>
      </c>
      <c r="E22" s="6" t="s">
        <v>96</v>
      </c>
      <c r="F22" s="6" t="s">
        <v>24</v>
      </c>
      <c r="G22" s="6" t="s">
        <v>25</v>
      </c>
      <c r="J22" s="6" t="s">
        <v>183</v>
      </c>
    </row>
    <row r="23" spans="1:10" x14ac:dyDescent="0.25">
      <c r="A23" s="6" t="s">
        <v>101</v>
      </c>
      <c r="D23" s="6">
        <v>71.3</v>
      </c>
      <c r="E23" s="6" t="s">
        <v>30</v>
      </c>
      <c r="F23" s="6" t="s">
        <v>37</v>
      </c>
      <c r="G23" s="6" t="s">
        <v>38</v>
      </c>
      <c r="H23" s="6" t="s">
        <v>102</v>
      </c>
      <c r="J23" s="6" t="s">
        <v>81</v>
      </c>
    </row>
    <row r="24" spans="1:10" x14ac:dyDescent="0.25">
      <c r="A24" s="6" t="s">
        <v>103</v>
      </c>
      <c r="D24" s="6">
        <v>9.420000000000001E-9</v>
      </c>
      <c r="E24" s="6" t="s">
        <v>33</v>
      </c>
      <c r="F24" s="6" t="s">
        <v>37</v>
      </c>
      <c r="G24" s="6" t="s">
        <v>38</v>
      </c>
      <c r="H24" s="6" t="s">
        <v>102</v>
      </c>
      <c r="J24" s="6" t="s">
        <v>90</v>
      </c>
    </row>
    <row r="25" spans="1:10" x14ac:dyDescent="0.25">
      <c r="A25" s="6" t="s">
        <v>104</v>
      </c>
      <c r="D25" s="6">
        <v>1.55E-6</v>
      </c>
      <c r="E25" s="6" t="s">
        <v>33</v>
      </c>
      <c r="F25" s="6" t="s">
        <v>37</v>
      </c>
      <c r="G25" s="6" t="s">
        <v>38</v>
      </c>
      <c r="H25" s="6" t="s">
        <v>102</v>
      </c>
      <c r="J25" s="6" t="s">
        <v>90</v>
      </c>
    </row>
    <row r="26" spans="1:10" x14ac:dyDescent="0.25">
      <c r="A26" s="6" t="s">
        <v>105</v>
      </c>
      <c r="D26" s="6">
        <v>7.8500000000000008E-9</v>
      </c>
      <c r="E26" s="6" t="s">
        <v>33</v>
      </c>
      <c r="F26" s="6" t="s">
        <v>37</v>
      </c>
      <c r="G26" s="6" t="s">
        <v>38</v>
      </c>
      <c r="H26" s="6" t="s">
        <v>102</v>
      </c>
      <c r="J26" s="6" t="s">
        <v>90</v>
      </c>
    </row>
    <row r="27" spans="1:10" x14ac:dyDescent="0.25">
      <c r="A27" s="6" t="s">
        <v>106</v>
      </c>
      <c r="D27" s="6">
        <v>2.79E-7</v>
      </c>
      <c r="E27" s="6" t="s">
        <v>33</v>
      </c>
      <c r="F27" s="6" t="s">
        <v>37</v>
      </c>
      <c r="G27" s="6" t="s">
        <v>38</v>
      </c>
      <c r="H27" s="6" t="s">
        <v>102</v>
      </c>
      <c r="J27" s="6" t="s">
        <v>90</v>
      </c>
    </row>
    <row r="28" spans="1:10" x14ac:dyDescent="0.25">
      <c r="A28" s="6" t="s">
        <v>107</v>
      </c>
      <c r="D28" s="6">
        <v>3.14E-10</v>
      </c>
      <c r="E28" s="6" t="s">
        <v>33</v>
      </c>
      <c r="F28" s="6" t="s">
        <v>37</v>
      </c>
      <c r="G28" s="6" t="s">
        <v>38</v>
      </c>
      <c r="H28" s="6" t="s">
        <v>102</v>
      </c>
      <c r="J28" s="6" t="s">
        <v>90</v>
      </c>
    </row>
    <row r="29" spans="1:10" x14ac:dyDescent="0.25">
      <c r="A29" s="6" t="s">
        <v>199</v>
      </c>
      <c r="D29" s="6">
        <v>7.7499999999999999E-7</v>
      </c>
      <c r="E29" s="6" t="s">
        <v>33</v>
      </c>
      <c r="F29" s="6" t="s">
        <v>37</v>
      </c>
      <c r="G29" s="6" t="s">
        <v>38</v>
      </c>
      <c r="H29" s="6" t="s">
        <v>102</v>
      </c>
      <c r="J29" s="6" t="s">
        <v>90</v>
      </c>
    </row>
    <row r="30" spans="1:10" x14ac:dyDescent="0.25">
      <c r="A30" s="6" t="s">
        <v>108</v>
      </c>
      <c r="D30" s="6">
        <v>6.2E-4</v>
      </c>
      <c r="E30" s="6" t="s">
        <v>33</v>
      </c>
      <c r="F30" s="6" t="s">
        <v>37</v>
      </c>
      <c r="G30" s="6" t="s">
        <v>38</v>
      </c>
      <c r="H30" s="6" t="s">
        <v>102</v>
      </c>
      <c r="J30" s="6" t="s">
        <v>81</v>
      </c>
    </row>
    <row r="31" spans="1:10" x14ac:dyDescent="0.25">
      <c r="A31" s="6" t="s">
        <v>41</v>
      </c>
      <c r="D31" s="6">
        <v>1.3799999999999999E-3</v>
      </c>
      <c r="E31" s="6" t="s">
        <v>33</v>
      </c>
      <c r="F31" s="6" t="s">
        <v>37</v>
      </c>
      <c r="G31" s="6" t="s">
        <v>38</v>
      </c>
      <c r="H31" s="6" t="s">
        <v>102</v>
      </c>
      <c r="J31" s="6" t="s">
        <v>81</v>
      </c>
    </row>
    <row r="32" spans="1:10" x14ac:dyDescent="0.25">
      <c r="A32" s="6" t="s">
        <v>109</v>
      </c>
      <c r="D32" s="6">
        <v>1.61</v>
      </c>
      <c r="E32" s="6" t="s">
        <v>33</v>
      </c>
      <c r="F32" s="6" t="s">
        <v>37</v>
      </c>
      <c r="G32" s="6" t="s">
        <v>38</v>
      </c>
      <c r="H32" s="6" t="s">
        <v>102</v>
      </c>
      <c r="J32" s="6" t="s">
        <v>90</v>
      </c>
    </row>
    <row r="33" spans="1:10" x14ac:dyDescent="0.25">
      <c r="A33" s="6" t="s">
        <v>70</v>
      </c>
      <c r="D33" s="6">
        <v>3.58</v>
      </c>
      <c r="E33" s="6" t="s">
        <v>33</v>
      </c>
      <c r="F33" s="6" t="s">
        <v>37</v>
      </c>
      <c r="G33" s="6" t="s">
        <v>38</v>
      </c>
      <c r="H33" s="6" t="s">
        <v>102</v>
      </c>
      <c r="J33" s="6" t="s">
        <v>90</v>
      </c>
    </row>
    <row r="34" spans="1:10" x14ac:dyDescent="0.25">
      <c r="A34" s="6" t="s">
        <v>110</v>
      </c>
      <c r="D34" s="6">
        <v>7.8500000000000008E-9</v>
      </c>
      <c r="E34" s="6" t="s">
        <v>33</v>
      </c>
      <c r="F34" s="6" t="s">
        <v>37</v>
      </c>
      <c r="G34" s="6" t="s">
        <v>38</v>
      </c>
      <c r="H34" s="6" t="s">
        <v>102</v>
      </c>
      <c r="J34" s="6" t="s">
        <v>90</v>
      </c>
    </row>
    <row r="35" spans="1:10" x14ac:dyDescent="0.25">
      <c r="A35" s="6" t="s">
        <v>111</v>
      </c>
      <c r="D35" s="6">
        <v>7.8499999999999995E-8</v>
      </c>
      <c r="E35" s="6" t="s">
        <v>33</v>
      </c>
      <c r="F35" s="6" t="s">
        <v>37</v>
      </c>
      <c r="G35" s="6" t="s">
        <v>38</v>
      </c>
      <c r="H35" s="6" t="s">
        <v>102</v>
      </c>
      <c r="J35" s="6" t="s">
        <v>90</v>
      </c>
    </row>
    <row r="36" spans="1:10" x14ac:dyDescent="0.25">
      <c r="A36" s="6" t="s">
        <v>112</v>
      </c>
      <c r="D36" s="6">
        <v>6.8699999999999986E-6</v>
      </c>
      <c r="E36" s="6" t="s">
        <v>33</v>
      </c>
      <c r="F36" s="6" t="s">
        <v>37</v>
      </c>
      <c r="G36" s="6" t="s">
        <v>38</v>
      </c>
      <c r="H36" s="6" t="s">
        <v>102</v>
      </c>
      <c r="J36" s="6" t="s">
        <v>90</v>
      </c>
    </row>
    <row r="37" spans="1:10" x14ac:dyDescent="0.25">
      <c r="A37" s="6" t="s">
        <v>113</v>
      </c>
      <c r="D37" s="6">
        <v>3.8799999999999997E-8</v>
      </c>
      <c r="E37" s="6" t="s">
        <v>33</v>
      </c>
      <c r="F37" s="6" t="s">
        <v>37</v>
      </c>
      <c r="G37" s="6" t="s">
        <v>38</v>
      </c>
      <c r="H37" s="6" t="s">
        <v>102</v>
      </c>
      <c r="J37" s="6" t="s">
        <v>90</v>
      </c>
    </row>
    <row r="38" spans="1:10" x14ac:dyDescent="0.25">
      <c r="A38" s="6" t="s">
        <v>44</v>
      </c>
      <c r="D38" s="6">
        <v>5.0000000000000001E-4</v>
      </c>
      <c r="E38" s="6" t="s">
        <v>33</v>
      </c>
      <c r="F38" s="6" t="s">
        <v>37</v>
      </c>
      <c r="G38" s="6" t="s">
        <v>38</v>
      </c>
      <c r="H38" s="6" t="s">
        <v>102</v>
      </c>
      <c r="J38" s="6" t="s">
        <v>90</v>
      </c>
    </row>
    <row r="39" spans="1:10" x14ac:dyDescent="0.25">
      <c r="A39" s="6" t="s">
        <v>114</v>
      </c>
      <c r="D39" s="6">
        <v>5.0000000000000001E-4</v>
      </c>
      <c r="E39" s="6" t="s">
        <v>33</v>
      </c>
      <c r="F39" s="6" t="s">
        <v>37</v>
      </c>
      <c r="G39" s="6" t="s">
        <v>38</v>
      </c>
      <c r="H39" s="6" t="s">
        <v>102</v>
      </c>
      <c r="J39" s="6" t="s">
        <v>90</v>
      </c>
    </row>
    <row r="40" spans="1:10" x14ac:dyDescent="0.25">
      <c r="A40" s="6" t="s">
        <v>115</v>
      </c>
      <c r="D40" s="6">
        <v>3.8800000000000001E-6</v>
      </c>
      <c r="E40" s="6" t="s">
        <v>33</v>
      </c>
      <c r="F40" s="6" t="s">
        <v>37</v>
      </c>
      <c r="G40" s="6" t="s">
        <v>38</v>
      </c>
      <c r="H40" s="6" t="s">
        <v>102</v>
      </c>
      <c r="J40" s="6" t="s">
        <v>90</v>
      </c>
    </row>
    <row r="41" spans="1:10" x14ac:dyDescent="0.25">
      <c r="A41" s="6" t="s">
        <v>116</v>
      </c>
      <c r="D41" s="6">
        <v>3.4400000000000001E-7</v>
      </c>
      <c r="E41" s="6" t="s">
        <v>33</v>
      </c>
      <c r="F41" s="6" t="s">
        <v>37</v>
      </c>
      <c r="G41" s="6" t="s">
        <v>38</v>
      </c>
      <c r="H41" s="6" t="s">
        <v>102</v>
      </c>
      <c r="J41" s="6" t="s">
        <v>90</v>
      </c>
    </row>
    <row r="42" spans="1:10" x14ac:dyDescent="0.25">
      <c r="A42" s="6" t="s">
        <v>117</v>
      </c>
      <c r="D42" s="6">
        <v>7.8500000000000008E-9</v>
      </c>
      <c r="E42" s="6" t="s">
        <v>33</v>
      </c>
      <c r="F42" s="6" t="s">
        <v>37</v>
      </c>
      <c r="G42" s="6" t="s">
        <v>38</v>
      </c>
      <c r="H42" s="6" t="s">
        <v>102</v>
      </c>
      <c r="J42" s="6" t="s">
        <v>90</v>
      </c>
    </row>
    <row r="43" spans="1:10" x14ac:dyDescent="0.25">
      <c r="A43" s="6" t="s">
        <v>118</v>
      </c>
      <c r="D43" s="6">
        <v>9.6000000000000002E-5</v>
      </c>
      <c r="E43" s="6" t="s">
        <v>33</v>
      </c>
      <c r="F43" s="6" t="s">
        <v>37</v>
      </c>
      <c r="G43" s="6" t="s">
        <v>38</v>
      </c>
      <c r="H43" s="6" t="s">
        <v>102</v>
      </c>
      <c r="J43" s="6" t="s">
        <v>90</v>
      </c>
    </row>
    <row r="44" spans="1:10" x14ac:dyDescent="0.25">
      <c r="A44" s="6" t="s">
        <v>71</v>
      </c>
      <c r="D44" s="6">
        <v>9.7400000000000004E-3</v>
      </c>
      <c r="E44" s="6" t="s">
        <v>33</v>
      </c>
      <c r="F44" s="6" t="s">
        <v>37</v>
      </c>
      <c r="G44" s="6" t="s">
        <v>38</v>
      </c>
      <c r="H44" s="6" t="s">
        <v>102</v>
      </c>
      <c r="J44" s="6" t="s">
        <v>81</v>
      </c>
    </row>
    <row r="45" spans="1:10" x14ac:dyDescent="0.25">
      <c r="A45" s="6" t="s">
        <v>119</v>
      </c>
      <c r="D45" s="6">
        <v>7.7499999999999999E-3</v>
      </c>
      <c r="E45" s="6" t="s">
        <v>33</v>
      </c>
      <c r="F45" s="6" t="s">
        <v>37</v>
      </c>
      <c r="G45" s="6" t="s">
        <v>38</v>
      </c>
      <c r="H45" s="6" t="s">
        <v>102</v>
      </c>
      <c r="J45" s="6" t="s">
        <v>81</v>
      </c>
    </row>
    <row r="46" spans="1:10" x14ac:dyDescent="0.25">
      <c r="A46" s="6" t="s">
        <v>120</v>
      </c>
      <c r="D46" s="6">
        <v>6.2000000000000003E-5</v>
      </c>
      <c r="E46" s="6" t="s">
        <v>33</v>
      </c>
      <c r="F46" s="6" t="s">
        <v>37</v>
      </c>
      <c r="G46" s="6" t="s">
        <v>38</v>
      </c>
      <c r="H46" s="6" t="s">
        <v>102</v>
      </c>
      <c r="J46" s="6" t="s">
        <v>90</v>
      </c>
    </row>
    <row r="47" spans="1:10" x14ac:dyDescent="0.25">
      <c r="A47" s="6" t="s">
        <v>40</v>
      </c>
      <c r="D47" s="6">
        <v>7.5100000000000002E-3</v>
      </c>
      <c r="E47" s="6" t="s">
        <v>33</v>
      </c>
      <c r="F47" s="6" t="s">
        <v>37</v>
      </c>
      <c r="G47" s="6" t="s">
        <v>38</v>
      </c>
      <c r="H47" s="6" t="s">
        <v>102</v>
      </c>
      <c r="J47" s="6" t="s">
        <v>90</v>
      </c>
    </row>
    <row r="48" spans="1:10" x14ac:dyDescent="0.25">
      <c r="A48" s="6" t="s">
        <v>121</v>
      </c>
      <c r="D48" s="6">
        <v>7.7499999999999999E-7</v>
      </c>
      <c r="E48" s="6" t="s">
        <v>33</v>
      </c>
      <c r="F48" s="6" t="s">
        <v>37</v>
      </c>
      <c r="G48" s="6" t="s">
        <v>38</v>
      </c>
      <c r="H48" s="6" t="s">
        <v>102</v>
      </c>
      <c r="J48" s="6" t="s">
        <v>90</v>
      </c>
    </row>
    <row r="49" spans="1:14" x14ac:dyDescent="0.25">
      <c r="A49" s="6" t="s">
        <v>43</v>
      </c>
      <c r="D49" s="6">
        <v>1.2200000000000001E-2</v>
      </c>
      <c r="E49" s="6" t="s">
        <v>33</v>
      </c>
      <c r="F49" s="6" t="s">
        <v>37</v>
      </c>
      <c r="G49" s="6" t="s">
        <v>38</v>
      </c>
      <c r="H49" s="6" t="s">
        <v>102</v>
      </c>
      <c r="J49" s="6" t="s">
        <v>90</v>
      </c>
    </row>
    <row r="50" spans="1:14" x14ac:dyDescent="0.25">
      <c r="A50" s="6" t="s">
        <v>122</v>
      </c>
      <c r="D50" s="6">
        <v>7.8500000000000008E-9</v>
      </c>
      <c r="E50" s="6" t="s">
        <v>33</v>
      </c>
      <c r="F50" s="6" t="s">
        <v>37</v>
      </c>
      <c r="G50" s="6" t="s">
        <v>38</v>
      </c>
      <c r="H50" s="6" t="s">
        <v>102</v>
      </c>
      <c r="J50" s="6" t="s">
        <v>90</v>
      </c>
    </row>
    <row r="51" spans="1:14" s="11" customFormat="1" x14ac:dyDescent="0.25"/>
    <row r="52" spans="1:14" x14ac:dyDescent="0.25">
      <c r="A52" s="7" t="s">
        <v>0</v>
      </c>
      <c r="B52" s="7" t="s">
        <v>123</v>
      </c>
    </row>
    <row r="53" spans="1:14" x14ac:dyDescent="0.25">
      <c r="A53" s="8" t="s">
        <v>1</v>
      </c>
      <c r="B53" s="6" t="s">
        <v>48</v>
      </c>
    </row>
    <row r="54" spans="1:14" x14ac:dyDescent="0.25">
      <c r="A54" s="8" t="s">
        <v>2</v>
      </c>
      <c r="B54" s="6" t="s">
        <v>80</v>
      </c>
    </row>
    <row r="55" spans="1:14" x14ac:dyDescent="0.25">
      <c r="A55" s="8" t="s">
        <v>3</v>
      </c>
      <c r="B55" s="6">
        <v>1</v>
      </c>
    </row>
    <row r="56" spans="1:14" x14ac:dyDescent="0.25">
      <c r="A56" s="8" t="s">
        <v>4</v>
      </c>
      <c r="B56" s="6" t="s">
        <v>33</v>
      </c>
    </row>
    <row r="57" spans="1:14" ht="30" x14ac:dyDescent="0.25">
      <c r="A57" s="8" t="s">
        <v>6</v>
      </c>
      <c r="B57" s="12" t="s">
        <v>184</v>
      </c>
    </row>
    <row r="58" spans="1:14" x14ac:dyDescent="0.25">
      <c r="A58" s="8" t="s">
        <v>8</v>
      </c>
    </row>
    <row r="59" spans="1:14" x14ac:dyDescent="0.25">
      <c r="A59" s="7" t="s">
        <v>9</v>
      </c>
      <c r="B59" s="7" t="s">
        <v>1</v>
      </c>
      <c r="C59" s="7" t="s">
        <v>2</v>
      </c>
      <c r="D59" s="7" t="s">
        <v>3</v>
      </c>
      <c r="E59" s="7" t="s">
        <v>4</v>
      </c>
      <c r="F59" s="7" t="s">
        <v>10</v>
      </c>
      <c r="G59" s="7" t="s">
        <v>11</v>
      </c>
      <c r="H59" s="7" t="s">
        <v>12</v>
      </c>
      <c r="I59" s="7" t="s">
        <v>13</v>
      </c>
      <c r="J59" s="7" t="s">
        <v>14</v>
      </c>
      <c r="K59" s="7" t="s">
        <v>15</v>
      </c>
      <c r="L59" s="7" t="s">
        <v>16</v>
      </c>
      <c r="M59" s="7" t="s">
        <v>17</v>
      </c>
      <c r="N59" s="7" t="s">
        <v>18</v>
      </c>
    </row>
    <row r="60" spans="1:14" x14ac:dyDescent="0.25">
      <c r="A60" s="6" t="str">
        <f>+B52</f>
        <v>Metal-grade Si production in Norway</v>
      </c>
      <c r="B60" s="6" t="str">
        <f>+B53</f>
        <v>MG-Si</v>
      </c>
      <c r="C60" s="6" t="str">
        <f>+B54</f>
        <v>NO</v>
      </c>
      <c r="D60" s="6">
        <v>1</v>
      </c>
      <c r="E60" s="6" t="s">
        <v>33</v>
      </c>
      <c r="F60" s="9" t="str">
        <f>F9</f>
        <v>Silicon</v>
      </c>
      <c r="G60" s="6" t="s">
        <v>19</v>
      </c>
    </row>
    <row r="61" spans="1:14" x14ac:dyDescent="0.25">
      <c r="A61" s="6" t="str">
        <f>A9</f>
        <v>[P+R] Metal grade silicon (MG-Si) production</v>
      </c>
      <c r="B61" s="6" t="str">
        <f>B9</f>
        <v>MG-Si</v>
      </c>
      <c r="C61" s="6" t="str">
        <f>C9</f>
        <v>NO</v>
      </c>
      <c r="D61" s="6">
        <v>1</v>
      </c>
      <c r="E61" s="6" t="str">
        <f>E9</f>
        <v>kilogram</v>
      </c>
      <c r="F61" s="9" t="str">
        <f>F9</f>
        <v>Silicon</v>
      </c>
      <c r="G61" s="6" t="s">
        <v>25</v>
      </c>
    </row>
    <row r="62" spans="1:14" s="13" customFormat="1" x14ac:dyDescent="0.25">
      <c r="A62" s="13" t="s">
        <v>85</v>
      </c>
      <c r="B62" s="13" t="s">
        <v>86</v>
      </c>
      <c r="C62" s="13" t="s">
        <v>29</v>
      </c>
      <c r="D62" s="13">
        <v>2.871428571428571</v>
      </c>
      <c r="E62" s="13" t="s">
        <v>33</v>
      </c>
      <c r="F62" s="13" t="s">
        <v>24</v>
      </c>
      <c r="G62" s="13"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N38"/>
  <sheetViews>
    <sheetView workbookViewId="0"/>
  </sheetViews>
  <sheetFormatPr baseColWidth="10" defaultColWidth="8.7109375" defaultRowHeight="15" x14ac:dyDescent="0.25"/>
  <cols>
    <col min="1" max="1" width="53.5703125" style="6" bestFit="1" customWidth="1"/>
    <col min="2" max="2" width="62.28515625" style="6" customWidth="1"/>
    <col min="3" max="3" width="7.5703125" style="6" bestFit="1" customWidth="1"/>
    <col min="4" max="4" width="11.85546875" style="6" bestFit="1" customWidth="1"/>
    <col min="5" max="5" width="12" style="6" bestFit="1" customWidth="1"/>
    <col min="6" max="6" width="18.42578125" style="6" bestFit="1" customWidth="1"/>
    <col min="7" max="7" width="12.28515625" style="6" bestFit="1" customWidth="1"/>
    <col min="8" max="8" width="23.85546875" style="6" bestFit="1" customWidth="1"/>
    <col min="9" max="9" width="14.5703125" style="6" bestFit="1" customWidth="1"/>
    <col min="10" max="10" width="8.85546875" style="6" bestFit="1" customWidth="1"/>
    <col min="11" max="11" width="3.42578125" style="6" bestFit="1" customWidth="1"/>
    <col min="12" max="12" width="5" style="6" bestFit="1" customWidth="1"/>
    <col min="13" max="13" width="8.85546875" style="6" bestFit="1" customWidth="1"/>
    <col min="14" max="14" width="9.28515625" style="6" bestFit="1" customWidth="1"/>
    <col min="15" max="16384" width="8.7109375" style="6"/>
  </cols>
  <sheetData>
    <row r="1" spans="1:14" x14ac:dyDescent="0.25">
      <c r="A1" s="7" t="s">
        <v>0</v>
      </c>
      <c r="B1" s="7" t="s">
        <v>124</v>
      </c>
    </row>
    <row r="2" spans="1:14" x14ac:dyDescent="0.25">
      <c r="A2" s="8" t="s">
        <v>1</v>
      </c>
      <c r="B2" s="6" t="s">
        <v>125</v>
      </c>
    </row>
    <row r="3" spans="1:14" x14ac:dyDescent="0.25">
      <c r="A3" s="8" t="s">
        <v>2</v>
      </c>
      <c r="B3" s="6" t="s">
        <v>126</v>
      </c>
    </row>
    <row r="4" spans="1:14" x14ac:dyDescent="0.25">
      <c r="A4" s="8" t="s">
        <v>3</v>
      </c>
      <c r="B4" s="6">
        <v>1</v>
      </c>
    </row>
    <row r="5" spans="1:14" x14ac:dyDescent="0.25">
      <c r="A5" s="8" t="s">
        <v>4</v>
      </c>
      <c r="B5" s="6" t="s">
        <v>33</v>
      </c>
    </row>
    <row r="6" spans="1:14" x14ac:dyDescent="0.25">
      <c r="A6" s="8" t="s">
        <v>6</v>
      </c>
      <c r="B6" s="6" t="s">
        <v>7</v>
      </c>
    </row>
    <row r="7" spans="1:14" x14ac:dyDescent="0.25">
      <c r="A7" s="8" t="s">
        <v>8</v>
      </c>
    </row>
    <row r="8" spans="1:14" x14ac:dyDescent="0.25">
      <c r="A8" s="7" t="s">
        <v>9</v>
      </c>
      <c r="B8" s="7" t="s">
        <v>1</v>
      </c>
      <c r="C8" s="7" t="s">
        <v>2</v>
      </c>
      <c r="D8" s="7" t="s">
        <v>3</v>
      </c>
      <c r="E8" s="7" t="s">
        <v>4</v>
      </c>
      <c r="F8" s="7" t="s">
        <v>10</v>
      </c>
      <c r="G8" s="7" t="s">
        <v>11</v>
      </c>
      <c r="H8" s="7" t="s">
        <v>12</v>
      </c>
      <c r="I8" s="7" t="s">
        <v>13</v>
      </c>
      <c r="J8" s="7" t="s">
        <v>14</v>
      </c>
      <c r="K8" s="7" t="s">
        <v>15</v>
      </c>
      <c r="L8" s="7" t="s">
        <v>16</v>
      </c>
      <c r="M8" s="7" t="s">
        <v>17</v>
      </c>
      <c r="N8" s="7" t="s">
        <v>18</v>
      </c>
    </row>
    <row r="9" spans="1:14" x14ac:dyDescent="0.25">
      <c r="A9" s="6" t="str">
        <f>B1</f>
        <v>[M+C] Silica sand production (High-quality)</v>
      </c>
      <c r="B9" s="6" t="str">
        <f>B2</f>
        <v>Silica sand</v>
      </c>
      <c r="C9" s="6" t="str">
        <f>B3</f>
        <v>US</v>
      </c>
      <c r="D9" s="6">
        <v>1</v>
      </c>
      <c r="E9" s="6" t="s">
        <v>33</v>
      </c>
      <c r="F9" s="9" t="str">
        <f>'MG-Si_Market_GLO'!B1</f>
        <v>Silicon</v>
      </c>
      <c r="G9" s="6" t="s">
        <v>19</v>
      </c>
    </row>
    <row r="10" spans="1:14" x14ac:dyDescent="0.25">
      <c r="A10" s="6" t="s">
        <v>127</v>
      </c>
      <c r="B10" s="6" t="s">
        <v>128</v>
      </c>
      <c r="C10" s="6" t="s">
        <v>53</v>
      </c>
      <c r="D10" s="6">
        <v>1.275083813238182E-6</v>
      </c>
      <c r="E10" s="6" t="s">
        <v>33</v>
      </c>
      <c r="F10" s="6" t="s">
        <v>24</v>
      </c>
      <c r="G10" s="6" t="s">
        <v>25</v>
      </c>
      <c r="J10" s="6" t="s">
        <v>129</v>
      </c>
    </row>
    <row r="11" spans="1:14" x14ac:dyDescent="0.25">
      <c r="A11" s="6" t="s">
        <v>130</v>
      </c>
      <c r="B11" s="6" t="s">
        <v>131</v>
      </c>
      <c r="C11" s="6" t="s">
        <v>29</v>
      </c>
      <c r="D11" s="6">
        <v>1.3519781806014E-5</v>
      </c>
      <c r="E11" s="6" t="s">
        <v>33</v>
      </c>
      <c r="F11" s="6" t="s">
        <v>24</v>
      </c>
      <c r="G11" s="6" t="s">
        <v>25</v>
      </c>
      <c r="J11" s="6" t="s">
        <v>129</v>
      </c>
    </row>
    <row r="12" spans="1:14" x14ac:dyDescent="0.25">
      <c r="A12" s="6" t="s">
        <v>132</v>
      </c>
      <c r="B12" s="6" t="s">
        <v>133</v>
      </c>
      <c r="C12" s="6" t="s">
        <v>29</v>
      </c>
      <c r="D12" s="6">
        <v>4.9424368333320542E-11</v>
      </c>
      <c r="E12" s="6" t="s">
        <v>4</v>
      </c>
      <c r="F12" s="6" t="s">
        <v>24</v>
      </c>
      <c r="G12" s="6" t="s">
        <v>25</v>
      </c>
      <c r="J12" s="6" t="s">
        <v>129</v>
      </c>
    </row>
    <row r="13" spans="1:14" x14ac:dyDescent="0.25">
      <c r="A13" s="6" t="s">
        <v>134</v>
      </c>
      <c r="B13" s="6" t="s">
        <v>135</v>
      </c>
      <c r="C13" s="6" t="s">
        <v>53</v>
      </c>
      <c r="D13" s="6">
        <v>5.6807741694624243E-5</v>
      </c>
      <c r="E13" s="6" t="s">
        <v>33</v>
      </c>
      <c r="F13" s="6" t="s">
        <v>24</v>
      </c>
      <c r="G13" s="6" t="s">
        <v>25</v>
      </c>
      <c r="J13" s="6" t="s">
        <v>129</v>
      </c>
    </row>
    <row r="14" spans="1:14" x14ac:dyDescent="0.25">
      <c r="A14" s="6" t="s">
        <v>27</v>
      </c>
      <c r="B14" s="6" t="s">
        <v>28</v>
      </c>
      <c r="C14" s="6" t="s">
        <v>29</v>
      </c>
      <c r="D14" s="6">
        <v>1.54009392360377E-2</v>
      </c>
      <c r="E14" s="6" t="s">
        <v>30</v>
      </c>
      <c r="F14" s="6" t="s">
        <v>24</v>
      </c>
      <c r="G14" s="6" t="s">
        <v>25</v>
      </c>
      <c r="J14" s="6" t="s">
        <v>129</v>
      </c>
    </row>
    <row r="15" spans="1:14" x14ac:dyDescent="0.25">
      <c r="A15" s="6" t="s">
        <v>136</v>
      </c>
      <c r="B15" s="6" t="s">
        <v>137</v>
      </c>
      <c r="C15" s="6" t="s">
        <v>29</v>
      </c>
      <c r="D15" s="6">
        <v>2.0800413044961791E-6</v>
      </c>
      <c r="E15" s="6" t="s">
        <v>33</v>
      </c>
      <c r="F15" s="6" t="s">
        <v>24</v>
      </c>
      <c r="G15" s="6" t="s">
        <v>25</v>
      </c>
      <c r="J15" s="6" t="s">
        <v>129</v>
      </c>
    </row>
    <row r="16" spans="1:14" x14ac:dyDescent="0.25">
      <c r="A16" s="6" t="s">
        <v>20</v>
      </c>
      <c r="B16" s="6" t="s">
        <v>21</v>
      </c>
      <c r="C16" s="6" t="s">
        <v>126</v>
      </c>
      <c r="D16" s="6">
        <v>2.8288000444711158E-3</v>
      </c>
      <c r="E16" s="6" t="s">
        <v>23</v>
      </c>
      <c r="F16" s="6" t="s">
        <v>24</v>
      </c>
      <c r="G16" s="6" t="s">
        <v>25</v>
      </c>
      <c r="J16" s="6" t="s">
        <v>129</v>
      </c>
    </row>
    <row r="17" spans="1:10" x14ac:dyDescent="0.25">
      <c r="A17" s="6" t="s">
        <v>138</v>
      </c>
      <c r="B17" s="6" t="s">
        <v>139</v>
      </c>
      <c r="C17" s="6" t="s">
        <v>29</v>
      </c>
      <c r="D17" s="6">
        <v>1.6120022698438569E-5</v>
      </c>
      <c r="E17" s="6" t="s">
        <v>96</v>
      </c>
      <c r="F17" s="6" t="s">
        <v>24</v>
      </c>
      <c r="G17" s="6" t="s">
        <v>25</v>
      </c>
      <c r="J17" s="6" t="s">
        <v>129</v>
      </c>
    </row>
    <row r="18" spans="1:10" x14ac:dyDescent="0.25">
      <c r="A18" s="6" t="s">
        <v>140</v>
      </c>
      <c r="B18" s="6" t="s">
        <v>141</v>
      </c>
      <c r="C18" s="6" t="s">
        <v>53</v>
      </c>
      <c r="D18" s="6">
        <v>9.1418858976271005E-7</v>
      </c>
      <c r="E18" s="6" t="s">
        <v>96</v>
      </c>
      <c r="F18" s="6" t="s">
        <v>24</v>
      </c>
      <c r="G18" s="6" t="s">
        <v>25</v>
      </c>
      <c r="J18" s="6" t="s">
        <v>129</v>
      </c>
    </row>
    <row r="19" spans="1:10" x14ac:dyDescent="0.25">
      <c r="A19" s="6" t="s">
        <v>142</v>
      </c>
      <c r="B19" s="6" t="s">
        <v>143</v>
      </c>
      <c r="C19" s="6" t="s">
        <v>53</v>
      </c>
      <c r="D19" s="6">
        <v>1.7887944250177719E-5</v>
      </c>
      <c r="E19" s="6" t="s">
        <v>96</v>
      </c>
      <c r="F19" s="6" t="s">
        <v>24</v>
      </c>
      <c r="G19" s="6" t="s">
        <v>25</v>
      </c>
      <c r="J19" s="6" t="s">
        <v>129</v>
      </c>
    </row>
    <row r="20" spans="1:10" x14ac:dyDescent="0.25">
      <c r="A20" s="6" t="s">
        <v>144</v>
      </c>
      <c r="B20" s="6" t="s">
        <v>145</v>
      </c>
      <c r="C20" s="6" t="s">
        <v>29</v>
      </c>
      <c r="D20" s="6">
        <v>5.2311962719534227E-7</v>
      </c>
      <c r="E20" s="6" t="s">
        <v>146</v>
      </c>
      <c r="F20" s="6" t="s">
        <v>24</v>
      </c>
      <c r="G20" s="6" t="s">
        <v>25</v>
      </c>
      <c r="J20" s="6" t="s">
        <v>129</v>
      </c>
    </row>
    <row r="21" spans="1:10" x14ac:dyDescent="0.25">
      <c r="A21" s="6" t="s">
        <v>147</v>
      </c>
      <c r="B21" s="6" t="s">
        <v>148</v>
      </c>
      <c r="C21" s="6" t="s">
        <v>29</v>
      </c>
      <c r="D21" s="6">
        <v>9.895688626912099E-8</v>
      </c>
      <c r="E21" s="6" t="s">
        <v>149</v>
      </c>
      <c r="F21" s="6" t="s">
        <v>24</v>
      </c>
      <c r="G21" s="6" t="s">
        <v>25</v>
      </c>
      <c r="J21" s="6" t="s">
        <v>129</v>
      </c>
    </row>
    <row r="22" spans="1:10" x14ac:dyDescent="0.25">
      <c r="A22" s="6" t="s">
        <v>150</v>
      </c>
      <c r="B22" s="6" t="s">
        <v>151</v>
      </c>
      <c r="C22" s="6" t="s">
        <v>53</v>
      </c>
      <c r="D22" s="6">
        <v>1.164803663589414E-5</v>
      </c>
      <c r="E22" s="6" t="s">
        <v>33</v>
      </c>
      <c r="F22" s="6" t="s">
        <v>24</v>
      </c>
      <c r="G22" s="6" t="s">
        <v>25</v>
      </c>
      <c r="J22" s="6" t="s">
        <v>129</v>
      </c>
    </row>
    <row r="23" spans="1:10" x14ac:dyDescent="0.25">
      <c r="A23" s="6" t="s">
        <v>152</v>
      </c>
      <c r="B23" s="6" t="s">
        <v>153</v>
      </c>
      <c r="C23" s="6" t="s">
        <v>29</v>
      </c>
      <c r="D23" s="6">
        <v>0.2</v>
      </c>
      <c r="E23" s="6" t="s">
        <v>30</v>
      </c>
      <c r="F23" s="6" t="s">
        <v>24</v>
      </c>
      <c r="G23" s="6" t="s">
        <v>25</v>
      </c>
      <c r="J23" s="6" t="s">
        <v>129</v>
      </c>
    </row>
    <row r="24" spans="1:10" x14ac:dyDescent="0.25">
      <c r="A24" s="6" t="s">
        <v>154</v>
      </c>
      <c r="D24" s="6">
        <v>1.081496024799137</v>
      </c>
      <c r="E24" s="6" t="s">
        <v>33</v>
      </c>
      <c r="F24" s="6" t="s">
        <v>37</v>
      </c>
      <c r="G24" s="6" t="s">
        <v>38</v>
      </c>
      <c r="H24" s="6" t="s">
        <v>39</v>
      </c>
      <c r="J24" s="6" t="s">
        <v>129</v>
      </c>
    </row>
    <row r="25" spans="1:10" x14ac:dyDescent="0.25">
      <c r="A25" s="6" t="s">
        <v>36</v>
      </c>
      <c r="D25" s="6">
        <v>1.0503997695980869E-2</v>
      </c>
      <c r="E25" s="6" t="s">
        <v>5</v>
      </c>
      <c r="F25" s="6" t="s">
        <v>37</v>
      </c>
      <c r="G25" s="6" t="s">
        <v>38</v>
      </c>
      <c r="H25" s="6" t="s">
        <v>39</v>
      </c>
      <c r="J25" s="6" t="s">
        <v>129</v>
      </c>
    </row>
    <row r="26" spans="1:10" x14ac:dyDescent="0.25">
      <c r="A26" s="6" t="s">
        <v>36</v>
      </c>
      <c r="D26" s="6">
        <v>1.435200056756911E-3</v>
      </c>
      <c r="E26" s="6" t="s">
        <v>5</v>
      </c>
      <c r="F26" s="6" t="s">
        <v>37</v>
      </c>
      <c r="G26" s="6" t="s">
        <v>38</v>
      </c>
      <c r="H26" s="6" t="s">
        <v>39</v>
      </c>
      <c r="J26" s="6" t="s">
        <v>129</v>
      </c>
    </row>
    <row r="27" spans="1:10" s="11" customFormat="1" x14ac:dyDescent="0.25"/>
    <row r="28" spans="1:10" x14ac:dyDescent="0.25">
      <c r="A28" s="7" t="s">
        <v>0</v>
      </c>
      <c r="B28" s="7" t="s">
        <v>155</v>
      </c>
    </row>
    <row r="29" spans="1:10" x14ac:dyDescent="0.25">
      <c r="A29" s="8" t="s">
        <v>1</v>
      </c>
      <c r="B29" s="6" t="s">
        <v>125</v>
      </c>
    </row>
    <row r="30" spans="1:10" x14ac:dyDescent="0.25">
      <c r="A30" s="8" t="s">
        <v>2</v>
      </c>
      <c r="B30" s="6" t="s">
        <v>126</v>
      </c>
    </row>
    <row r="31" spans="1:10" x14ac:dyDescent="0.25">
      <c r="A31" s="8" t="s">
        <v>3</v>
      </c>
      <c r="B31" s="6">
        <v>1</v>
      </c>
    </row>
    <row r="32" spans="1:10" x14ac:dyDescent="0.25">
      <c r="A32" s="8" t="s">
        <v>4</v>
      </c>
      <c r="B32" s="6" t="s">
        <v>33</v>
      </c>
    </row>
    <row r="33" spans="1:14" ht="60" x14ac:dyDescent="0.25">
      <c r="A33" s="8" t="s">
        <v>6</v>
      </c>
      <c r="B33" s="12" t="s">
        <v>187</v>
      </c>
    </row>
    <row r="34" spans="1:14" x14ac:dyDescent="0.25">
      <c r="A34" s="8" t="s">
        <v>8</v>
      </c>
    </row>
    <row r="35" spans="1:14" x14ac:dyDescent="0.25">
      <c r="A35" s="7" t="s">
        <v>9</v>
      </c>
      <c r="B35" s="7" t="s">
        <v>1</v>
      </c>
      <c r="C35" s="7" t="s">
        <v>2</v>
      </c>
      <c r="D35" s="7" t="s">
        <v>3</v>
      </c>
      <c r="E35" s="7" t="s">
        <v>4</v>
      </c>
      <c r="F35" s="7" t="s">
        <v>10</v>
      </c>
      <c r="G35" s="7" t="s">
        <v>11</v>
      </c>
      <c r="H35" s="7" t="s">
        <v>12</v>
      </c>
      <c r="I35" s="7" t="s">
        <v>13</v>
      </c>
      <c r="J35" s="7" t="s">
        <v>14</v>
      </c>
      <c r="K35" s="7" t="s">
        <v>15</v>
      </c>
      <c r="L35" s="7" t="s">
        <v>16</v>
      </c>
      <c r="M35" s="7" t="s">
        <v>17</v>
      </c>
      <c r="N35" s="7" t="s">
        <v>18</v>
      </c>
    </row>
    <row r="36" spans="1:14" x14ac:dyDescent="0.25">
      <c r="A36" s="6" t="str">
        <f>B28</f>
        <v>Quartz mining and high-quality silica sand production in the US</v>
      </c>
      <c r="B36" s="6" t="str">
        <f>B29</f>
        <v>Silica sand</v>
      </c>
      <c r="C36" s="6" t="str">
        <f>B30</f>
        <v>US</v>
      </c>
      <c r="D36" s="6">
        <v>1</v>
      </c>
      <c r="E36" s="6" t="s">
        <v>33</v>
      </c>
      <c r="F36" s="9" t="str">
        <f>F9</f>
        <v>Silicon</v>
      </c>
      <c r="G36" s="6" t="s">
        <v>19</v>
      </c>
    </row>
    <row r="37" spans="1:14" s="13" customFormat="1" x14ac:dyDescent="0.25">
      <c r="A37" s="13" t="s">
        <v>185</v>
      </c>
      <c r="B37" s="13" t="s">
        <v>186</v>
      </c>
      <c r="C37" s="13" t="s">
        <v>53</v>
      </c>
      <c r="D37" s="13">
        <v>1</v>
      </c>
      <c r="E37" s="13" t="s">
        <v>33</v>
      </c>
      <c r="F37" s="13" t="s">
        <v>24</v>
      </c>
      <c r="G37" s="13" t="s">
        <v>25</v>
      </c>
    </row>
    <row r="38" spans="1:14" x14ac:dyDescent="0.25">
      <c r="A38" s="6" t="str">
        <f>A9</f>
        <v>[M+C] Silica sand production (High-quality)</v>
      </c>
      <c r="B38" s="6" t="str">
        <f>B9</f>
        <v>Silica sand</v>
      </c>
      <c r="C38" s="6" t="str">
        <f>C9</f>
        <v>US</v>
      </c>
      <c r="D38" s="6">
        <v>2.871428571428571</v>
      </c>
      <c r="E38" s="6" t="str">
        <f>E9</f>
        <v>kilogram</v>
      </c>
      <c r="F38" s="9" t="str">
        <f>F9</f>
        <v>Silicon</v>
      </c>
      <c r="G38" s="6" t="s">
        <v>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39997558519241921"/>
  </sheetPr>
  <dimension ref="A1:N63"/>
  <sheetViews>
    <sheetView workbookViewId="0"/>
  </sheetViews>
  <sheetFormatPr baseColWidth="10" defaultColWidth="8.7109375" defaultRowHeight="15" x14ac:dyDescent="0.25"/>
  <cols>
    <col min="1" max="1" width="68" style="6" bestFit="1" customWidth="1"/>
    <col min="2" max="2" width="68.5703125" style="6" bestFit="1" customWidth="1"/>
    <col min="3" max="3" width="7.5703125" style="6" bestFit="1" customWidth="1"/>
    <col min="4" max="4" width="11.85546875" style="6" bestFit="1" customWidth="1"/>
    <col min="5" max="5" width="12" style="6" bestFit="1" customWidth="1"/>
    <col min="6" max="6" width="18.42578125" style="6" bestFit="1" customWidth="1"/>
    <col min="7" max="7" width="12.28515625" style="6" bestFit="1" customWidth="1"/>
    <col min="8" max="8" width="23.85546875" style="6" bestFit="1" customWidth="1"/>
    <col min="9" max="9" width="14.5703125" style="6" bestFit="1" customWidth="1"/>
    <col min="10" max="10" width="8.85546875" style="6" bestFit="1" customWidth="1"/>
    <col min="11" max="11" width="3.42578125" style="6" bestFit="1" customWidth="1"/>
    <col min="12" max="12" width="5" style="6" bestFit="1" customWidth="1"/>
    <col min="13" max="13" width="8.85546875" style="6" bestFit="1" customWidth="1"/>
    <col min="14" max="14" width="9.28515625" style="6" bestFit="1" customWidth="1"/>
    <col min="15" max="16384" width="8.7109375" style="6"/>
  </cols>
  <sheetData>
    <row r="1" spans="1:14" x14ac:dyDescent="0.25">
      <c r="A1" s="7" t="s">
        <v>0</v>
      </c>
      <c r="B1" s="7" t="s">
        <v>156</v>
      </c>
    </row>
    <row r="2" spans="1:14" x14ac:dyDescent="0.25">
      <c r="A2" s="8" t="s">
        <v>1</v>
      </c>
      <c r="B2" s="6" t="s">
        <v>125</v>
      </c>
    </row>
    <row r="3" spans="1:14" x14ac:dyDescent="0.25">
      <c r="A3" s="8" t="s">
        <v>2</v>
      </c>
      <c r="B3" s="6" t="s">
        <v>126</v>
      </c>
    </row>
    <row r="4" spans="1:14" x14ac:dyDescent="0.25">
      <c r="A4" s="8" t="s">
        <v>3</v>
      </c>
      <c r="B4" s="6">
        <v>1</v>
      </c>
    </row>
    <row r="5" spans="1:14" x14ac:dyDescent="0.25">
      <c r="A5" s="8" t="s">
        <v>4</v>
      </c>
      <c r="B5" s="6" t="s">
        <v>33</v>
      </c>
    </row>
    <row r="6" spans="1:14" x14ac:dyDescent="0.25">
      <c r="A6" s="8" t="s">
        <v>6</v>
      </c>
      <c r="B6" s="6" t="s">
        <v>7</v>
      </c>
    </row>
    <row r="7" spans="1:14" x14ac:dyDescent="0.25">
      <c r="A7" s="8" t="s">
        <v>8</v>
      </c>
    </row>
    <row r="8" spans="1:14" x14ac:dyDescent="0.25">
      <c r="A8" s="7" t="s">
        <v>9</v>
      </c>
      <c r="B8" s="7" t="s">
        <v>1</v>
      </c>
      <c r="C8" s="7" t="s">
        <v>2</v>
      </c>
      <c r="D8" s="7" t="s">
        <v>3</v>
      </c>
      <c r="E8" s="7" t="s">
        <v>4</v>
      </c>
      <c r="F8" s="7" t="s">
        <v>10</v>
      </c>
      <c r="G8" s="7" t="s">
        <v>11</v>
      </c>
      <c r="H8" s="7" t="s">
        <v>12</v>
      </c>
      <c r="I8" s="7" t="s">
        <v>13</v>
      </c>
      <c r="J8" s="7" t="s">
        <v>14</v>
      </c>
      <c r="K8" s="7" t="s">
        <v>15</v>
      </c>
      <c r="L8" s="7" t="s">
        <v>16</v>
      </c>
      <c r="M8" s="7" t="s">
        <v>17</v>
      </c>
      <c r="N8" s="7" t="s">
        <v>18</v>
      </c>
    </row>
    <row r="9" spans="1:14" x14ac:dyDescent="0.25">
      <c r="A9" s="6" t="str">
        <f>B1</f>
        <v>[M+C] Silica sand production - Magnetic separation</v>
      </c>
      <c r="B9" s="6" t="str">
        <f>B2</f>
        <v>Silica sand</v>
      </c>
      <c r="C9" s="6" t="str">
        <f>B3</f>
        <v>US</v>
      </c>
      <c r="D9" s="6">
        <v>1</v>
      </c>
      <c r="E9" s="6" t="s">
        <v>33</v>
      </c>
      <c r="F9" s="9" t="str">
        <f>'MG-Si_Market_GLO'!B1</f>
        <v>Silicon</v>
      </c>
      <c r="G9" s="6" t="s">
        <v>19</v>
      </c>
    </row>
    <row r="10" spans="1:14" x14ac:dyDescent="0.25">
      <c r="A10" s="6" t="s">
        <v>127</v>
      </c>
      <c r="B10" s="6" t="s">
        <v>128</v>
      </c>
      <c r="C10" s="6" t="s">
        <v>53</v>
      </c>
      <c r="D10" s="6">
        <v>4.2890594581316742E-5</v>
      </c>
      <c r="E10" s="6" t="s">
        <v>33</v>
      </c>
      <c r="F10" s="6" t="s">
        <v>24</v>
      </c>
      <c r="G10" s="6" t="s">
        <v>25</v>
      </c>
      <c r="J10" s="6" t="s">
        <v>129</v>
      </c>
    </row>
    <row r="11" spans="1:14" x14ac:dyDescent="0.25">
      <c r="A11" s="6" t="s">
        <v>134</v>
      </c>
      <c r="B11" s="6" t="s">
        <v>135</v>
      </c>
      <c r="C11" s="6" t="s">
        <v>53</v>
      </c>
      <c r="D11" s="6">
        <v>2.1445297290658371E-5</v>
      </c>
      <c r="E11" s="6" t="s">
        <v>33</v>
      </c>
      <c r="F11" s="6" t="s">
        <v>24</v>
      </c>
      <c r="G11" s="6" t="s">
        <v>25</v>
      </c>
      <c r="J11" s="6" t="s">
        <v>129</v>
      </c>
    </row>
    <row r="12" spans="1:14" x14ac:dyDescent="0.25">
      <c r="A12" s="6" t="s">
        <v>127</v>
      </c>
      <c r="B12" s="6" t="s">
        <v>128</v>
      </c>
      <c r="C12" s="6" t="s">
        <v>53</v>
      </c>
      <c r="D12" s="6">
        <v>4.8227805001480586E-6</v>
      </c>
      <c r="E12" s="6" t="s">
        <v>33</v>
      </c>
      <c r="F12" s="6" t="s">
        <v>24</v>
      </c>
      <c r="G12" s="6" t="s">
        <v>25</v>
      </c>
      <c r="J12" s="6" t="s">
        <v>129</v>
      </c>
    </row>
    <row r="13" spans="1:14" x14ac:dyDescent="0.25">
      <c r="A13" s="6" t="s">
        <v>136</v>
      </c>
      <c r="B13" s="6" t="s">
        <v>137</v>
      </c>
      <c r="C13" s="6" t="s">
        <v>29</v>
      </c>
      <c r="D13" s="6">
        <v>7.0412595302161664E-6</v>
      </c>
      <c r="E13" s="6" t="s">
        <v>33</v>
      </c>
      <c r="F13" s="6" t="s">
        <v>24</v>
      </c>
      <c r="G13" s="6" t="s">
        <v>25</v>
      </c>
      <c r="J13" s="6" t="s">
        <v>129</v>
      </c>
    </row>
    <row r="14" spans="1:14" x14ac:dyDescent="0.25">
      <c r="A14" s="6" t="s">
        <v>27</v>
      </c>
      <c r="B14" s="6" t="s">
        <v>28</v>
      </c>
      <c r="C14" s="6" t="s">
        <v>29</v>
      </c>
      <c r="D14" s="6">
        <v>1.3124232575052909E-2</v>
      </c>
      <c r="E14" s="6" t="s">
        <v>30</v>
      </c>
      <c r="F14" s="6" t="s">
        <v>24</v>
      </c>
      <c r="G14" s="6" t="s">
        <v>25</v>
      </c>
      <c r="J14" s="6" t="s">
        <v>129</v>
      </c>
    </row>
    <row r="15" spans="1:14" x14ac:dyDescent="0.25">
      <c r="A15" s="6" t="s">
        <v>144</v>
      </c>
      <c r="B15" s="6" t="s">
        <v>145</v>
      </c>
      <c r="C15" s="6" t="s">
        <v>29</v>
      </c>
      <c r="D15" s="6">
        <v>7.77914494673882E-7</v>
      </c>
      <c r="E15" s="6" t="s">
        <v>146</v>
      </c>
      <c r="F15" s="6" t="s">
        <v>24</v>
      </c>
      <c r="G15" s="6" t="s">
        <v>25</v>
      </c>
      <c r="J15" s="6" t="s">
        <v>129</v>
      </c>
    </row>
    <row r="16" spans="1:14" x14ac:dyDescent="0.25">
      <c r="A16" s="6" t="s">
        <v>157</v>
      </c>
      <c r="B16" s="6" t="s">
        <v>158</v>
      </c>
      <c r="C16" s="6" t="s">
        <v>126</v>
      </c>
      <c r="D16" s="6">
        <v>1.8496970811567861E-4</v>
      </c>
      <c r="E16" s="6" t="s">
        <v>23</v>
      </c>
      <c r="F16" s="6" t="s">
        <v>24</v>
      </c>
      <c r="G16" s="6" t="s">
        <v>25</v>
      </c>
      <c r="J16" s="6" t="s">
        <v>129</v>
      </c>
    </row>
    <row r="17" spans="1:10" x14ac:dyDescent="0.25">
      <c r="A17" s="6" t="s">
        <v>159</v>
      </c>
      <c r="B17" s="6" t="s">
        <v>160</v>
      </c>
      <c r="C17" s="6" t="s">
        <v>53</v>
      </c>
      <c r="D17" s="6">
        <v>9.6503837807962664E-3</v>
      </c>
      <c r="E17" s="6" t="s">
        <v>96</v>
      </c>
      <c r="F17" s="6" t="s">
        <v>24</v>
      </c>
      <c r="G17" s="6" t="s">
        <v>25</v>
      </c>
      <c r="J17" s="6" t="s">
        <v>129</v>
      </c>
    </row>
    <row r="18" spans="1:10" x14ac:dyDescent="0.25">
      <c r="A18" s="6" t="s">
        <v>138</v>
      </c>
      <c r="B18" s="6" t="s">
        <v>139</v>
      </c>
      <c r="C18" s="6" t="s">
        <v>29</v>
      </c>
      <c r="D18" s="6">
        <v>2.3971308957285921E-5</v>
      </c>
      <c r="E18" s="6" t="s">
        <v>96</v>
      </c>
      <c r="F18" s="6" t="s">
        <v>24</v>
      </c>
      <c r="G18" s="6" t="s">
        <v>25</v>
      </c>
      <c r="J18" s="6" t="s">
        <v>129</v>
      </c>
    </row>
    <row r="19" spans="1:10" x14ac:dyDescent="0.25">
      <c r="A19" s="6" t="s">
        <v>20</v>
      </c>
      <c r="B19" s="6" t="s">
        <v>21</v>
      </c>
      <c r="C19" s="6" t="s">
        <v>126</v>
      </c>
      <c r="D19" s="6">
        <v>1.5172467453465789E-4</v>
      </c>
      <c r="E19" s="6" t="s">
        <v>23</v>
      </c>
      <c r="F19" s="6" t="s">
        <v>24</v>
      </c>
      <c r="G19" s="6" t="s">
        <v>25</v>
      </c>
      <c r="J19" s="6" t="s">
        <v>129</v>
      </c>
    </row>
    <row r="20" spans="1:10" x14ac:dyDescent="0.25">
      <c r="A20" s="6" t="s">
        <v>20</v>
      </c>
      <c r="B20" s="6" t="s">
        <v>21</v>
      </c>
      <c r="C20" s="6" t="s">
        <v>126</v>
      </c>
      <c r="D20" s="6">
        <v>2.2758701180198689E-4</v>
      </c>
      <c r="E20" s="6" t="s">
        <v>23</v>
      </c>
      <c r="F20" s="6" t="s">
        <v>24</v>
      </c>
      <c r="G20" s="6" t="s">
        <v>25</v>
      </c>
      <c r="J20" s="6" t="s">
        <v>129</v>
      </c>
    </row>
    <row r="21" spans="1:10" x14ac:dyDescent="0.25">
      <c r="A21" s="6" t="s">
        <v>20</v>
      </c>
      <c r="B21" s="6" t="s">
        <v>21</v>
      </c>
      <c r="C21" s="6" t="s">
        <v>126</v>
      </c>
      <c r="D21" s="6">
        <v>3.3683906606534088E-4</v>
      </c>
      <c r="E21" s="6" t="s">
        <v>23</v>
      </c>
      <c r="F21" s="6" t="s">
        <v>24</v>
      </c>
      <c r="G21" s="6" t="s">
        <v>25</v>
      </c>
      <c r="J21" s="6" t="s">
        <v>129</v>
      </c>
    </row>
    <row r="22" spans="1:10" x14ac:dyDescent="0.25">
      <c r="A22" s="6" t="s">
        <v>20</v>
      </c>
      <c r="B22" s="6" t="s">
        <v>21</v>
      </c>
      <c r="C22" s="6" t="s">
        <v>126</v>
      </c>
      <c r="D22" s="6">
        <v>8.4708924298100563E-4</v>
      </c>
      <c r="E22" s="6" t="s">
        <v>23</v>
      </c>
      <c r="F22" s="6" t="s">
        <v>24</v>
      </c>
      <c r="G22" s="6" t="s">
        <v>25</v>
      </c>
      <c r="J22" s="6" t="s">
        <v>129</v>
      </c>
    </row>
    <row r="23" spans="1:10" x14ac:dyDescent="0.25">
      <c r="A23" s="6" t="s">
        <v>20</v>
      </c>
      <c r="B23" s="6" t="s">
        <v>21</v>
      </c>
      <c r="C23" s="6" t="s">
        <v>126</v>
      </c>
      <c r="D23" s="6">
        <v>1.050562352282252E-4</v>
      </c>
      <c r="E23" s="6" t="s">
        <v>23</v>
      </c>
      <c r="F23" s="6" t="s">
        <v>24</v>
      </c>
      <c r="G23" s="6" t="s">
        <v>25</v>
      </c>
      <c r="J23" s="6" t="s">
        <v>129</v>
      </c>
    </row>
    <row r="24" spans="1:10" x14ac:dyDescent="0.25">
      <c r="A24" s="6" t="s">
        <v>20</v>
      </c>
      <c r="B24" s="6" t="s">
        <v>21</v>
      </c>
      <c r="C24" s="6" t="s">
        <v>126</v>
      </c>
      <c r="D24" s="6">
        <v>1.1319065833847499E-4</v>
      </c>
      <c r="E24" s="6" t="s">
        <v>23</v>
      </c>
      <c r="F24" s="6" t="s">
        <v>24</v>
      </c>
      <c r="G24" s="6" t="s">
        <v>25</v>
      </c>
      <c r="J24" s="6" t="s">
        <v>129</v>
      </c>
    </row>
    <row r="25" spans="1:10" x14ac:dyDescent="0.25">
      <c r="A25" s="6" t="s">
        <v>20</v>
      </c>
      <c r="B25" s="6" t="s">
        <v>21</v>
      </c>
      <c r="C25" s="6" t="s">
        <v>126</v>
      </c>
      <c r="D25" s="6">
        <v>2.2758701180198689E-4</v>
      </c>
      <c r="E25" s="6" t="s">
        <v>23</v>
      </c>
      <c r="F25" s="6" t="s">
        <v>24</v>
      </c>
      <c r="G25" s="6" t="s">
        <v>25</v>
      </c>
      <c r="J25" s="6" t="s">
        <v>129</v>
      </c>
    </row>
    <row r="26" spans="1:10" x14ac:dyDescent="0.25">
      <c r="A26" s="6" t="s">
        <v>20</v>
      </c>
      <c r="B26" s="6" t="s">
        <v>21</v>
      </c>
      <c r="C26" s="6" t="s">
        <v>126</v>
      </c>
      <c r="D26" s="6">
        <v>7.5862337267328973E-4</v>
      </c>
      <c r="E26" s="6" t="s">
        <v>23</v>
      </c>
      <c r="F26" s="6" t="s">
        <v>24</v>
      </c>
      <c r="G26" s="6" t="s">
        <v>25</v>
      </c>
      <c r="J26" s="6" t="s">
        <v>129</v>
      </c>
    </row>
    <row r="27" spans="1:10" x14ac:dyDescent="0.25">
      <c r="A27" s="6" t="s">
        <v>20</v>
      </c>
      <c r="B27" s="6" t="s">
        <v>21</v>
      </c>
      <c r="C27" s="6" t="s">
        <v>126</v>
      </c>
      <c r="D27" s="6">
        <v>9.1034804720794768E-4</v>
      </c>
      <c r="E27" s="6" t="s">
        <v>23</v>
      </c>
      <c r="F27" s="6" t="s">
        <v>24</v>
      </c>
      <c r="G27" s="6" t="s">
        <v>25</v>
      </c>
      <c r="J27" s="6" t="s">
        <v>129</v>
      </c>
    </row>
    <row r="28" spans="1:10" x14ac:dyDescent="0.25">
      <c r="A28" s="6" t="s">
        <v>20</v>
      </c>
      <c r="B28" s="6" t="s">
        <v>21</v>
      </c>
      <c r="C28" s="6" t="s">
        <v>126</v>
      </c>
      <c r="D28" s="6">
        <v>4.1818329716783822E-4</v>
      </c>
      <c r="E28" s="6" t="s">
        <v>23</v>
      </c>
      <c r="F28" s="6" t="s">
        <v>24</v>
      </c>
      <c r="G28" s="6" t="s">
        <v>25</v>
      </c>
      <c r="J28" s="6" t="s">
        <v>129</v>
      </c>
    </row>
    <row r="29" spans="1:10" x14ac:dyDescent="0.25">
      <c r="A29" s="6" t="s">
        <v>27</v>
      </c>
      <c r="B29" s="6" t="s">
        <v>28</v>
      </c>
      <c r="C29" s="6" t="s">
        <v>29</v>
      </c>
      <c r="D29" s="6">
        <v>5.0002588225535084E-3</v>
      </c>
      <c r="E29" s="6" t="s">
        <v>30</v>
      </c>
      <c r="F29" s="6" t="s">
        <v>24</v>
      </c>
      <c r="G29" s="6" t="s">
        <v>25</v>
      </c>
      <c r="J29" s="6" t="s">
        <v>129</v>
      </c>
    </row>
    <row r="30" spans="1:10" x14ac:dyDescent="0.25">
      <c r="A30" s="6" t="s">
        <v>20</v>
      </c>
      <c r="B30" s="6" t="s">
        <v>21</v>
      </c>
      <c r="C30" s="6" t="s">
        <v>126</v>
      </c>
      <c r="D30" s="6">
        <v>8.1706582677408394E-4</v>
      </c>
      <c r="E30" s="6" t="s">
        <v>23</v>
      </c>
      <c r="F30" s="6" t="s">
        <v>24</v>
      </c>
      <c r="G30" s="6" t="s">
        <v>25</v>
      </c>
      <c r="J30" s="6" t="s">
        <v>129</v>
      </c>
    </row>
    <row r="31" spans="1:10" x14ac:dyDescent="0.25">
      <c r="A31" s="6" t="s">
        <v>142</v>
      </c>
      <c r="B31" s="6" t="s">
        <v>143</v>
      </c>
      <c r="C31" s="6" t="s">
        <v>53</v>
      </c>
      <c r="D31" s="6">
        <v>7.3527707999288799E-3</v>
      </c>
      <c r="E31" s="6" t="s">
        <v>96</v>
      </c>
      <c r="F31" s="6" t="s">
        <v>24</v>
      </c>
      <c r="G31" s="6" t="s">
        <v>25</v>
      </c>
      <c r="J31" s="6" t="s">
        <v>129</v>
      </c>
    </row>
    <row r="32" spans="1:10" x14ac:dyDescent="0.25">
      <c r="A32" s="6" t="s">
        <v>134</v>
      </c>
      <c r="B32" s="6" t="s">
        <v>135</v>
      </c>
      <c r="C32" s="6" t="s">
        <v>53</v>
      </c>
      <c r="D32" s="6">
        <v>2.8798429959884112E-3</v>
      </c>
      <c r="E32" s="6" t="s">
        <v>33</v>
      </c>
      <c r="F32" s="6" t="s">
        <v>24</v>
      </c>
      <c r="G32" s="6" t="s">
        <v>25</v>
      </c>
      <c r="J32" s="6" t="s">
        <v>129</v>
      </c>
    </row>
    <row r="33" spans="1:10" x14ac:dyDescent="0.25">
      <c r="A33" s="6" t="s">
        <v>20</v>
      </c>
      <c r="B33" s="6" t="s">
        <v>21</v>
      </c>
      <c r="C33" s="6" t="s">
        <v>126</v>
      </c>
      <c r="D33" s="6">
        <v>1.51725478331408E-4</v>
      </c>
      <c r="E33" s="6" t="s">
        <v>23</v>
      </c>
      <c r="F33" s="6" t="s">
        <v>24</v>
      </c>
      <c r="G33" s="6" t="s">
        <v>25</v>
      </c>
      <c r="J33" s="6" t="s">
        <v>129</v>
      </c>
    </row>
    <row r="34" spans="1:10" x14ac:dyDescent="0.25">
      <c r="A34" s="6" t="s">
        <v>161</v>
      </c>
      <c r="B34" s="6" t="s">
        <v>162</v>
      </c>
      <c r="C34" s="6" t="s">
        <v>53</v>
      </c>
      <c r="D34" s="6">
        <v>3.5077690171076891E-7</v>
      </c>
      <c r="E34" s="6" t="s">
        <v>33</v>
      </c>
      <c r="F34" s="6" t="s">
        <v>24</v>
      </c>
      <c r="G34" s="6" t="s">
        <v>25</v>
      </c>
      <c r="J34" s="6" t="s">
        <v>129</v>
      </c>
    </row>
    <row r="35" spans="1:10" x14ac:dyDescent="0.25">
      <c r="A35" s="6" t="s">
        <v>20</v>
      </c>
      <c r="B35" s="6" t="s">
        <v>21</v>
      </c>
      <c r="C35" s="6" t="s">
        <v>126</v>
      </c>
      <c r="D35" s="6">
        <v>3.5031069959575448E-4</v>
      </c>
      <c r="E35" s="6" t="s">
        <v>23</v>
      </c>
      <c r="F35" s="6" t="s">
        <v>24</v>
      </c>
      <c r="G35" s="6" t="s">
        <v>25</v>
      </c>
      <c r="J35" s="6" t="s">
        <v>129</v>
      </c>
    </row>
    <row r="36" spans="1:10" x14ac:dyDescent="0.25">
      <c r="A36" s="6" t="s">
        <v>20</v>
      </c>
      <c r="B36" s="6" t="s">
        <v>21</v>
      </c>
      <c r="C36" s="6" t="s">
        <v>126</v>
      </c>
      <c r="D36" s="6">
        <v>3.4797358016538281E-4</v>
      </c>
      <c r="E36" s="6" t="s">
        <v>23</v>
      </c>
      <c r="F36" s="6" t="s">
        <v>24</v>
      </c>
      <c r="G36" s="6" t="s">
        <v>25</v>
      </c>
      <c r="J36" s="6" t="s">
        <v>129</v>
      </c>
    </row>
    <row r="37" spans="1:10" x14ac:dyDescent="0.25">
      <c r="A37" s="6" t="s">
        <v>163</v>
      </c>
      <c r="B37" s="6" t="s">
        <v>164</v>
      </c>
      <c r="C37" s="6" t="s">
        <v>53</v>
      </c>
      <c r="D37" s="6">
        <v>2.765060820084887E-5</v>
      </c>
      <c r="E37" s="6" t="s">
        <v>33</v>
      </c>
      <c r="F37" s="6" t="s">
        <v>24</v>
      </c>
      <c r="G37" s="6" t="s">
        <v>25</v>
      </c>
      <c r="J37" s="6" t="s">
        <v>129</v>
      </c>
    </row>
    <row r="38" spans="1:10" x14ac:dyDescent="0.25">
      <c r="A38" s="6" t="s">
        <v>165</v>
      </c>
      <c r="B38" s="6" t="s">
        <v>166</v>
      </c>
      <c r="C38" s="6" t="s">
        <v>53</v>
      </c>
      <c r="D38" s="6">
        <v>2.3503016970721541E-4</v>
      </c>
      <c r="E38" s="6" t="s">
        <v>33</v>
      </c>
      <c r="F38" s="6" t="s">
        <v>24</v>
      </c>
      <c r="G38" s="6" t="s">
        <v>25</v>
      </c>
      <c r="J38" s="6" t="s">
        <v>129</v>
      </c>
    </row>
    <row r="39" spans="1:10" x14ac:dyDescent="0.25">
      <c r="A39" s="6" t="s">
        <v>167</v>
      </c>
      <c r="B39" s="6" t="s">
        <v>168</v>
      </c>
      <c r="C39" s="6" t="s">
        <v>53</v>
      </c>
      <c r="D39" s="6">
        <v>1.3996115140313891E-2</v>
      </c>
      <c r="E39" s="6" t="s">
        <v>5</v>
      </c>
      <c r="F39" s="6" t="s">
        <v>24</v>
      </c>
      <c r="G39" s="6" t="s">
        <v>25</v>
      </c>
      <c r="J39" s="6" t="s">
        <v>129</v>
      </c>
    </row>
    <row r="40" spans="1:10" x14ac:dyDescent="0.25">
      <c r="A40" s="6" t="s">
        <v>20</v>
      </c>
      <c r="B40" s="6" t="s">
        <v>21</v>
      </c>
      <c r="C40" s="6" t="s">
        <v>126</v>
      </c>
      <c r="D40" s="6">
        <v>7.8511169077360302E-5</v>
      </c>
      <c r="E40" s="6" t="s">
        <v>23</v>
      </c>
      <c r="F40" s="6" t="s">
        <v>24</v>
      </c>
      <c r="G40" s="6" t="s">
        <v>25</v>
      </c>
      <c r="J40" s="6" t="s">
        <v>129</v>
      </c>
    </row>
    <row r="41" spans="1:10" x14ac:dyDescent="0.25">
      <c r="A41" s="6" t="s">
        <v>20</v>
      </c>
      <c r="B41" s="6" t="s">
        <v>21</v>
      </c>
      <c r="C41" s="6" t="s">
        <v>126</v>
      </c>
      <c r="D41" s="6">
        <v>4.2087585552107089E-4</v>
      </c>
      <c r="E41" s="6" t="s">
        <v>23</v>
      </c>
      <c r="F41" s="6" t="s">
        <v>24</v>
      </c>
      <c r="G41" s="6" t="s">
        <v>25</v>
      </c>
      <c r="J41" s="6" t="s">
        <v>129</v>
      </c>
    </row>
    <row r="42" spans="1:10" x14ac:dyDescent="0.25">
      <c r="A42" s="6" t="s">
        <v>20</v>
      </c>
      <c r="B42" s="6" t="s">
        <v>21</v>
      </c>
      <c r="C42" s="6" t="s">
        <v>126</v>
      </c>
      <c r="D42" s="6">
        <v>2.3546936425142891E-4</v>
      </c>
      <c r="E42" s="6" t="s">
        <v>23</v>
      </c>
      <c r="F42" s="6" t="s">
        <v>24</v>
      </c>
      <c r="G42" s="6" t="s">
        <v>25</v>
      </c>
      <c r="J42" s="6" t="s">
        <v>129</v>
      </c>
    </row>
    <row r="43" spans="1:10" x14ac:dyDescent="0.25">
      <c r="A43" s="6" t="s">
        <v>20</v>
      </c>
      <c r="B43" s="6" t="s">
        <v>21</v>
      </c>
      <c r="C43" s="6" t="s">
        <v>126</v>
      </c>
      <c r="D43" s="6">
        <v>3.5384740529586308E-4</v>
      </c>
      <c r="E43" s="6" t="s">
        <v>23</v>
      </c>
      <c r="F43" s="6" t="s">
        <v>24</v>
      </c>
      <c r="G43" s="6" t="s">
        <v>25</v>
      </c>
      <c r="J43" s="6" t="s">
        <v>129</v>
      </c>
    </row>
    <row r="44" spans="1:10" x14ac:dyDescent="0.25">
      <c r="A44" s="6" t="s">
        <v>27</v>
      </c>
      <c r="B44" s="6" t="s">
        <v>28</v>
      </c>
      <c r="C44" s="6" t="s">
        <v>29</v>
      </c>
      <c r="D44" s="6">
        <v>2.8936683000888362E-7</v>
      </c>
      <c r="E44" s="6" t="s">
        <v>30</v>
      </c>
      <c r="F44" s="6" t="s">
        <v>24</v>
      </c>
      <c r="G44" s="6" t="s">
        <v>25</v>
      </c>
      <c r="J44" s="6" t="s">
        <v>129</v>
      </c>
    </row>
    <row r="45" spans="1:10" x14ac:dyDescent="0.25">
      <c r="A45" s="6" t="s">
        <v>154</v>
      </c>
      <c r="D45" s="6">
        <v>1.6075935000493531</v>
      </c>
      <c r="E45" s="6" t="s">
        <v>33</v>
      </c>
      <c r="F45" s="6" t="s">
        <v>37</v>
      </c>
      <c r="G45" s="6" t="s">
        <v>38</v>
      </c>
      <c r="H45" s="6" t="s">
        <v>39</v>
      </c>
      <c r="J45" s="6" t="s">
        <v>129</v>
      </c>
    </row>
    <row r="46" spans="1:10" x14ac:dyDescent="0.25">
      <c r="A46" s="6" t="s">
        <v>169</v>
      </c>
      <c r="D46" s="6">
        <v>7.394930100227024E-11</v>
      </c>
      <c r="E46" s="6" t="s">
        <v>146</v>
      </c>
      <c r="F46" s="6" t="s">
        <v>37</v>
      </c>
      <c r="G46" s="6" t="s">
        <v>38</v>
      </c>
      <c r="H46" s="6" t="s">
        <v>170</v>
      </c>
      <c r="J46" s="6" t="s">
        <v>129</v>
      </c>
    </row>
    <row r="47" spans="1:10" x14ac:dyDescent="0.25">
      <c r="A47" s="6" t="s">
        <v>171</v>
      </c>
      <c r="D47" s="6">
        <v>7.394930100227024E-11</v>
      </c>
      <c r="E47" s="6" t="s">
        <v>146</v>
      </c>
      <c r="F47" s="6" t="s">
        <v>37</v>
      </c>
      <c r="G47" s="6" t="s">
        <v>38</v>
      </c>
      <c r="H47" s="6" t="s">
        <v>170</v>
      </c>
      <c r="J47" s="6" t="s">
        <v>129</v>
      </c>
    </row>
    <row r="48" spans="1:10" x14ac:dyDescent="0.25">
      <c r="A48" s="6" t="s">
        <v>36</v>
      </c>
      <c r="D48" s="6">
        <v>5.2630360560715749E-3</v>
      </c>
      <c r="E48" s="6" t="s">
        <v>5</v>
      </c>
      <c r="F48" s="6" t="s">
        <v>37</v>
      </c>
      <c r="G48" s="6" t="s">
        <v>38</v>
      </c>
      <c r="H48" s="6" t="s">
        <v>39</v>
      </c>
      <c r="J48" s="6" t="s">
        <v>129</v>
      </c>
    </row>
    <row r="49" spans="1:14" x14ac:dyDescent="0.25">
      <c r="A49" s="6" t="s">
        <v>36</v>
      </c>
      <c r="D49" s="6">
        <v>1.2223819455675271E-3</v>
      </c>
      <c r="E49" s="6" t="s">
        <v>5</v>
      </c>
      <c r="F49" s="6" t="s">
        <v>37</v>
      </c>
      <c r="G49" s="6" t="s">
        <v>38</v>
      </c>
      <c r="H49" s="6" t="s">
        <v>39</v>
      </c>
      <c r="J49" s="6" t="s">
        <v>129</v>
      </c>
    </row>
    <row r="50" spans="1:14" x14ac:dyDescent="0.25">
      <c r="A50" s="6" t="s">
        <v>36</v>
      </c>
      <c r="D50" s="6">
        <v>1.3310874180408641E-7</v>
      </c>
      <c r="E50" s="6" t="s">
        <v>5</v>
      </c>
      <c r="F50" s="6" t="s">
        <v>37</v>
      </c>
      <c r="G50" s="6" t="s">
        <v>38</v>
      </c>
      <c r="H50" s="6" t="s">
        <v>39</v>
      </c>
      <c r="J50" s="6" t="s">
        <v>129</v>
      </c>
    </row>
    <row r="51" spans="1:14" x14ac:dyDescent="0.25">
      <c r="A51" s="6" t="s">
        <v>36</v>
      </c>
      <c r="D51" s="6">
        <v>3.3772967286436842E-5</v>
      </c>
      <c r="E51" s="6" t="s">
        <v>5</v>
      </c>
      <c r="F51" s="6" t="s">
        <v>37</v>
      </c>
      <c r="G51" s="6" t="s">
        <v>38</v>
      </c>
      <c r="H51" s="6" t="s">
        <v>39</v>
      </c>
      <c r="J51" s="6" t="s">
        <v>129</v>
      </c>
    </row>
    <row r="52" spans="1:14" s="11" customFormat="1" x14ac:dyDescent="0.25"/>
    <row r="53" spans="1:14" x14ac:dyDescent="0.25">
      <c r="A53" s="7" t="s">
        <v>0</v>
      </c>
      <c r="B53" s="7" t="s">
        <v>172</v>
      </c>
    </row>
    <row r="54" spans="1:14" x14ac:dyDescent="0.25">
      <c r="A54" s="8" t="s">
        <v>1</v>
      </c>
      <c r="B54" s="6" t="s">
        <v>125</v>
      </c>
    </row>
    <row r="55" spans="1:14" x14ac:dyDescent="0.25">
      <c r="A55" s="8" t="s">
        <v>2</v>
      </c>
      <c r="B55" s="6" t="s">
        <v>126</v>
      </c>
    </row>
    <row r="56" spans="1:14" x14ac:dyDescent="0.25">
      <c r="A56" s="8" t="s">
        <v>3</v>
      </c>
      <c r="B56" s="6">
        <v>1</v>
      </c>
    </row>
    <row r="57" spans="1:14" x14ac:dyDescent="0.25">
      <c r="A57" s="8" t="s">
        <v>4</v>
      </c>
      <c r="B57" s="6" t="s">
        <v>33</v>
      </c>
    </row>
    <row r="58" spans="1:14" ht="60" x14ac:dyDescent="0.25">
      <c r="A58" s="8" t="s">
        <v>6</v>
      </c>
      <c r="B58" s="12" t="s">
        <v>187</v>
      </c>
    </row>
    <row r="59" spans="1:14" x14ac:dyDescent="0.25">
      <c r="A59" s="8" t="s">
        <v>8</v>
      </c>
    </row>
    <row r="60" spans="1:14" x14ac:dyDescent="0.25">
      <c r="A60" s="7" t="s">
        <v>9</v>
      </c>
      <c r="B60" s="7" t="s">
        <v>1</v>
      </c>
      <c r="C60" s="7" t="s">
        <v>2</v>
      </c>
      <c r="D60" s="7" t="s">
        <v>3</v>
      </c>
      <c r="E60" s="7" t="s">
        <v>4</v>
      </c>
      <c r="F60" s="7" t="s">
        <v>10</v>
      </c>
      <c r="G60" s="7" t="s">
        <v>11</v>
      </c>
      <c r="H60" s="7" t="s">
        <v>12</v>
      </c>
      <c r="I60" s="7" t="s">
        <v>13</v>
      </c>
      <c r="J60" s="7" t="s">
        <v>14</v>
      </c>
      <c r="K60" s="7" t="s">
        <v>15</v>
      </c>
      <c r="L60" s="7" t="s">
        <v>16</v>
      </c>
      <c r="M60" s="7" t="s">
        <v>17</v>
      </c>
      <c r="N60" s="7" t="s">
        <v>18</v>
      </c>
    </row>
    <row r="61" spans="1:14" x14ac:dyDescent="0.25">
      <c r="A61" s="6" t="str">
        <f>B53</f>
        <v>Quartz mining and silica sand production in the US through magnetic separation</v>
      </c>
      <c r="B61" s="6" t="str">
        <f>B54</f>
        <v>Silica sand</v>
      </c>
      <c r="C61" s="6" t="str">
        <f>B55</f>
        <v>US</v>
      </c>
      <c r="D61" s="6">
        <v>1</v>
      </c>
      <c r="E61" s="6" t="s">
        <v>33</v>
      </c>
      <c r="F61" s="9" t="str">
        <f>F9</f>
        <v>Silicon</v>
      </c>
      <c r="G61" s="6" t="s">
        <v>19</v>
      </c>
    </row>
    <row r="62" spans="1:14" s="13" customFormat="1" x14ac:dyDescent="0.25">
      <c r="A62" s="13" t="s">
        <v>185</v>
      </c>
      <c r="B62" s="13" t="s">
        <v>186</v>
      </c>
      <c r="C62" s="13" t="s">
        <v>53</v>
      </c>
      <c r="D62" s="13">
        <v>1</v>
      </c>
      <c r="E62" s="13" t="s">
        <v>33</v>
      </c>
      <c r="F62" s="13" t="s">
        <v>24</v>
      </c>
      <c r="G62" s="13" t="s">
        <v>25</v>
      </c>
    </row>
    <row r="63" spans="1:14" x14ac:dyDescent="0.25">
      <c r="A63" s="6" t="str">
        <f>A9</f>
        <v>[M+C] Silica sand production - Magnetic separation</v>
      </c>
      <c r="B63" s="6" t="str">
        <f>B9</f>
        <v>Silica sand</v>
      </c>
      <c r="C63" s="6" t="str">
        <f>C9</f>
        <v>US</v>
      </c>
      <c r="D63" s="6">
        <v>2.871428571428571</v>
      </c>
      <c r="E63" s="6" t="str">
        <f>E9</f>
        <v>kilogram</v>
      </c>
      <c r="F63" s="9" t="str">
        <f>F9</f>
        <v>Silicon</v>
      </c>
      <c r="G63" s="6" t="s">
        <v>25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39997558519241921"/>
  </sheetPr>
  <dimension ref="A1:N68"/>
  <sheetViews>
    <sheetView workbookViewId="0"/>
  </sheetViews>
  <sheetFormatPr baseColWidth="10" defaultColWidth="8.7109375" defaultRowHeight="15" x14ac:dyDescent="0.25"/>
  <cols>
    <col min="1" max="1" width="67.5703125" style="6" bestFit="1" customWidth="1"/>
    <col min="2" max="2" width="68.140625" style="6" bestFit="1" customWidth="1"/>
    <col min="3" max="3" width="7.5703125" style="6" bestFit="1" customWidth="1"/>
    <col min="4" max="4" width="11.85546875" style="6" bestFit="1" customWidth="1"/>
    <col min="5" max="5" width="12" style="6" bestFit="1" customWidth="1"/>
    <col min="6" max="6" width="18.42578125" style="6" bestFit="1" customWidth="1"/>
    <col min="7" max="7" width="12.28515625" style="6" bestFit="1" customWidth="1"/>
    <col min="8" max="8" width="23.85546875" style="6" bestFit="1" customWidth="1"/>
    <col min="9" max="9" width="14.5703125" style="6" bestFit="1" customWidth="1"/>
    <col min="10" max="10" width="8.85546875" style="6" bestFit="1" customWidth="1"/>
    <col min="11" max="11" width="3.42578125" style="6" bestFit="1" customWidth="1"/>
    <col min="12" max="12" width="5" style="6" bestFit="1" customWidth="1"/>
    <col min="13" max="13" width="8.85546875" style="6" bestFit="1" customWidth="1"/>
    <col min="14" max="14" width="9.28515625" style="6" bestFit="1" customWidth="1"/>
    <col min="15" max="16384" width="8.7109375" style="6"/>
  </cols>
  <sheetData>
    <row r="1" spans="1:14" x14ac:dyDescent="0.25">
      <c r="A1" s="7" t="s">
        <v>0</v>
      </c>
      <c r="B1" s="7" t="s">
        <v>173</v>
      </c>
    </row>
    <row r="2" spans="1:14" x14ac:dyDescent="0.25">
      <c r="A2" s="8" t="s">
        <v>1</v>
      </c>
      <c r="B2" s="6" t="s">
        <v>125</v>
      </c>
    </row>
    <row r="3" spans="1:14" x14ac:dyDescent="0.25">
      <c r="A3" s="8" t="s">
        <v>2</v>
      </c>
      <c r="B3" s="6" t="s">
        <v>126</v>
      </c>
    </row>
    <row r="4" spans="1:14" x14ac:dyDescent="0.25">
      <c r="A4" s="8" t="s">
        <v>3</v>
      </c>
      <c r="B4" s="6">
        <v>1</v>
      </c>
    </row>
    <row r="5" spans="1:14" x14ac:dyDescent="0.25">
      <c r="A5" s="8" t="s">
        <v>4</v>
      </c>
      <c r="B5" s="6" t="s">
        <v>33</v>
      </c>
    </row>
    <row r="6" spans="1:14" x14ac:dyDescent="0.25">
      <c r="A6" s="8" t="s">
        <v>6</v>
      </c>
      <c r="B6" s="6" t="s">
        <v>7</v>
      </c>
    </row>
    <row r="7" spans="1:14" x14ac:dyDescent="0.25">
      <c r="A7" s="8" t="s">
        <v>8</v>
      </c>
    </row>
    <row r="8" spans="1:14" x14ac:dyDescent="0.25">
      <c r="A8" s="7" t="s">
        <v>9</v>
      </c>
      <c r="B8" s="7" t="s">
        <v>1</v>
      </c>
      <c r="C8" s="7" t="s">
        <v>2</v>
      </c>
      <c r="D8" s="7" t="s">
        <v>3</v>
      </c>
      <c r="E8" s="7" t="s">
        <v>4</v>
      </c>
      <c r="F8" s="7" t="s">
        <v>10</v>
      </c>
      <c r="G8" s="7" t="s">
        <v>11</v>
      </c>
      <c r="H8" s="7" t="s">
        <v>12</v>
      </c>
      <c r="I8" s="7" t="s">
        <v>13</v>
      </c>
      <c r="J8" s="7" t="s">
        <v>14</v>
      </c>
      <c r="K8" s="7" t="s">
        <v>15</v>
      </c>
      <c r="L8" s="7" t="s">
        <v>16</v>
      </c>
      <c r="M8" s="7" t="s">
        <v>17</v>
      </c>
      <c r="N8" s="7" t="s">
        <v>18</v>
      </c>
    </row>
    <row r="9" spans="1:14" x14ac:dyDescent="0.25">
      <c r="A9" s="6" t="str">
        <f>B1</f>
        <v>[M+C] Silica sand production - Flotation</v>
      </c>
      <c r="B9" s="6" t="str">
        <f>B2</f>
        <v>Silica sand</v>
      </c>
      <c r="C9" s="6" t="str">
        <f>B3</f>
        <v>US</v>
      </c>
      <c r="D9" s="6">
        <v>1</v>
      </c>
      <c r="E9" s="6" t="s">
        <v>33</v>
      </c>
      <c r="F9" s="9" t="str">
        <f>'MG-Si_Market_GLO'!B1</f>
        <v>Silicon</v>
      </c>
      <c r="G9" s="6" t="s">
        <v>19</v>
      </c>
    </row>
    <row r="10" spans="1:14" x14ac:dyDescent="0.25">
      <c r="A10" s="6" t="s">
        <v>127</v>
      </c>
      <c r="B10" s="6" t="s">
        <v>128</v>
      </c>
      <c r="C10" s="6" t="s">
        <v>53</v>
      </c>
      <c r="D10" s="6">
        <v>4.4913806062926118E-5</v>
      </c>
      <c r="E10" s="6" t="s">
        <v>33</v>
      </c>
      <c r="F10" s="6" t="s">
        <v>24</v>
      </c>
      <c r="G10" s="6" t="s">
        <v>25</v>
      </c>
      <c r="J10" s="6" t="s">
        <v>129</v>
      </c>
    </row>
    <row r="11" spans="1:14" x14ac:dyDescent="0.25">
      <c r="A11" s="6" t="s">
        <v>134</v>
      </c>
      <c r="B11" s="6" t="s">
        <v>135</v>
      </c>
      <c r="C11" s="6" t="s">
        <v>53</v>
      </c>
      <c r="D11" s="6">
        <v>2.2456903031463059E-5</v>
      </c>
      <c r="E11" s="6" t="s">
        <v>33</v>
      </c>
      <c r="F11" s="6" t="s">
        <v>24</v>
      </c>
      <c r="G11" s="6" t="s">
        <v>25</v>
      </c>
      <c r="J11" s="6" t="s">
        <v>129</v>
      </c>
    </row>
    <row r="12" spans="1:14" x14ac:dyDescent="0.25">
      <c r="A12" s="6" t="s">
        <v>127</v>
      </c>
      <c r="B12" s="6" t="s">
        <v>128</v>
      </c>
      <c r="C12" s="6" t="s">
        <v>53</v>
      </c>
      <c r="D12" s="6">
        <v>5.0502780430576607E-6</v>
      </c>
      <c r="E12" s="6" t="s">
        <v>33</v>
      </c>
      <c r="F12" s="6" t="s">
        <v>24</v>
      </c>
      <c r="G12" s="6" t="s">
        <v>25</v>
      </c>
      <c r="J12" s="6" t="s">
        <v>129</v>
      </c>
    </row>
    <row r="13" spans="1:14" x14ac:dyDescent="0.25">
      <c r="A13" s="6" t="s">
        <v>136</v>
      </c>
      <c r="B13" s="6" t="s">
        <v>137</v>
      </c>
      <c r="C13" s="6" t="s">
        <v>29</v>
      </c>
      <c r="D13" s="6">
        <v>7.3734059428641847E-6</v>
      </c>
      <c r="E13" s="6" t="s">
        <v>33</v>
      </c>
      <c r="F13" s="6" t="s">
        <v>24</v>
      </c>
      <c r="G13" s="6" t="s">
        <v>25</v>
      </c>
      <c r="J13" s="6" t="s">
        <v>129</v>
      </c>
    </row>
    <row r="14" spans="1:14" x14ac:dyDescent="0.25">
      <c r="A14" s="6" t="s">
        <v>27</v>
      </c>
      <c r="B14" s="6" t="s">
        <v>28</v>
      </c>
      <c r="C14" s="6" t="s">
        <v>29</v>
      </c>
      <c r="D14" s="6">
        <v>1.374332163857281E-2</v>
      </c>
      <c r="E14" s="6" t="s">
        <v>30</v>
      </c>
      <c r="F14" s="6" t="s">
        <v>24</v>
      </c>
      <c r="G14" s="6" t="s">
        <v>25</v>
      </c>
      <c r="J14" s="6" t="s">
        <v>129</v>
      </c>
    </row>
    <row r="15" spans="1:14" x14ac:dyDescent="0.25">
      <c r="A15" s="6" t="s">
        <v>144</v>
      </c>
      <c r="B15" s="6" t="s">
        <v>145</v>
      </c>
      <c r="C15" s="6" t="s">
        <v>29</v>
      </c>
      <c r="D15" s="6">
        <v>8.146098483452007E-7</v>
      </c>
      <c r="E15" s="6" t="s">
        <v>146</v>
      </c>
      <c r="F15" s="6" t="s">
        <v>24</v>
      </c>
      <c r="G15" s="6" t="s">
        <v>25</v>
      </c>
      <c r="J15" s="6" t="s">
        <v>129</v>
      </c>
    </row>
    <row r="16" spans="1:14" x14ac:dyDescent="0.25">
      <c r="A16" s="6" t="s">
        <v>157</v>
      </c>
      <c r="B16" s="6" t="s">
        <v>158</v>
      </c>
      <c r="C16" s="6" t="s">
        <v>126</v>
      </c>
      <c r="D16" s="6">
        <v>1.9369499721140479E-4</v>
      </c>
      <c r="E16" s="6" t="s">
        <v>23</v>
      </c>
      <c r="F16" s="6" t="s">
        <v>24</v>
      </c>
      <c r="G16" s="6" t="s">
        <v>25</v>
      </c>
      <c r="J16" s="6" t="s">
        <v>129</v>
      </c>
    </row>
    <row r="17" spans="1:10" x14ac:dyDescent="0.25">
      <c r="A17" s="6" t="s">
        <v>159</v>
      </c>
      <c r="B17" s="6" t="s">
        <v>160</v>
      </c>
      <c r="C17" s="6" t="s">
        <v>53</v>
      </c>
      <c r="D17" s="6">
        <v>1.010560636415838E-2</v>
      </c>
      <c r="E17" s="6" t="s">
        <v>96</v>
      </c>
      <c r="F17" s="6" t="s">
        <v>24</v>
      </c>
      <c r="G17" s="6" t="s">
        <v>25</v>
      </c>
      <c r="J17" s="6" t="s">
        <v>129</v>
      </c>
    </row>
    <row r="18" spans="1:10" x14ac:dyDescent="0.25">
      <c r="A18" s="6" t="s">
        <v>138</v>
      </c>
      <c r="B18" s="6" t="s">
        <v>139</v>
      </c>
      <c r="C18" s="6" t="s">
        <v>29</v>
      </c>
      <c r="D18" s="6">
        <v>2.5102070327815231E-5</v>
      </c>
      <c r="E18" s="6" t="s">
        <v>96</v>
      </c>
      <c r="F18" s="6" t="s">
        <v>24</v>
      </c>
      <c r="G18" s="6" t="s">
        <v>25</v>
      </c>
      <c r="J18" s="6" t="s">
        <v>129</v>
      </c>
    </row>
    <row r="19" spans="1:10" x14ac:dyDescent="0.25">
      <c r="A19" s="6" t="s">
        <v>20</v>
      </c>
      <c r="B19" s="6" t="s">
        <v>21</v>
      </c>
      <c r="C19" s="6" t="s">
        <v>126</v>
      </c>
      <c r="D19" s="6">
        <v>1.5888174723459401E-4</v>
      </c>
      <c r="E19" s="6" t="s">
        <v>23</v>
      </c>
      <c r="F19" s="6" t="s">
        <v>24</v>
      </c>
      <c r="G19" s="6" t="s">
        <v>25</v>
      </c>
      <c r="J19" s="6" t="s">
        <v>129</v>
      </c>
    </row>
    <row r="20" spans="1:10" x14ac:dyDescent="0.25">
      <c r="A20" s="6" t="s">
        <v>20</v>
      </c>
      <c r="B20" s="6" t="s">
        <v>21</v>
      </c>
      <c r="C20" s="6" t="s">
        <v>126</v>
      </c>
      <c r="D20" s="6">
        <v>2.3832262085189099E-4</v>
      </c>
      <c r="E20" s="6" t="s">
        <v>23</v>
      </c>
      <c r="F20" s="6" t="s">
        <v>24</v>
      </c>
      <c r="G20" s="6" t="s">
        <v>25</v>
      </c>
      <c r="J20" s="6" t="s">
        <v>129</v>
      </c>
    </row>
    <row r="21" spans="1:10" x14ac:dyDescent="0.25">
      <c r="A21" s="6" t="s">
        <v>20</v>
      </c>
      <c r="B21" s="6" t="s">
        <v>21</v>
      </c>
      <c r="C21" s="6" t="s">
        <v>126</v>
      </c>
      <c r="D21" s="6">
        <v>3.5272825278729052E-4</v>
      </c>
      <c r="E21" s="6" t="s">
        <v>23</v>
      </c>
      <c r="F21" s="6" t="s">
        <v>24</v>
      </c>
      <c r="G21" s="6" t="s">
        <v>25</v>
      </c>
      <c r="J21" s="6" t="s">
        <v>129</v>
      </c>
    </row>
    <row r="22" spans="1:10" x14ac:dyDescent="0.25">
      <c r="A22" s="6" t="s">
        <v>20</v>
      </c>
      <c r="B22" s="6" t="s">
        <v>21</v>
      </c>
      <c r="C22" s="6" t="s">
        <v>126</v>
      </c>
      <c r="D22" s="6">
        <v>8.8704766974279103E-4</v>
      </c>
      <c r="E22" s="6" t="s">
        <v>23</v>
      </c>
      <c r="F22" s="6" t="s">
        <v>24</v>
      </c>
      <c r="G22" s="6" t="s">
        <v>25</v>
      </c>
      <c r="J22" s="6" t="s">
        <v>129</v>
      </c>
    </row>
    <row r="23" spans="1:10" x14ac:dyDescent="0.25">
      <c r="A23" s="6" t="s">
        <v>20</v>
      </c>
      <c r="B23" s="6" t="s">
        <v>21</v>
      </c>
      <c r="C23" s="6" t="s">
        <v>126</v>
      </c>
      <c r="D23" s="6">
        <v>1.100118900379394E-4</v>
      </c>
      <c r="E23" s="6" t="s">
        <v>23</v>
      </c>
      <c r="F23" s="6" t="s">
        <v>24</v>
      </c>
      <c r="G23" s="6" t="s">
        <v>25</v>
      </c>
      <c r="J23" s="6" t="s">
        <v>129</v>
      </c>
    </row>
    <row r="24" spans="1:10" x14ac:dyDescent="0.25">
      <c r="A24" s="6" t="s">
        <v>20</v>
      </c>
      <c r="B24" s="6" t="s">
        <v>21</v>
      </c>
      <c r="C24" s="6" t="s">
        <v>126</v>
      </c>
      <c r="D24" s="6">
        <v>1.185300256705633E-4</v>
      </c>
      <c r="E24" s="6" t="s">
        <v>23</v>
      </c>
      <c r="F24" s="6" t="s">
        <v>24</v>
      </c>
      <c r="G24" s="6" t="s">
        <v>25</v>
      </c>
      <c r="J24" s="6" t="s">
        <v>129</v>
      </c>
    </row>
    <row r="25" spans="1:10" x14ac:dyDescent="0.25">
      <c r="A25" s="6" t="s">
        <v>20</v>
      </c>
      <c r="B25" s="6" t="s">
        <v>21</v>
      </c>
      <c r="C25" s="6" t="s">
        <v>126</v>
      </c>
      <c r="D25" s="6">
        <v>2.3832262085189099E-4</v>
      </c>
      <c r="E25" s="6" t="s">
        <v>23</v>
      </c>
      <c r="F25" s="6" t="s">
        <v>24</v>
      </c>
      <c r="G25" s="6" t="s">
        <v>25</v>
      </c>
      <c r="J25" s="6" t="s">
        <v>129</v>
      </c>
    </row>
    <row r="26" spans="1:10" x14ac:dyDescent="0.25">
      <c r="A26" s="6" t="s">
        <v>20</v>
      </c>
      <c r="B26" s="6" t="s">
        <v>21</v>
      </c>
      <c r="C26" s="6" t="s">
        <v>126</v>
      </c>
      <c r="D26" s="6">
        <v>7.9440873617297005E-4</v>
      </c>
      <c r="E26" s="6" t="s">
        <v>23</v>
      </c>
      <c r="F26" s="6" t="s">
        <v>24</v>
      </c>
      <c r="G26" s="6" t="s">
        <v>25</v>
      </c>
      <c r="J26" s="6" t="s">
        <v>129</v>
      </c>
    </row>
    <row r="27" spans="1:10" x14ac:dyDescent="0.25">
      <c r="A27" s="6" t="s">
        <v>20</v>
      </c>
      <c r="B27" s="6" t="s">
        <v>21</v>
      </c>
      <c r="C27" s="6" t="s">
        <v>126</v>
      </c>
      <c r="D27" s="6">
        <v>9.5329048340756395E-4</v>
      </c>
      <c r="E27" s="6" t="s">
        <v>23</v>
      </c>
      <c r="F27" s="6" t="s">
        <v>24</v>
      </c>
      <c r="G27" s="6" t="s">
        <v>25</v>
      </c>
      <c r="J27" s="6" t="s">
        <v>129</v>
      </c>
    </row>
    <row r="28" spans="1:10" x14ac:dyDescent="0.25">
      <c r="A28" s="6" t="s">
        <v>20</v>
      </c>
      <c r="B28" s="6" t="s">
        <v>21</v>
      </c>
      <c r="C28" s="6" t="s">
        <v>126</v>
      </c>
      <c r="D28" s="6">
        <v>4.3790960911352969E-4</v>
      </c>
      <c r="E28" s="6" t="s">
        <v>23</v>
      </c>
      <c r="F28" s="6" t="s">
        <v>24</v>
      </c>
      <c r="G28" s="6" t="s">
        <v>25</v>
      </c>
      <c r="J28" s="6" t="s">
        <v>129</v>
      </c>
    </row>
    <row r="29" spans="1:10" x14ac:dyDescent="0.25">
      <c r="A29" s="6" t="s">
        <v>20</v>
      </c>
      <c r="B29" s="6" t="s">
        <v>21</v>
      </c>
      <c r="C29" s="6" t="s">
        <v>126</v>
      </c>
      <c r="D29" s="6">
        <v>7.410778000382811E-4</v>
      </c>
      <c r="E29" s="6" t="s">
        <v>23</v>
      </c>
      <c r="F29" s="6" t="s">
        <v>24</v>
      </c>
      <c r="G29" s="6" t="s">
        <v>25</v>
      </c>
      <c r="J29" s="6" t="s">
        <v>129</v>
      </c>
    </row>
    <row r="30" spans="1:10" x14ac:dyDescent="0.25">
      <c r="A30" s="6" t="s">
        <v>174</v>
      </c>
      <c r="B30" s="6" t="s">
        <v>175</v>
      </c>
      <c r="C30" s="6" t="s">
        <v>53</v>
      </c>
      <c r="D30" s="6">
        <v>4.023388174302603E-8</v>
      </c>
      <c r="E30" s="6" t="s">
        <v>33</v>
      </c>
      <c r="F30" s="6" t="s">
        <v>24</v>
      </c>
      <c r="G30" s="6" t="s">
        <v>25</v>
      </c>
      <c r="J30" s="6" t="s">
        <v>129</v>
      </c>
    </row>
    <row r="31" spans="1:10" x14ac:dyDescent="0.25">
      <c r="A31" s="6" t="s">
        <v>176</v>
      </c>
      <c r="B31" s="6" t="s">
        <v>177</v>
      </c>
      <c r="C31" s="6" t="s">
        <v>29</v>
      </c>
      <c r="D31" s="6">
        <v>4.5233657005653112E-7</v>
      </c>
      <c r="E31" s="6" t="s">
        <v>33</v>
      </c>
      <c r="F31" s="6" t="s">
        <v>24</v>
      </c>
      <c r="G31" s="6" t="s">
        <v>25</v>
      </c>
      <c r="J31" s="6" t="s">
        <v>129</v>
      </c>
    </row>
    <row r="32" spans="1:10" x14ac:dyDescent="0.25">
      <c r="A32" s="6" t="s">
        <v>20</v>
      </c>
      <c r="B32" s="6" t="s">
        <v>21</v>
      </c>
      <c r="C32" s="6" t="s">
        <v>126</v>
      </c>
      <c r="D32" s="6">
        <v>2.4702593334609372E-4</v>
      </c>
      <c r="E32" s="6" t="s">
        <v>23</v>
      </c>
      <c r="F32" s="6" t="s">
        <v>24</v>
      </c>
      <c r="G32" s="6" t="s">
        <v>25</v>
      </c>
      <c r="J32" s="6" t="s">
        <v>129</v>
      </c>
    </row>
    <row r="33" spans="1:10" x14ac:dyDescent="0.25">
      <c r="A33" s="6" t="s">
        <v>134</v>
      </c>
      <c r="B33" s="6" t="s">
        <v>135</v>
      </c>
      <c r="C33" s="6" t="s">
        <v>53</v>
      </c>
      <c r="D33" s="6">
        <v>3.1665243329971528E-4</v>
      </c>
      <c r="E33" s="6" t="s">
        <v>33</v>
      </c>
      <c r="F33" s="6" t="s">
        <v>24</v>
      </c>
      <c r="G33" s="6" t="s">
        <v>25</v>
      </c>
      <c r="J33" s="6" t="s">
        <v>129</v>
      </c>
    </row>
    <row r="34" spans="1:10" x14ac:dyDescent="0.25">
      <c r="A34" s="6" t="s">
        <v>174</v>
      </c>
      <c r="B34" s="6" t="s">
        <v>175</v>
      </c>
      <c r="C34" s="6" t="s">
        <v>53</v>
      </c>
      <c r="D34" s="6">
        <v>2.9796640454040199E-8</v>
      </c>
      <c r="E34" s="6" t="s">
        <v>33</v>
      </c>
      <c r="F34" s="6" t="s">
        <v>24</v>
      </c>
      <c r="G34" s="6" t="s">
        <v>25</v>
      </c>
      <c r="J34" s="6" t="s">
        <v>129</v>
      </c>
    </row>
    <row r="35" spans="1:10" x14ac:dyDescent="0.25">
      <c r="A35" s="6" t="s">
        <v>20</v>
      </c>
      <c r="B35" s="6" t="s">
        <v>21</v>
      </c>
      <c r="C35" s="6" t="s">
        <v>126</v>
      </c>
      <c r="D35" s="6">
        <v>2.4702593334609372E-4</v>
      </c>
      <c r="E35" s="6" t="s">
        <v>23</v>
      </c>
      <c r="F35" s="6" t="s">
        <v>24</v>
      </c>
      <c r="G35" s="6" t="s">
        <v>25</v>
      </c>
      <c r="J35" s="6" t="s">
        <v>129</v>
      </c>
    </row>
    <row r="36" spans="1:10" x14ac:dyDescent="0.25">
      <c r="A36" s="6" t="s">
        <v>178</v>
      </c>
      <c r="B36" s="6" t="s">
        <v>179</v>
      </c>
      <c r="C36" s="6" t="s">
        <v>29</v>
      </c>
      <c r="D36" s="6">
        <v>3.0082822876480132E-4</v>
      </c>
      <c r="E36" s="6" t="s">
        <v>33</v>
      </c>
      <c r="F36" s="6" t="s">
        <v>24</v>
      </c>
      <c r="G36" s="6" t="s">
        <v>25</v>
      </c>
      <c r="J36" s="6" t="s">
        <v>129</v>
      </c>
    </row>
    <row r="37" spans="1:10" x14ac:dyDescent="0.25">
      <c r="A37" s="6" t="s">
        <v>20</v>
      </c>
      <c r="B37" s="6" t="s">
        <v>21</v>
      </c>
      <c r="C37" s="6" t="s">
        <v>126</v>
      </c>
      <c r="D37" s="6">
        <v>2.4702593334609372E-4</v>
      </c>
      <c r="E37" s="6" t="s">
        <v>23</v>
      </c>
      <c r="F37" s="6" t="s">
        <v>24</v>
      </c>
      <c r="G37" s="6" t="s">
        <v>25</v>
      </c>
      <c r="J37" s="6" t="s">
        <v>129</v>
      </c>
    </row>
    <row r="38" spans="1:10" x14ac:dyDescent="0.25">
      <c r="A38" s="6" t="s">
        <v>174</v>
      </c>
      <c r="B38" s="6" t="s">
        <v>175</v>
      </c>
      <c r="C38" s="6" t="s">
        <v>53</v>
      </c>
      <c r="D38" s="6">
        <v>2.6766473628205599E-5</v>
      </c>
      <c r="E38" s="6" t="s">
        <v>33</v>
      </c>
      <c r="F38" s="6" t="s">
        <v>24</v>
      </c>
      <c r="G38" s="6" t="s">
        <v>25</v>
      </c>
      <c r="J38" s="6" t="s">
        <v>129</v>
      </c>
    </row>
    <row r="39" spans="1:10" x14ac:dyDescent="0.25">
      <c r="A39" s="6" t="s">
        <v>20</v>
      </c>
      <c r="B39" s="6" t="s">
        <v>21</v>
      </c>
      <c r="C39" s="6" t="s">
        <v>126</v>
      </c>
      <c r="D39" s="6">
        <v>2.4702593334609372E-4</v>
      </c>
      <c r="E39" s="6" t="s">
        <v>23</v>
      </c>
      <c r="F39" s="6" t="s">
        <v>24</v>
      </c>
      <c r="G39" s="6" t="s">
        <v>25</v>
      </c>
      <c r="J39" s="6" t="s">
        <v>129</v>
      </c>
    </row>
    <row r="40" spans="1:10" x14ac:dyDescent="0.25">
      <c r="A40" s="6" t="s">
        <v>161</v>
      </c>
      <c r="B40" s="6" t="s">
        <v>162</v>
      </c>
      <c r="C40" s="6" t="s">
        <v>53</v>
      </c>
      <c r="D40" s="6">
        <v>5.9307098485640456E-4</v>
      </c>
      <c r="E40" s="6" t="s">
        <v>33</v>
      </c>
      <c r="F40" s="6" t="s">
        <v>24</v>
      </c>
      <c r="G40" s="6" t="s">
        <v>25</v>
      </c>
      <c r="J40" s="6" t="s">
        <v>129</v>
      </c>
    </row>
    <row r="41" spans="1:10" x14ac:dyDescent="0.25">
      <c r="A41" s="6" t="s">
        <v>20</v>
      </c>
      <c r="B41" s="6" t="s">
        <v>21</v>
      </c>
      <c r="C41" s="6" t="s">
        <v>126</v>
      </c>
      <c r="D41" s="6">
        <v>2.4702593334609372E-4</v>
      </c>
      <c r="E41" s="6" t="s">
        <v>23</v>
      </c>
      <c r="F41" s="6" t="s">
        <v>24</v>
      </c>
      <c r="G41" s="6" t="s">
        <v>25</v>
      </c>
      <c r="J41" s="6" t="s">
        <v>129</v>
      </c>
    </row>
    <row r="42" spans="1:10" x14ac:dyDescent="0.25">
      <c r="A42" s="6" t="s">
        <v>134</v>
      </c>
      <c r="B42" s="6" t="s">
        <v>135</v>
      </c>
      <c r="C42" s="6" t="s">
        <v>53</v>
      </c>
      <c r="D42" s="6">
        <v>2.6581296766626822E-4</v>
      </c>
      <c r="E42" s="6" t="s">
        <v>33</v>
      </c>
      <c r="F42" s="6" t="s">
        <v>24</v>
      </c>
      <c r="G42" s="6" t="s">
        <v>25</v>
      </c>
      <c r="J42" s="6" t="s">
        <v>129</v>
      </c>
    </row>
    <row r="43" spans="1:10" x14ac:dyDescent="0.25">
      <c r="A43" s="6" t="s">
        <v>27</v>
      </c>
      <c r="B43" s="6" t="s">
        <v>28</v>
      </c>
      <c r="C43" s="6" t="s">
        <v>29</v>
      </c>
      <c r="D43" s="6">
        <v>4.5490379472841874E-3</v>
      </c>
      <c r="E43" s="6" t="s">
        <v>30</v>
      </c>
      <c r="F43" s="6" t="s">
        <v>24</v>
      </c>
      <c r="G43" s="6" t="s">
        <v>25</v>
      </c>
      <c r="J43" s="6" t="s">
        <v>129</v>
      </c>
    </row>
    <row r="44" spans="1:10" x14ac:dyDescent="0.25">
      <c r="A44" s="6" t="s">
        <v>20</v>
      </c>
      <c r="B44" s="6" t="s">
        <v>21</v>
      </c>
      <c r="C44" s="6" t="s">
        <v>126</v>
      </c>
      <c r="D44" s="6">
        <v>7.4341506871660812E-4</v>
      </c>
      <c r="E44" s="6" t="s">
        <v>23</v>
      </c>
      <c r="F44" s="6" t="s">
        <v>24</v>
      </c>
      <c r="G44" s="6" t="s">
        <v>25</v>
      </c>
      <c r="J44" s="6" t="s">
        <v>129</v>
      </c>
    </row>
    <row r="45" spans="1:10" x14ac:dyDescent="0.25">
      <c r="A45" s="6" t="s">
        <v>142</v>
      </c>
      <c r="B45" s="6" t="s">
        <v>143</v>
      </c>
      <c r="C45" s="6" t="s">
        <v>53</v>
      </c>
      <c r="D45" s="6">
        <v>6.6899875039286953E-3</v>
      </c>
      <c r="E45" s="6" t="s">
        <v>96</v>
      </c>
      <c r="F45" s="6" t="s">
        <v>24</v>
      </c>
      <c r="G45" s="6" t="s">
        <v>25</v>
      </c>
      <c r="J45" s="6" t="s">
        <v>129</v>
      </c>
    </row>
    <row r="46" spans="1:10" x14ac:dyDescent="0.25">
      <c r="A46" s="6" t="s">
        <v>134</v>
      </c>
      <c r="B46" s="6" t="s">
        <v>135</v>
      </c>
      <c r="C46" s="6" t="s">
        <v>53</v>
      </c>
      <c r="D46" s="6">
        <v>2.6202525913397502E-3</v>
      </c>
      <c r="E46" s="6" t="s">
        <v>33</v>
      </c>
      <c r="F46" s="6" t="s">
        <v>24</v>
      </c>
      <c r="G46" s="6" t="s">
        <v>25</v>
      </c>
      <c r="J46" s="6" t="s">
        <v>129</v>
      </c>
    </row>
    <row r="47" spans="1:10" x14ac:dyDescent="0.25">
      <c r="A47" s="6" t="s">
        <v>20</v>
      </c>
      <c r="B47" s="6" t="s">
        <v>21</v>
      </c>
      <c r="C47" s="6" t="s">
        <v>126</v>
      </c>
      <c r="D47" s="6">
        <v>1.380488452791768E-4</v>
      </c>
      <c r="E47" s="6" t="s">
        <v>23</v>
      </c>
      <c r="F47" s="6" t="s">
        <v>24</v>
      </c>
      <c r="G47" s="6" t="s">
        <v>25</v>
      </c>
      <c r="J47" s="6" t="s">
        <v>129</v>
      </c>
    </row>
    <row r="48" spans="1:10" x14ac:dyDescent="0.25">
      <c r="A48" s="6" t="s">
        <v>154</v>
      </c>
      <c r="D48" s="6">
        <v>1.683426014352553</v>
      </c>
      <c r="E48" s="6" t="s">
        <v>33</v>
      </c>
      <c r="F48" s="6" t="s">
        <v>37</v>
      </c>
      <c r="G48" s="6" t="s">
        <v>38</v>
      </c>
      <c r="H48" s="6" t="s">
        <v>39</v>
      </c>
      <c r="J48" s="6" t="s">
        <v>129</v>
      </c>
    </row>
    <row r="49" spans="1:10" x14ac:dyDescent="0.25">
      <c r="A49" s="6" t="s">
        <v>169</v>
      </c>
      <c r="D49" s="6">
        <v>7.7437596660217464E-11</v>
      </c>
      <c r="E49" s="6" t="s">
        <v>146</v>
      </c>
      <c r="F49" s="6" t="s">
        <v>37</v>
      </c>
      <c r="G49" s="6" t="s">
        <v>38</v>
      </c>
      <c r="H49" s="6" t="s">
        <v>170</v>
      </c>
      <c r="J49" s="6" t="s">
        <v>129</v>
      </c>
    </row>
    <row r="50" spans="1:10" x14ac:dyDescent="0.25">
      <c r="A50" s="6" t="s">
        <v>171</v>
      </c>
      <c r="D50" s="6">
        <v>7.7437596660217464E-11</v>
      </c>
      <c r="E50" s="6" t="s">
        <v>146</v>
      </c>
      <c r="F50" s="6" t="s">
        <v>37</v>
      </c>
      <c r="G50" s="6" t="s">
        <v>38</v>
      </c>
      <c r="H50" s="6" t="s">
        <v>170</v>
      </c>
      <c r="J50" s="6" t="s">
        <v>129</v>
      </c>
    </row>
    <row r="51" spans="1:10" x14ac:dyDescent="0.25">
      <c r="A51" s="6" t="s">
        <v>36</v>
      </c>
      <c r="D51" s="6">
        <v>5.5113010913482507E-3</v>
      </c>
      <c r="E51" s="6" t="s">
        <v>5</v>
      </c>
      <c r="F51" s="6" t="s">
        <v>37</v>
      </c>
      <c r="G51" s="6" t="s">
        <v>38</v>
      </c>
      <c r="H51" s="6" t="s">
        <v>39</v>
      </c>
      <c r="J51" s="6" t="s">
        <v>129</v>
      </c>
    </row>
    <row r="52" spans="1:10" x14ac:dyDescent="0.25">
      <c r="A52" s="6" t="s">
        <v>36</v>
      </c>
      <c r="D52" s="6">
        <v>1.280043472793395E-3</v>
      </c>
      <c r="E52" s="6" t="s">
        <v>5</v>
      </c>
      <c r="F52" s="6" t="s">
        <v>37</v>
      </c>
      <c r="G52" s="6" t="s">
        <v>38</v>
      </c>
      <c r="H52" s="6" t="s">
        <v>39</v>
      </c>
      <c r="J52" s="6" t="s">
        <v>129</v>
      </c>
    </row>
    <row r="53" spans="1:10" x14ac:dyDescent="0.25">
      <c r="A53" s="6" t="s">
        <v>36</v>
      </c>
      <c r="D53" s="6">
        <v>7.2718953541987259E-7</v>
      </c>
      <c r="E53" s="6" t="s">
        <v>5</v>
      </c>
      <c r="F53" s="6" t="s">
        <v>37</v>
      </c>
      <c r="G53" s="6" t="s">
        <v>38</v>
      </c>
      <c r="H53" s="6" t="s">
        <v>39</v>
      </c>
      <c r="J53" s="6" t="s">
        <v>129</v>
      </c>
    </row>
    <row r="54" spans="1:10" x14ac:dyDescent="0.25">
      <c r="A54" s="6" t="s">
        <v>36</v>
      </c>
      <c r="D54" s="6">
        <v>2.814620958956896E-3</v>
      </c>
      <c r="E54" s="6" t="s">
        <v>5</v>
      </c>
      <c r="F54" s="6" t="s">
        <v>37</v>
      </c>
      <c r="G54" s="6" t="s">
        <v>38</v>
      </c>
      <c r="H54" s="6" t="s">
        <v>39</v>
      </c>
      <c r="J54" s="6" t="s">
        <v>129</v>
      </c>
    </row>
    <row r="55" spans="1:10" x14ac:dyDescent="0.25">
      <c r="A55" s="6" t="s">
        <v>36</v>
      </c>
      <c r="D55" s="6">
        <v>2.6738865441570218E-3</v>
      </c>
      <c r="E55" s="6" t="s">
        <v>5</v>
      </c>
      <c r="F55" s="6" t="s">
        <v>37</v>
      </c>
      <c r="G55" s="6" t="s">
        <v>38</v>
      </c>
      <c r="H55" s="6" t="s">
        <v>39</v>
      </c>
      <c r="J55" s="6" t="s">
        <v>129</v>
      </c>
    </row>
    <row r="56" spans="1:10" x14ac:dyDescent="0.25">
      <c r="A56" s="6" t="s">
        <v>36</v>
      </c>
      <c r="D56" s="6">
        <v>2.406743669939415E-3</v>
      </c>
      <c r="E56" s="6" t="s">
        <v>5</v>
      </c>
      <c r="F56" s="6" t="s">
        <v>37</v>
      </c>
      <c r="G56" s="6" t="s">
        <v>38</v>
      </c>
      <c r="H56" s="6" t="s">
        <v>39</v>
      </c>
      <c r="J56" s="6" t="s">
        <v>129</v>
      </c>
    </row>
    <row r="57" spans="1:10" s="11" customFormat="1" x14ac:dyDescent="0.25"/>
    <row r="58" spans="1:10" x14ac:dyDescent="0.25">
      <c r="A58" s="7" t="s">
        <v>0</v>
      </c>
      <c r="B58" s="7" t="s">
        <v>180</v>
      </c>
    </row>
    <row r="59" spans="1:10" x14ac:dyDescent="0.25">
      <c r="A59" s="8" t="s">
        <v>1</v>
      </c>
      <c r="B59" s="6" t="s">
        <v>125</v>
      </c>
    </row>
    <row r="60" spans="1:10" x14ac:dyDescent="0.25">
      <c r="A60" s="8" t="s">
        <v>2</v>
      </c>
      <c r="B60" s="6" t="s">
        <v>126</v>
      </c>
    </row>
    <row r="61" spans="1:10" x14ac:dyDescent="0.25">
      <c r="A61" s="8" t="s">
        <v>3</v>
      </c>
      <c r="B61" s="6">
        <v>1</v>
      </c>
    </row>
    <row r="62" spans="1:10" x14ac:dyDescent="0.25">
      <c r="A62" s="8" t="s">
        <v>4</v>
      </c>
      <c r="B62" s="6" t="s">
        <v>33</v>
      </c>
    </row>
    <row r="63" spans="1:10" ht="60" x14ac:dyDescent="0.25">
      <c r="A63" s="8" t="s">
        <v>6</v>
      </c>
      <c r="B63" s="12" t="s">
        <v>187</v>
      </c>
    </row>
    <row r="64" spans="1:10" x14ac:dyDescent="0.25">
      <c r="A64" s="8" t="s">
        <v>8</v>
      </c>
    </row>
    <row r="65" spans="1:14" x14ac:dyDescent="0.25">
      <c r="A65" s="7" t="s">
        <v>9</v>
      </c>
      <c r="B65" s="7" t="s">
        <v>1</v>
      </c>
      <c r="C65" s="7" t="s">
        <v>2</v>
      </c>
      <c r="D65" s="7" t="s">
        <v>3</v>
      </c>
      <c r="E65" s="7" t="s">
        <v>4</v>
      </c>
      <c r="F65" s="7" t="s">
        <v>10</v>
      </c>
      <c r="G65" s="7" t="s">
        <v>11</v>
      </c>
      <c r="H65" s="7" t="s">
        <v>12</v>
      </c>
      <c r="I65" s="7" t="s">
        <v>13</v>
      </c>
      <c r="J65" s="7" t="s">
        <v>14</v>
      </c>
      <c r="K65" s="7" t="s">
        <v>15</v>
      </c>
      <c r="L65" s="7" t="s">
        <v>16</v>
      </c>
      <c r="M65" s="7" t="s">
        <v>17</v>
      </c>
      <c r="N65" s="7" t="s">
        <v>18</v>
      </c>
    </row>
    <row r="66" spans="1:14" x14ac:dyDescent="0.25">
      <c r="A66" s="6" t="str">
        <f>B58</f>
        <v>Quartz mining and silica sand production in the US through flotation separation</v>
      </c>
      <c r="B66" s="6" t="str">
        <f>B59</f>
        <v>Silica sand</v>
      </c>
      <c r="C66" s="6" t="str">
        <f>B60</f>
        <v>US</v>
      </c>
      <c r="D66" s="6">
        <v>1</v>
      </c>
      <c r="E66" s="6" t="s">
        <v>33</v>
      </c>
      <c r="F66" s="9" t="str">
        <f>F9</f>
        <v>Silicon</v>
      </c>
      <c r="G66" s="6" t="s">
        <v>19</v>
      </c>
    </row>
    <row r="67" spans="1:14" s="13" customFormat="1" x14ac:dyDescent="0.25">
      <c r="A67" s="13" t="s">
        <v>185</v>
      </c>
      <c r="B67" s="13" t="s">
        <v>186</v>
      </c>
      <c r="C67" s="13" t="s">
        <v>53</v>
      </c>
      <c r="D67" s="13">
        <v>1</v>
      </c>
      <c r="E67" s="13" t="s">
        <v>33</v>
      </c>
      <c r="F67" s="13" t="s">
        <v>24</v>
      </c>
      <c r="G67" s="13" t="s">
        <v>25</v>
      </c>
    </row>
    <row r="68" spans="1:14" x14ac:dyDescent="0.25">
      <c r="A68" s="6" t="str">
        <f>A9</f>
        <v>[M+C] Silica sand production - Flotation</v>
      </c>
      <c r="B68" s="6" t="str">
        <f>B9</f>
        <v>Silica sand</v>
      </c>
      <c r="C68" s="6" t="str">
        <f>C9</f>
        <v>US</v>
      </c>
      <c r="D68" s="6">
        <v>2.871428571428571</v>
      </c>
      <c r="E68" s="6" t="str">
        <f>E9</f>
        <v>kilogram</v>
      </c>
      <c r="F68" s="9" t="str">
        <f>F9</f>
        <v>Silicon</v>
      </c>
      <c r="G68" s="6" t="s">
        <v>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8c010b-218d-4be4-b2d9-423b1f51aae5">
      <Terms xmlns="http://schemas.microsoft.com/office/infopath/2007/PartnerControls"/>
    </lcf76f155ced4ddcb4097134ff3c332f>
    <TaxCatchAll xmlns="adc0c41a-12c1-4165-8422-5f5ca88e9f6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660991-90E1-4756-999C-313012FDAE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FFD0C3-ABFD-466D-A24F-179C7EA084B4}">
  <ds:schemaRefs>
    <ds:schemaRef ds:uri="http://schemas.microsoft.com/office/2006/metadata/properties"/>
    <ds:schemaRef ds:uri="http://schemas.microsoft.com/office/infopath/2007/PartnerControls"/>
    <ds:schemaRef ds:uri="d78c010b-218d-4be4-b2d9-423b1f51aae5"/>
    <ds:schemaRef ds:uri="adc0c41a-12c1-4165-8422-5f5ca88e9f6a"/>
  </ds:schemaRefs>
</ds:datastoreItem>
</file>

<file path=customXml/itemProps3.xml><?xml version="1.0" encoding="utf-8"?>
<ds:datastoreItem xmlns:ds="http://schemas.openxmlformats.org/officeDocument/2006/customXml" ds:itemID="{51483239-51AC-40B9-9F0C-67A6570811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Note</vt:lpstr>
      <vt:lpstr>MG-Si_Market_GLO</vt:lpstr>
      <vt:lpstr>PR1_MG-Si_CN_ThermalReduction</vt:lpstr>
      <vt:lpstr>PR2_MG-Si_NO_ThermalReduction</vt:lpstr>
      <vt:lpstr>PR3_Si_US_Drying</vt:lpstr>
      <vt:lpstr>PR4_Si_US_MagneticSeparation</vt:lpstr>
      <vt:lpstr>PR5_Si_US_Flotation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Frederic</cp:lastModifiedBy>
  <dcterms:created xsi:type="dcterms:W3CDTF">2015-06-05T18:19:34Z</dcterms:created>
  <dcterms:modified xsi:type="dcterms:W3CDTF">2025-06-24T13:26:55Z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