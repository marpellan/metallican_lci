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Mo_Molybdenum/"/>
    </mc:Choice>
  </mc:AlternateContent>
  <xr:revisionPtr revIDLastSave="61" documentId="8_{16F3ED43-995E-4F7D-AD1D-7BF97C146BD9}" xr6:coauthVersionLast="47" xr6:coauthVersionMax="47" xr10:uidLastSave="{D321567F-8452-4BE4-BF95-4DCD39C8FBB7}"/>
  <bookViews>
    <workbookView xWindow="-120" yWindow="-120" windowWidth="29040" windowHeight="15840" xr2:uid="{00000000-000D-0000-FFFF-FFFF00000000}"/>
  </bookViews>
  <sheets>
    <sheet name="Note" sheetId="1" r:id="rId1"/>
    <sheet name="Mo_Market_GLO" sheetId="5" r:id="rId2"/>
    <sheet name="PR1_FeMo_US_MoMine" sheetId="2" r:id="rId3"/>
    <sheet name="PR2_FeMo_CN_MoMine" sheetId="3" r:id="rId4"/>
    <sheet name="PR3_FeMo_US_CuMin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5" l="1"/>
  <c r="C27" i="5"/>
  <c r="E27" i="5"/>
  <c r="F27" i="5"/>
  <c r="A27" i="5"/>
  <c r="B26" i="5"/>
  <c r="C26" i="5"/>
  <c r="E26" i="5"/>
  <c r="F26" i="5"/>
  <c r="A26" i="5"/>
  <c r="B25" i="5"/>
  <c r="C25" i="5"/>
  <c r="E25" i="5"/>
  <c r="F25" i="5"/>
  <c r="A25" i="5"/>
  <c r="B14" i="5"/>
  <c r="C14" i="5"/>
  <c r="E14" i="5"/>
  <c r="F14" i="5"/>
  <c r="A14" i="5"/>
  <c r="B13" i="5"/>
  <c r="C13" i="5"/>
  <c r="E13" i="5"/>
  <c r="F13" i="5"/>
  <c r="A13" i="5"/>
  <c r="B12" i="5"/>
  <c r="C12" i="5"/>
  <c r="E12" i="5"/>
  <c r="F12" i="5"/>
  <c r="A12" i="5"/>
  <c r="E53" i="7" l="1"/>
  <c r="E52" i="7"/>
  <c r="C51" i="7"/>
  <c r="B51" i="7"/>
  <c r="A51" i="7"/>
  <c r="E41" i="7"/>
  <c r="E40" i="7"/>
  <c r="C39" i="7"/>
  <c r="B39" i="7"/>
  <c r="A39" i="7"/>
  <c r="C22" i="7"/>
  <c r="C40" i="7" s="1"/>
  <c r="B22" i="7"/>
  <c r="B40" i="7" s="1"/>
  <c r="A22" i="7"/>
  <c r="A40" i="7" s="1"/>
  <c r="F9" i="7"/>
  <c r="F53" i="7" s="1"/>
  <c r="C9" i="7"/>
  <c r="C53" i="7" s="1"/>
  <c r="B9" i="7"/>
  <c r="B53" i="7" s="1"/>
  <c r="A9" i="7"/>
  <c r="A53" i="7" s="1"/>
  <c r="A52" i="7" l="1"/>
  <c r="A41" i="7"/>
  <c r="C52" i="7"/>
  <c r="B52" i="7"/>
  <c r="F22" i="7"/>
  <c r="B41" i="7"/>
  <c r="C41" i="7"/>
  <c r="F41" i="7"/>
  <c r="D52" i="3"/>
  <c r="D51" i="3"/>
  <c r="D63" i="2"/>
  <c r="B52" i="3"/>
  <c r="C52" i="3"/>
  <c r="E52" i="3"/>
  <c r="F52" i="3"/>
  <c r="A52" i="3"/>
  <c r="B51" i="3"/>
  <c r="C51" i="3"/>
  <c r="E51" i="3"/>
  <c r="F51" i="3"/>
  <c r="A51" i="3"/>
  <c r="F50" i="3"/>
  <c r="C50" i="3"/>
  <c r="B50" i="3"/>
  <c r="A50" i="3"/>
  <c r="B40" i="3"/>
  <c r="C40" i="3"/>
  <c r="D40" i="3"/>
  <c r="E40" i="3"/>
  <c r="F40" i="3"/>
  <c r="A40" i="3"/>
  <c r="B39" i="3"/>
  <c r="C39" i="3"/>
  <c r="D39" i="3"/>
  <c r="E39" i="3"/>
  <c r="F39" i="3"/>
  <c r="A39" i="3"/>
  <c r="C38" i="3"/>
  <c r="B38" i="3"/>
  <c r="A38" i="3"/>
  <c r="C21" i="3"/>
  <c r="B21" i="3"/>
  <c r="A21" i="3"/>
  <c r="F9" i="3"/>
  <c r="F21" i="3" s="1"/>
  <c r="F38" i="3" s="1"/>
  <c r="C9" i="3"/>
  <c r="B9" i="3"/>
  <c r="A9" i="3"/>
  <c r="D64" i="2"/>
  <c r="B64" i="2"/>
  <c r="C64" i="2"/>
  <c r="E64" i="2"/>
  <c r="F64" i="2"/>
  <c r="A64" i="2"/>
  <c r="B63" i="2"/>
  <c r="C63" i="2"/>
  <c r="E63" i="2"/>
  <c r="F63" i="2"/>
  <c r="A63" i="2"/>
  <c r="F62" i="2"/>
  <c r="C62" i="2"/>
  <c r="B62" i="2"/>
  <c r="A62" i="2"/>
  <c r="F51" i="2"/>
  <c r="F52" i="2"/>
  <c r="B52" i="2"/>
  <c r="C52" i="2"/>
  <c r="D52" i="2"/>
  <c r="E52" i="2"/>
  <c r="A52" i="2"/>
  <c r="B51" i="2"/>
  <c r="C51" i="2"/>
  <c r="D51" i="2"/>
  <c r="E51" i="2"/>
  <c r="C50" i="2"/>
  <c r="B50" i="2"/>
  <c r="A50" i="2"/>
  <c r="C25" i="2"/>
  <c r="B25" i="2"/>
  <c r="A25" i="2"/>
  <c r="A51" i="2" s="1"/>
  <c r="F9" i="2"/>
  <c r="F25" i="2" s="1"/>
  <c r="F50" i="2" s="1"/>
  <c r="C9" i="2"/>
  <c r="B9" i="2"/>
  <c r="A9" i="2"/>
  <c r="F24" i="5"/>
  <c r="E24" i="5"/>
  <c r="C24" i="5"/>
  <c r="B24" i="5"/>
  <c r="A24" i="5"/>
  <c r="F11" i="5"/>
  <c r="E11" i="5"/>
  <c r="C11" i="5"/>
  <c r="B11" i="5"/>
  <c r="A11" i="5"/>
  <c r="F39" i="7" l="1"/>
  <c r="F51" i="7" s="1"/>
  <c r="F52" i="7"/>
  <c r="F40" i="7"/>
</calcChain>
</file>

<file path=xl/sharedStrings.xml><?xml version="1.0" encoding="utf-8"?>
<sst xmlns="http://schemas.openxmlformats.org/spreadsheetml/2006/main" count="702" uniqueCount="83">
  <si>
    <t>Activity</t>
  </si>
  <si>
    <t>[M+C] Molybdenum (Mo) ore mining and concentration</t>
  </si>
  <si>
    <t>reference product</t>
  </si>
  <si>
    <t>Mo concentrate</t>
  </si>
  <si>
    <t>location</t>
  </si>
  <si>
    <t>US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</si>
  <si>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</si>
  <si>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</si>
  <si>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</si>
  <si>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</si>
  <si>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</si>
  <si>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</si>
  <si>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</si>
  <si>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</si>
  <si>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</si>
  <si>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</si>
  <si>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</si>
  <si>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</si>
  <si>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</si>
  <si>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</si>
  <si>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</si>
  <si>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</si>
  <si>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</si>
  <si>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for diesel, burned in building machine</t>
  </si>
  <si>
    <t>diesel, burned in building machine</t>
  </si>
  <si>
    <t>GLO</t>
  </si>
  <si>
    <t>megajoule</t>
  </si>
  <si>
    <t>ecoinvent 3.10 cutoff</t>
  </si>
  <si>
    <t>technosphere</t>
  </si>
  <si>
    <t>(1,2,2,1,1)</t>
  </si>
  <si>
    <t>market group for electricity, medium voltage</t>
  </si>
  <si>
    <t>electricity, medium voltage</t>
  </si>
  <si>
    <t>kilowatt hour</t>
  </si>
  <si>
    <t>market for transport, freight train</t>
  </si>
  <si>
    <t>transport, freight train</t>
  </si>
  <si>
    <t>ton kilometer</t>
  </si>
  <si>
    <t>[P+R] Ferromolybdenum (FeMo) production (from Mo ore)</t>
  </si>
  <si>
    <t>FeMo</t>
  </si>
  <si>
    <t>market for compressed air, 800 kPa gauge</t>
  </si>
  <si>
    <t>compressed air, 800 kPa gauge</t>
  </si>
  <si>
    <t>RoW</t>
  </si>
  <si>
    <t>cubic meter</t>
  </si>
  <si>
    <t>market for iron scrap, sorted, pressed</t>
  </si>
  <si>
    <t>iron scrap, sorted, pressed</t>
  </si>
  <si>
    <t>market for iron ore, crude ore, 63% Fe</t>
  </si>
  <si>
    <t>iron ore, crude ore, 63% Fe</t>
  </si>
  <si>
    <t>market for lime, packed</t>
  </si>
  <si>
    <t>lime, packed</t>
  </si>
  <si>
    <t>market for aluminium, wrought alloy</t>
  </si>
  <si>
    <t>aluminium, wrought alloy</t>
  </si>
  <si>
    <t>market for ferrosilicon</t>
  </si>
  <si>
    <t>ferrosilicon</t>
  </si>
  <si>
    <t>market for transport, freight, sea, container ship</t>
  </si>
  <si>
    <t>transport, freight, sea, container ship</t>
  </si>
  <si>
    <t>Mo ore mining and FeMo production in the US</t>
  </si>
  <si>
    <t>Mo ore mining and FeMo production in the US (Mo content)</t>
  </si>
  <si>
    <t>FeMo (Mo content)</t>
  </si>
  <si>
    <t>Activity expressed for 1 kg Mo contained</t>
  </si>
  <si>
    <t>CN</t>
  </si>
  <si>
    <t>(1,4,2,1,1)</t>
  </si>
  <si>
    <t>Mo ore mining and FeMo production in China</t>
  </si>
  <si>
    <t>Mo ore mining and FeMo production in China (Mo content)</t>
  </si>
  <si>
    <t>[M+C] Copper (Cu) ore mining and concentration</t>
  </si>
  <si>
    <t>Molybdenum (Mo) concentrate</t>
  </si>
  <si>
    <t>(1,3,2,1,1)</t>
  </si>
  <si>
    <t>[P+R] Ferromolybdenum (FeMo) production (from Cu ore)</t>
  </si>
  <si>
    <t>FeMo recovery from Cu ore mining in the US</t>
  </si>
  <si>
    <t>FeMo recovery from Cu ore mining in the US (Mo content)</t>
  </si>
  <si>
    <t>Molybdenum</t>
  </si>
  <si>
    <t>Molybdenum (Mo) global market</t>
  </si>
  <si>
    <t>Molybdenum (Mo) global market (Mo content)</t>
  </si>
  <si>
    <t>Mo content</t>
  </si>
  <si>
    <r>
      <t xml:space="preserve">In the absence of detailed mass balance for this intermediary product, the reference flow of this unit process is set by default at 1 kg, while the input and ouput flows of the inventory are actually </t>
    </r>
    <r>
      <rPr>
        <b/>
        <sz val="11"/>
        <rFont val="Calibri"/>
        <family val="2"/>
        <scheme val="minor"/>
      </rPr>
      <t>scaled to 1 kg of FeMo</t>
    </r>
    <r>
      <rPr>
        <sz val="11"/>
        <rFont val="Calibri"/>
        <family val="2"/>
        <scheme val="minor"/>
      </rPr>
      <t>.</t>
    </r>
  </si>
  <si>
    <r>
      <rPr>
        <sz val="11"/>
        <color theme="5"/>
        <rFont val="Calibri"/>
        <family val="2"/>
        <scheme val="minor"/>
      </rP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11% for Mo (1 kg concentrate)</t>
    </r>
    <r>
      <rPr>
        <sz val="11"/>
        <color theme="5"/>
        <rFont val="Calibri"/>
        <family val="2"/>
        <scheme val="minor"/>
      </rPr>
      <t xml:space="preserve"> and 89% for Cu (33 kg concentrate).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In the absence of detailed mass balance for this intermediary product, the reference flow of this unit process is set by default at 1 kg, while the input and ouput flows of the inventory are actually scaled to </t>
    </r>
    <r>
      <rPr>
        <b/>
        <sz val="11"/>
        <rFont val="Calibri"/>
        <family val="2"/>
        <scheme val="minor"/>
      </rPr>
      <t>1 kg of FeMo</t>
    </r>
    <r>
      <rPr>
        <sz val="11"/>
        <rFont val="Calibri"/>
        <family val="2"/>
        <scheme val="minor"/>
      </rPr>
      <t>.</t>
    </r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</si>
  <si>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</si>
  <si>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</si>
  <si>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</si>
  <si>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Molybdenum (Mo)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</si>
  <si>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Mo global market</t>
  </si>
  <si>
    <t>Mo_Market_GLO</t>
  </si>
  <si>
    <t>PR1_FeMo_US_MoMine</t>
  </si>
  <si>
    <t>PR2_FeMo_CN_MoMine</t>
  </si>
  <si>
    <t>PR3_FeMo_US_CuMine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</si>
</sst>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2" borderId="0" xfId="0" applyFill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8" fillId="0" borderId="4" xfId="1" applyBorder="1" applyAlignment="1">
      <alignment horizontal="left" vertical="center"/>
    </xf>
    <xf numFmtId="0" fontId="8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7"/>
  <sheetViews>
    <sheetView showGridLines="0" tabSelected="1" topLeftCell="A11" workbookViewId="0">
      <selection activeCell="I39" sqref="I39"/>
    </sheetView>
  </sheetViews>
  <sheetFormatPr baseColWidth="10" defaultRowHeight="15" x14ac:dyDescent="0.25"/>
  <cols>
    <col min="1" max="1" width="1.85546875" customWidth="1"/>
    <col min="2" max="2" width="31.85546875" bestFit="1" customWidth="1"/>
  </cols>
  <sheetData>
    <row r="1" spans="1:17" ht="15.75" thickBot="1" x14ac:dyDescent="0.3">
      <c r="A1" t="s">
        <v>74</v>
      </c>
    </row>
    <row r="2" spans="1:17" ht="15" customHeight="1" x14ac:dyDescent="0.25">
      <c r="B2" s="15" t="s">
        <v>77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1:17" x14ac:dyDescent="0.25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20"/>
    </row>
    <row r="4" spans="1:17" x14ac:dyDescent="0.25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</row>
    <row r="5" spans="1:17" x14ac:dyDescent="0.25"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20"/>
    </row>
    <row r="6" spans="1:17" x14ac:dyDescent="0.25"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20"/>
    </row>
    <row r="7" spans="1:17" x14ac:dyDescent="0.25"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</row>
    <row r="8" spans="1:17" x14ac:dyDescent="0.25"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0"/>
    </row>
    <row r="9" spans="1:17" x14ac:dyDescent="0.25"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20"/>
    </row>
    <row r="10" spans="1:17" x14ac:dyDescent="0.25"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20"/>
    </row>
    <row r="11" spans="1:17" x14ac:dyDescent="0.25"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0"/>
    </row>
    <row r="12" spans="1:17" x14ac:dyDescent="0.25"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</row>
    <row r="13" spans="1:17" x14ac:dyDescent="0.25"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0"/>
    </row>
    <row r="14" spans="1:17" x14ac:dyDescent="0.25"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20"/>
    </row>
    <row r="15" spans="1:17" x14ac:dyDescent="0.25"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0"/>
    </row>
    <row r="16" spans="1:17" x14ac:dyDescent="0.25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0"/>
    </row>
    <row r="17" spans="2:17" x14ac:dyDescent="0.25"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0"/>
    </row>
    <row r="18" spans="2:17" x14ac:dyDescent="0.25"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  <row r="19" spans="2:17" x14ac:dyDescent="0.25"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</row>
    <row r="20" spans="2:17" x14ac:dyDescent="0.25"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20"/>
    </row>
    <row r="21" spans="2:17" x14ac:dyDescent="0.25"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</row>
    <row r="22" spans="2:17" x14ac:dyDescent="0.25"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</row>
    <row r="23" spans="2:17" x14ac:dyDescent="0.25"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  <row r="24" spans="2:17" ht="15" customHeight="1" x14ac:dyDescent="0.25"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  <row r="25" spans="2:17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0"/>
    </row>
    <row r="26" spans="2:17" x14ac:dyDescent="0.25"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20"/>
    </row>
    <row r="27" spans="2:17" x14ac:dyDescent="0.25"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</row>
    <row r="28" spans="2:17" x14ac:dyDescent="0.25"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</row>
    <row r="29" spans="2:17" x14ac:dyDescent="0.25"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</row>
    <row r="30" spans="2:17" x14ac:dyDescent="0.25"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</row>
    <row r="31" spans="2:17" ht="15.75" thickBot="1" x14ac:dyDescent="0.3"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3"/>
    </row>
    <row r="32" spans="2:17" ht="15.75" thickBot="1" x14ac:dyDescent="0.3"/>
    <row r="33" spans="2:13" x14ac:dyDescent="0.25">
      <c r="B33" s="24" t="s">
        <v>75</v>
      </c>
      <c r="C33" s="25" t="s">
        <v>76</v>
      </c>
      <c r="D33" s="26"/>
      <c r="E33" s="26"/>
      <c r="F33" s="26"/>
      <c r="G33" s="34"/>
      <c r="H33" s="31"/>
      <c r="I33" s="31"/>
      <c r="J33" s="31"/>
      <c r="K33" s="32"/>
      <c r="L33" s="32"/>
      <c r="M33" s="32"/>
    </row>
    <row r="34" spans="2:13" x14ac:dyDescent="0.25">
      <c r="B34" s="27" t="s">
        <v>79</v>
      </c>
      <c r="C34" s="33" t="s">
        <v>78</v>
      </c>
      <c r="D34" s="31"/>
      <c r="E34" s="31"/>
      <c r="F34" s="31"/>
      <c r="G34" s="35"/>
      <c r="H34" s="31"/>
      <c r="I34" s="31"/>
      <c r="J34" s="31"/>
      <c r="K34" s="32"/>
      <c r="L34" s="32"/>
      <c r="M34" s="32"/>
    </row>
    <row r="35" spans="2:13" x14ac:dyDescent="0.25">
      <c r="B35" s="27" t="s">
        <v>80</v>
      </c>
      <c r="C35" s="33" t="s">
        <v>54</v>
      </c>
      <c r="D35" s="31"/>
      <c r="E35" s="31"/>
      <c r="F35" s="31"/>
      <c r="G35" s="35"/>
      <c r="H35" s="31"/>
      <c r="I35" s="31"/>
      <c r="J35" s="31"/>
      <c r="K35" s="32"/>
      <c r="L35" s="32"/>
      <c r="M35" s="32"/>
    </row>
    <row r="36" spans="2:13" x14ac:dyDescent="0.25">
      <c r="B36" s="27" t="s">
        <v>81</v>
      </c>
      <c r="C36" s="33" t="s">
        <v>60</v>
      </c>
      <c r="D36" s="31"/>
      <c r="E36" s="31"/>
      <c r="F36" s="31"/>
      <c r="G36" s="35"/>
      <c r="H36" s="31"/>
      <c r="I36" s="31"/>
      <c r="J36" s="31"/>
      <c r="K36" s="32"/>
      <c r="L36" s="32"/>
      <c r="M36" s="32"/>
    </row>
    <row r="37" spans="2:13" ht="15.75" thickBot="1" x14ac:dyDescent="0.3">
      <c r="B37" s="28" t="s">
        <v>82</v>
      </c>
      <c r="C37" s="29" t="s">
        <v>66</v>
      </c>
      <c r="D37" s="30"/>
      <c r="E37" s="30"/>
      <c r="F37" s="30"/>
      <c r="G37" s="36"/>
      <c r="H37" s="31"/>
      <c r="I37" s="31"/>
      <c r="J37" s="31"/>
      <c r="K37" s="32"/>
      <c r="L37" s="32"/>
      <c r="M37" s="32"/>
    </row>
  </sheetData>
  <mergeCells count="1">
    <mergeCell ref="B2:Q31"/>
  </mergeCells>
  <hyperlinks>
    <hyperlink ref="B34" location="Mo_Market_GLO!A1" display="Mo_Market_GLO" xr:uid="{B39B5E62-104C-426B-B183-4FBF90966EA8}"/>
    <hyperlink ref="B35" location="PR1_FeMo_US_MoMine!A1" display="PR1_FeMo_US_MoMine" xr:uid="{FB939FDB-AB50-4D24-BD94-2B29A9EB8DB6}"/>
    <hyperlink ref="B36" location="PR2_FeMo_CN_MoMine!A1" display="PR2_FeMo_CN_MoMine" xr:uid="{8E1CB8D6-9457-4043-B790-1FC978557130}"/>
    <hyperlink ref="B37" location="PR3_FeMo_US_CuMine!A1" display="PR3_FeMo_US_CuMine" xr:uid="{7CB47D22-EF21-4408-A5AF-CCE32D0D42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7791-A904-4792-A4C0-DF2AA3B9CD06}">
  <sheetPr>
    <tabColor theme="8" tint="0.39997558519241921"/>
  </sheetPr>
  <dimension ref="A1:N29"/>
  <sheetViews>
    <sheetView workbookViewId="0">
      <selection activeCell="A12" sqref="A12:A14"/>
    </sheetView>
  </sheetViews>
  <sheetFormatPr baseColWidth="10" defaultRowHeight="15" x14ac:dyDescent="0.25"/>
  <cols>
    <col min="1" max="1" width="66.7109375" customWidth="1"/>
    <col min="2" max="2" width="52.42578125" customWidth="1"/>
    <col min="3" max="3" width="8.140625" bestFit="1" customWidth="1"/>
    <col min="4" max="4" width="12" bestFit="1" customWidth="1"/>
    <col min="5" max="5" width="8.7109375" bestFit="1" customWidth="1"/>
    <col min="6" max="6" width="12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9" bestFit="1" customWidth="1"/>
    <col min="11" max="11" width="3.5703125" bestFit="1" customWidth="1"/>
    <col min="12" max="12" width="5.42578125" bestFit="1" customWidth="1"/>
    <col min="13" max="13" width="9.5703125" bestFit="1" customWidth="1"/>
    <col min="14" max="14" width="9.85546875" bestFit="1" customWidth="1"/>
  </cols>
  <sheetData>
    <row r="1" spans="1:14" x14ac:dyDescent="0.25">
      <c r="A1" t="s">
        <v>13</v>
      </c>
      <c r="B1" s="4" t="s">
        <v>68</v>
      </c>
    </row>
    <row r="2" spans="1:14" s="5" customFormat="1" x14ac:dyDescent="0.25"/>
    <row r="3" spans="1:14" x14ac:dyDescent="0.25">
      <c r="A3" s="6" t="s">
        <v>0</v>
      </c>
      <c r="B3" s="6" t="s">
        <v>69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25">
      <c r="A4" s="8" t="s">
        <v>2</v>
      </c>
      <c r="B4" s="7" t="s">
        <v>37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25">
      <c r="A5" s="8" t="s">
        <v>4</v>
      </c>
      <c r="B5" s="7" t="s">
        <v>25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5">
      <c r="A6" s="8" t="s">
        <v>6</v>
      </c>
      <c r="B6" s="7">
        <v>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25">
      <c r="A7" s="8" t="s">
        <v>7</v>
      </c>
      <c r="B7" s="7" t="s">
        <v>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5">
      <c r="A8" s="8" t="s">
        <v>9</v>
      </c>
      <c r="B8" s="7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25">
      <c r="A9" s="8" t="s">
        <v>11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25">
      <c r="A10" s="6" t="s">
        <v>12</v>
      </c>
      <c r="B10" s="6" t="s">
        <v>2</v>
      </c>
      <c r="C10" s="6" t="s">
        <v>4</v>
      </c>
      <c r="D10" s="6" t="s">
        <v>6</v>
      </c>
      <c r="E10" s="6" t="s">
        <v>7</v>
      </c>
      <c r="F10" s="6" t="s">
        <v>13</v>
      </c>
      <c r="G10" s="6" t="s">
        <v>14</v>
      </c>
      <c r="H10" s="6" t="s">
        <v>15</v>
      </c>
      <c r="I10" s="6" t="s">
        <v>16</v>
      </c>
      <c r="J10" s="6" t="s">
        <v>17</v>
      </c>
      <c r="K10" s="6" t="s">
        <v>18</v>
      </c>
      <c r="L10" s="6" t="s">
        <v>19</v>
      </c>
      <c r="M10" s="6" t="s">
        <v>20</v>
      </c>
      <c r="N10" s="6" t="s">
        <v>21</v>
      </c>
    </row>
    <row r="11" spans="1:14" x14ac:dyDescent="0.25">
      <c r="A11" t="str">
        <f>B3</f>
        <v>Molybdenum (Mo) global market</v>
      </c>
      <c r="B11" t="str">
        <f>B4</f>
        <v>FeMo</v>
      </c>
      <c r="C11" t="str">
        <f>B5</f>
        <v>GLO</v>
      </c>
      <c r="D11" s="7">
        <v>1</v>
      </c>
      <c r="E11" s="7" t="str">
        <f>B7</f>
        <v>kilogram</v>
      </c>
      <c r="F11" s="4" t="str">
        <f>B1</f>
        <v>Molybdenum</v>
      </c>
      <c r="G11" s="7" t="s">
        <v>22</v>
      </c>
    </row>
    <row r="12" spans="1:14" s="7" customFormat="1" x14ac:dyDescent="0.25">
      <c r="A12" s="7" t="str">
        <f>PR1_FeMo_US_MoMine!A50</f>
        <v>Mo ore mining and FeMo production in the US</v>
      </c>
      <c r="B12" s="7" t="str">
        <f>PR1_FeMo_US_MoMine!B50</f>
        <v>FeMo</v>
      </c>
      <c r="C12" s="7" t="str">
        <f>PR1_FeMo_US_MoMine!C50</f>
        <v>US</v>
      </c>
      <c r="D12" s="7">
        <v>0.22240259740259744</v>
      </c>
      <c r="E12" s="7" t="str">
        <f>PR1_FeMo_US_MoMine!E50</f>
        <v>kilogram</v>
      </c>
      <c r="F12" s="4" t="str">
        <f>PR1_FeMo_US_MoMine!F50</f>
        <v>Molybdenum</v>
      </c>
      <c r="G12" s="1" t="s">
        <v>28</v>
      </c>
    </row>
    <row r="13" spans="1:14" s="7" customFormat="1" x14ac:dyDescent="0.25">
      <c r="A13" s="7" t="str">
        <f>PR2_FeMo_CN_MoMine!A38</f>
        <v>Mo ore mining and FeMo production in China</v>
      </c>
      <c r="B13" s="7" t="str">
        <f>PR2_FeMo_CN_MoMine!B38</f>
        <v>FeMo</v>
      </c>
      <c r="C13" s="7" t="str">
        <f>PR2_FeMo_CN_MoMine!C38</f>
        <v>CN</v>
      </c>
      <c r="D13" s="7">
        <v>0.55519480519480513</v>
      </c>
      <c r="E13" s="7" t="str">
        <f>PR2_FeMo_CN_MoMine!E38</f>
        <v>kilogram</v>
      </c>
      <c r="F13" s="4" t="str">
        <f>PR2_FeMo_CN_MoMine!F38</f>
        <v>Molybdenum</v>
      </c>
      <c r="G13" s="1" t="s">
        <v>28</v>
      </c>
    </row>
    <row r="14" spans="1:14" s="7" customFormat="1" x14ac:dyDescent="0.25">
      <c r="A14" s="7" t="str">
        <f>PR3_FeMo_US_CuMine!A39</f>
        <v>FeMo recovery from Cu ore mining in the US</v>
      </c>
      <c r="B14" s="7" t="str">
        <f>PR3_FeMo_US_CuMine!B39</f>
        <v>FeMo</v>
      </c>
      <c r="C14" s="7" t="str">
        <f>PR3_FeMo_US_CuMine!C39</f>
        <v>US</v>
      </c>
      <c r="D14" s="7">
        <v>0.22240259740259744</v>
      </c>
      <c r="E14" s="7" t="str">
        <f>PR3_FeMo_US_CuMine!E39</f>
        <v>kilogram</v>
      </c>
      <c r="F14" s="4" t="str">
        <f>PR3_FeMo_US_CuMine!F39</f>
        <v>Molybdenum</v>
      </c>
      <c r="G14" s="1" t="s">
        <v>28</v>
      </c>
    </row>
    <row r="15" spans="1:14" s="5" customFormat="1" x14ac:dyDescent="0.25"/>
    <row r="16" spans="1:14" x14ac:dyDescent="0.25">
      <c r="A16" s="6" t="s">
        <v>0</v>
      </c>
      <c r="B16" s="6" t="s">
        <v>70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25">
      <c r="A17" s="8" t="s">
        <v>2</v>
      </c>
      <c r="B17" s="7" t="s">
        <v>71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25">
      <c r="A18" s="8" t="s">
        <v>4</v>
      </c>
      <c r="B18" s="7" t="s">
        <v>25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25">
      <c r="A19" s="8" t="s">
        <v>6</v>
      </c>
      <c r="B19" s="7">
        <v>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25">
      <c r="A20" s="8" t="s">
        <v>7</v>
      </c>
      <c r="B20" s="7" t="s">
        <v>8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25">
      <c r="A21" s="8" t="s">
        <v>9</v>
      </c>
      <c r="B21" s="7" t="s">
        <v>57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25">
      <c r="A22" s="8" t="s">
        <v>11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x14ac:dyDescent="0.25">
      <c r="A23" s="6" t="s">
        <v>12</v>
      </c>
      <c r="B23" s="6" t="s">
        <v>2</v>
      </c>
      <c r="C23" s="6" t="s">
        <v>4</v>
      </c>
      <c r="D23" s="6" t="s">
        <v>6</v>
      </c>
      <c r="E23" s="6" t="s">
        <v>7</v>
      </c>
      <c r="F23" s="6" t="s">
        <v>13</v>
      </c>
      <c r="G23" s="6" t="s">
        <v>14</v>
      </c>
      <c r="H23" s="6" t="s">
        <v>15</v>
      </c>
      <c r="I23" s="6" t="s">
        <v>16</v>
      </c>
      <c r="J23" s="6" t="s">
        <v>17</v>
      </c>
      <c r="K23" s="6" t="s">
        <v>18</v>
      </c>
      <c r="L23" s="6" t="s">
        <v>19</v>
      </c>
      <c r="M23" s="6" t="s">
        <v>20</v>
      </c>
      <c r="N23" s="6" t="s">
        <v>21</v>
      </c>
    </row>
    <row r="24" spans="1:14" x14ac:dyDescent="0.25">
      <c r="A24" t="str">
        <f>B16</f>
        <v>Molybdenum (Mo) global market (Mo content)</v>
      </c>
      <c r="B24" t="str">
        <f>B17</f>
        <v>Mo content</v>
      </c>
      <c r="C24" t="str">
        <f>B18</f>
        <v>GLO</v>
      </c>
      <c r="D24" s="7">
        <v>1</v>
      </c>
      <c r="E24" s="7" t="str">
        <f>B20</f>
        <v>kilogram</v>
      </c>
      <c r="F24" s="4" t="str">
        <f>F11</f>
        <v>Molybdenum</v>
      </c>
      <c r="G24" s="7" t="s">
        <v>22</v>
      </c>
    </row>
    <row r="25" spans="1:14" s="7" customFormat="1" x14ac:dyDescent="0.25">
      <c r="A25" s="7" t="str">
        <f>PR1_FeMo_US_MoMine!A62</f>
        <v>Mo ore mining and FeMo production in the US (Mo content)</v>
      </c>
      <c r="B25" s="7" t="str">
        <f>PR1_FeMo_US_MoMine!B62</f>
        <v>FeMo (Mo content)</v>
      </c>
      <c r="C25" s="7" t="str">
        <f>PR1_FeMo_US_MoMine!C62</f>
        <v>US</v>
      </c>
      <c r="D25" s="7">
        <v>0.22240259740259744</v>
      </c>
      <c r="E25" s="7" t="str">
        <f>PR1_FeMo_US_MoMine!E62</f>
        <v>kilogram</v>
      </c>
      <c r="F25" s="4" t="str">
        <f>PR1_FeMo_US_MoMine!F62</f>
        <v>Molybdenum</v>
      </c>
      <c r="G25" s="1" t="s">
        <v>28</v>
      </c>
    </row>
    <row r="26" spans="1:14" s="7" customFormat="1" x14ac:dyDescent="0.25">
      <c r="A26" s="7" t="str">
        <f>PR2_FeMo_CN_MoMine!A50</f>
        <v>Mo ore mining and FeMo production in China (Mo content)</v>
      </c>
      <c r="B26" s="7" t="str">
        <f>PR2_FeMo_CN_MoMine!B50</f>
        <v>FeMo (Mo content)</v>
      </c>
      <c r="C26" s="7" t="str">
        <f>PR2_FeMo_CN_MoMine!C50</f>
        <v>CN</v>
      </c>
      <c r="D26" s="7">
        <v>0.55519480519480513</v>
      </c>
      <c r="E26" s="7" t="str">
        <f>PR2_FeMo_CN_MoMine!E50</f>
        <v>kilogram</v>
      </c>
      <c r="F26" s="4" t="str">
        <f>PR2_FeMo_CN_MoMine!F50</f>
        <v>Molybdenum</v>
      </c>
      <c r="G26" s="1" t="s">
        <v>28</v>
      </c>
    </row>
    <row r="27" spans="1:14" s="7" customFormat="1" x14ac:dyDescent="0.25">
      <c r="A27" s="7" t="str">
        <f>PR3_FeMo_US_CuMine!A51</f>
        <v>FeMo recovery from Cu ore mining in the US (Mo content)</v>
      </c>
      <c r="B27" s="7" t="str">
        <f>PR3_FeMo_US_CuMine!B51</f>
        <v>FeMo (Mo content)</v>
      </c>
      <c r="C27" s="7" t="str">
        <f>PR3_FeMo_US_CuMine!C51</f>
        <v>US</v>
      </c>
      <c r="D27" s="7">
        <v>0.22240259740259744</v>
      </c>
      <c r="E27" s="7" t="str">
        <f>PR3_FeMo_US_CuMine!E51</f>
        <v>kilogram</v>
      </c>
      <c r="F27" s="4" t="str">
        <f>PR3_FeMo_US_CuMine!F51</f>
        <v>Molybdenum</v>
      </c>
      <c r="G27" s="1" t="s">
        <v>28</v>
      </c>
    </row>
    <row r="28" spans="1:14" s="7" customFormat="1" x14ac:dyDescent="0.25">
      <c r="F28" s="4"/>
    </row>
    <row r="29" spans="1:14" s="7" customFormat="1" x14ac:dyDescent="0.25">
      <c r="F2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64"/>
  <sheetViews>
    <sheetView topLeftCell="A7" workbookViewId="0">
      <selection activeCell="G7" sqref="G1:G1048576"/>
    </sheetView>
  </sheetViews>
  <sheetFormatPr baseColWidth="10" defaultColWidth="8.7109375" defaultRowHeight="15" x14ac:dyDescent="0.25"/>
  <cols>
    <col min="1" max="1" width="62.28515625" style="1" customWidth="1"/>
    <col min="2" max="2" width="63.140625" style="1" customWidth="1"/>
    <col min="3" max="3" width="7.5703125" style="1" bestFit="1" customWidth="1"/>
    <col min="4" max="4" width="11.85546875" style="1" bestFit="1" customWidth="1"/>
    <col min="5" max="5" width="12" style="1" bestFit="1" customWidth="1"/>
    <col min="6" max="6" width="21.7109375" style="1" customWidth="1"/>
    <col min="7" max="7" width="14.42578125" style="1" customWidth="1"/>
    <col min="8" max="8" width="9.42578125" style="1" bestFit="1" customWidth="1"/>
    <col min="9" max="9" width="14.5703125" style="1" bestFit="1" customWidth="1"/>
    <col min="10" max="10" width="8.85546875" style="1" bestFit="1" customWidth="1"/>
    <col min="11" max="11" width="3.140625" style="1" bestFit="1" customWidth="1"/>
    <col min="12" max="12" width="4.85546875" style="1" bestFit="1" customWidth="1"/>
    <col min="13" max="13" width="8.85546875" style="1" bestFit="1" customWidth="1"/>
    <col min="14" max="14" width="9.140625" style="1" bestFit="1" customWidth="1"/>
    <col min="15" max="16384" width="8.7109375" style="1"/>
  </cols>
  <sheetData>
    <row r="1" spans="1:14" x14ac:dyDescent="0.25">
      <c r="A1" s="2" t="s">
        <v>0</v>
      </c>
      <c r="B1" s="2" t="s">
        <v>1</v>
      </c>
    </row>
    <row r="2" spans="1:14" x14ac:dyDescent="0.25">
      <c r="A2" s="3" t="s">
        <v>2</v>
      </c>
      <c r="B2" s="1" t="s">
        <v>3</v>
      </c>
    </row>
    <row r="3" spans="1:14" x14ac:dyDescent="0.25">
      <c r="A3" s="3" t="s">
        <v>4</v>
      </c>
      <c r="B3" s="1" t="s">
        <v>5</v>
      </c>
    </row>
    <row r="4" spans="1:14" x14ac:dyDescent="0.25">
      <c r="A4" s="3" t="s">
        <v>6</v>
      </c>
      <c r="B4" s="1">
        <v>1</v>
      </c>
    </row>
    <row r="5" spans="1:14" x14ac:dyDescent="0.25">
      <c r="A5" s="3" t="s">
        <v>7</v>
      </c>
      <c r="B5" s="1" t="s">
        <v>8</v>
      </c>
    </row>
    <row r="6" spans="1:14" ht="60" x14ac:dyDescent="0.25">
      <c r="A6" s="3" t="s">
        <v>9</v>
      </c>
      <c r="B6" s="12" t="s">
        <v>72</v>
      </c>
    </row>
    <row r="7" spans="1:14" x14ac:dyDescent="0.25">
      <c r="A7" s="3" t="s">
        <v>11</v>
      </c>
    </row>
    <row r="8" spans="1:14" x14ac:dyDescent="0.2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x14ac:dyDescent="0.25">
      <c r="A9" s="1" t="str">
        <f>B1</f>
        <v>[M+C] Molybdenum (Mo) ore mining and concentration</v>
      </c>
      <c r="B9" s="1" t="str">
        <f>B2</f>
        <v>Mo concentrate</v>
      </c>
      <c r="C9" s="1" t="str">
        <f>B3</f>
        <v>US</v>
      </c>
      <c r="D9" s="1">
        <v>1</v>
      </c>
      <c r="E9" s="1" t="s">
        <v>8</v>
      </c>
      <c r="F9" s="9" t="str">
        <f>Mo_Market_GLO!B1</f>
        <v>Molybdenum</v>
      </c>
      <c r="G9" s="1" t="s">
        <v>22</v>
      </c>
    </row>
    <row r="10" spans="1:14" x14ac:dyDescent="0.25">
      <c r="A10" s="1" t="s">
        <v>23</v>
      </c>
      <c r="B10" s="1" t="s">
        <v>24</v>
      </c>
      <c r="C10" s="1" t="s">
        <v>25</v>
      </c>
      <c r="D10" s="1">
        <v>51.586838709677423</v>
      </c>
      <c r="E10" s="1" t="s">
        <v>26</v>
      </c>
      <c r="F10" s="1" t="s">
        <v>27</v>
      </c>
      <c r="G10" s="1" t="s">
        <v>28</v>
      </c>
      <c r="J10" s="1" t="s">
        <v>29</v>
      </c>
    </row>
    <row r="11" spans="1:14" x14ac:dyDescent="0.25">
      <c r="A11" s="1" t="s">
        <v>30</v>
      </c>
      <c r="B11" s="1" t="s">
        <v>31</v>
      </c>
      <c r="C11" s="1" t="s">
        <v>5</v>
      </c>
      <c r="D11" s="1">
        <v>0.98846774272625793</v>
      </c>
      <c r="E11" s="1" t="s">
        <v>32</v>
      </c>
      <c r="F11" s="1" t="s">
        <v>27</v>
      </c>
      <c r="G11" s="1" t="s">
        <v>28</v>
      </c>
      <c r="J11" s="1" t="s">
        <v>29</v>
      </c>
    </row>
    <row r="12" spans="1:14" x14ac:dyDescent="0.25">
      <c r="A12" s="1" t="s">
        <v>33</v>
      </c>
      <c r="B12" s="1" t="s">
        <v>34</v>
      </c>
      <c r="C12" s="1" t="s">
        <v>5</v>
      </c>
      <c r="D12" s="1">
        <v>1.185483870967742</v>
      </c>
      <c r="E12" s="1" t="s">
        <v>35</v>
      </c>
      <c r="F12" s="1" t="s">
        <v>27</v>
      </c>
      <c r="G12" s="1" t="s">
        <v>28</v>
      </c>
      <c r="J12" s="1" t="s">
        <v>29</v>
      </c>
    </row>
    <row r="13" spans="1:14" x14ac:dyDescent="0.25">
      <c r="A13" s="1" t="s">
        <v>23</v>
      </c>
      <c r="B13" s="1" t="s">
        <v>24</v>
      </c>
      <c r="C13" s="1" t="s">
        <v>25</v>
      </c>
      <c r="D13" s="1">
        <v>14.391</v>
      </c>
      <c r="E13" s="1" t="s">
        <v>26</v>
      </c>
      <c r="F13" s="1" t="s">
        <v>27</v>
      </c>
      <c r="G13" s="1" t="s">
        <v>28</v>
      </c>
      <c r="J13" s="1" t="s">
        <v>29</v>
      </c>
    </row>
    <row r="14" spans="1:14" x14ac:dyDescent="0.25">
      <c r="A14" s="1" t="s">
        <v>30</v>
      </c>
      <c r="B14" s="1" t="s">
        <v>31</v>
      </c>
      <c r="C14" s="1" t="s">
        <v>5</v>
      </c>
      <c r="D14" s="1">
        <v>0.27572132638545149</v>
      </c>
      <c r="E14" s="1" t="s">
        <v>32</v>
      </c>
      <c r="F14" s="1" t="s">
        <v>27</v>
      </c>
      <c r="G14" s="1" t="s">
        <v>28</v>
      </c>
      <c r="J14" s="1" t="s">
        <v>29</v>
      </c>
    </row>
    <row r="15" spans="1:14" x14ac:dyDescent="0.25">
      <c r="A15" s="1" t="s">
        <v>33</v>
      </c>
      <c r="B15" s="1" t="s">
        <v>34</v>
      </c>
      <c r="C15" s="1" t="s">
        <v>5</v>
      </c>
      <c r="D15" s="1">
        <v>0.95887096774193548</v>
      </c>
      <c r="E15" s="1" t="s">
        <v>35</v>
      </c>
      <c r="F15" s="1" t="s">
        <v>27</v>
      </c>
      <c r="G15" s="1" t="s">
        <v>28</v>
      </c>
      <c r="J15" s="1" t="s">
        <v>29</v>
      </c>
    </row>
    <row r="16" spans="1:14" s="10" customFormat="1" x14ac:dyDescent="0.25"/>
    <row r="17" spans="1:14" x14ac:dyDescent="0.25">
      <c r="A17" s="2" t="s">
        <v>0</v>
      </c>
      <c r="B17" s="2" t="s">
        <v>36</v>
      </c>
    </row>
    <row r="18" spans="1:14" x14ac:dyDescent="0.25">
      <c r="A18" s="3" t="s">
        <v>2</v>
      </c>
      <c r="B18" s="1" t="s">
        <v>37</v>
      </c>
    </row>
    <row r="19" spans="1:14" x14ac:dyDescent="0.25">
      <c r="A19" s="3" t="s">
        <v>4</v>
      </c>
      <c r="B19" s="1" t="s">
        <v>5</v>
      </c>
    </row>
    <row r="20" spans="1:14" x14ac:dyDescent="0.25">
      <c r="A20" s="3" t="s">
        <v>6</v>
      </c>
      <c r="B20" s="1">
        <v>1</v>
      </c>
    </row>
    <row r="21" spans="1:14" x14ac:dyDescent="0.25">
      <c r="A21" s="3" t="s">
        <v>7</v>
      </c>
      <c r="B21" s="1" t="s">
        <v>8</v>
      </c>
    </row>
    <row r="22" spans="1:14" x14ac:dyDescent="0.25">
      <c r="A22" s="3" t="s">
        <v>9</v>
      </c>
      <c r="B22" s="1" t="s">
        <v>10</v>
      </c>
    </row>
    <row r="23" spans="1:14" x14ac:dyDescent="0.25">
      <c r="A23" s="3" t="s">
        <v>11</v>
      </c>
    </row>
    <row r="24" spans="1:14" x14ac:dyDescent="0.25">
      <c r="A24" s="2" t="s">
        <v>12</v>
      </c>
      <c r="B24" s="2" t="s">
        <v>2</v>
      </c>
      <c r="C24" s="2" t="s">
        <v>4</v>
      </c>
      <c r="D24" s="2" t="s">
        <v>6</v>
      </c>
      <c r="E24" s="2" t="s">
        <v>7</v>
      </c>
      <c r="F24" s="2" t="s">
        <v>13</v>
      </c>
      <c r="G24" s="2" t="s">
        <v>14</v>
      </c>
      <c r="H24" s="2" t="s">
        <v>15</v>
      </c>
      <c r="I24" s="2" t="s">
        <v>16</v>
      </c>
      <c r="J24" s="2" t="s">
        <v>17</v>
      </c>
      <c r="K24" s="2" t="s">
        <v>18</v>
      </c>
      <c r="L24" s="2" t="s">
        <v>19</v>
      </c>
      <c r="M24" s="2" t="s">
        <v>20</v>
      </c>
      <c r="N24" s="2" t="s">
        <v>21</v>
      </c>
    </row>
    <row r="25" spans="1:14" x14ac:dyDescent="0.25">
      <c r="A25" s="1" t="str">
        <f>B17</f>
        <v>[P+R] Ferromolybdenum (FeMo) production (from Mo ore)</v>
      </c>
      <c r="B25" s="1" t="str">
        <f>B18</f>
        <v>FeMo</v>
      </c>
      <c r="C25" s="1" t="str">
        <f>B19</f>
        <v>US</v>
      </c>
      <c r="D25" s="1">
        <v>1</v>
      </c>
      <c r="E25" s="1" t="s">
        <v>8</v>
      </c>
      <c r="F25" s="9" t="str">
        <f>F9</f>
        <v>Molybdenum</v>
      </c>
      <c r="G25" s="1" t="s">
        <v>22</v>
      </c>
    </row>
    <row r="26" spans="1:14" x14ac:dyDescent="0.25">
      <c r="A26" s="1" t="s">
        <v>38</v>
      </c>
      <c r="B26" s="1" t="s">
        <v>39</v>
      </c>
      <c r="C26" s="1" t="s">
        <v>40</v>
      </c>
      <c r="D26" s="1">
        <v>0.32205942275042448</v>
      </c>
      <c r="E26" s="1" t="s">
        <v>41</v>
      </c>
      <c r="F26" s="1" t="s">
        <v>27</v>
      </c>
      <c r="G26" s="1" t="s">
        <v>28</v>
      </c>
      <c r="J26" s="1" t="s">
        <v>29</v>
      </c>
    </row>
    <row r="27" spans="1:14" x14ac:dyDescent="0.25">
      <c r="A27" s="1" t="s">
        <v>42</v>
      </c>
      <c r="B27" s="1" t="s">
        <v>43</v>
      </c>
      <c r="C27" s="1" t="s">
        <v>40</v>
      </c>
      <c r="D27" s="1">
        <v>3.8612903225806461E-2</v>
      </c>
      <c r="E27" s="1" t="s">
        <v>8</v>
      </c>
      <c r="F27" s="1" t="s">
        <v>27</v>
      </c>
      <c r="G27" s="1" t="s">
        <v>28</v>
      </c>
      <c r="J27" s="1" t="s">
        <v>29</v>
      </c>
    </row>
    <row r="28" spans="1:14" x14ac:dyDescent="0.25">
      <c r="A28" s="1" t="s">
        <v>44</v>
      </c>
      <c r="B28" s="1" t="s">
        <v>45</v>
      </c>
      <c r="C28" s="1" t="s">
        <v>25</v>
      </c>
      <c r="D28" s="1">
        <v>0.14801612903225811</v>
      </c>
      <c r="E28" s="1" t="s">
        <v>8</v>
      </c>
      <c r="F28" s="1" t="s">
        <v>27</v>
      </c>
      <c r="G28" s="1" t="s">
        <v>28</v>
      </c>
      <c r="J28" s="1" t="s">
        <v>29</v>
      </c>
    </row>
    <row r="29" spans="1:14" x14ac:dyDescent="0.25">
      <c r="A29" s="1" t="s">
        <v>46</v>
      </c>
      <c r="B29" s="1" t="s">
        <v>47</v>
      </c>
      <c r="C29" s="1" t="s">
        <v>40</v>
      </c>
      <c r="D29" s="1">
        <v>3.8274193548387098E-2</v>
      </c>
      <c r="E29" s="1" t="s">
        <v>8</v>
      </c>
      <c r="F29" s="1" t="s">
        <v>27</v>
      </c>
      <c r="G29" s="1" t="s">
        <v>28</v>
      </c>
      <c r="J29" s="1" t="s">
        <v>29</v>
      </c>
    </row>
    <row r="30" spans="1:14" x14ac:dyDescent="0.25">
      <c r="A30" s="1" t="s">
        <v>48</v>
      </c>
      <c r="B30" s="1" t="s">
        <v>49</v>
      </c>
      <c r="C30" s="1" t="s">
        <v>25</v>
      </c>
      <c r="D30" s="1">
        <v>2.7774193548387099E-2</v>
      </c>
      <c r="E30" s="1" t="s">
        <v>8</v>
      </c>
      <c r="F30" s="1" t="s">
        <v>27</v>
      </c>
      <c r="G30" s="1" t="s">
        <v>28</v>
      </c>
      <c r="J30" s="1" t="s">
        <v>29</v>
      </c>
    </row>
    <row r="31" spans="1:14" x14ac:dyDescent="0.25">
      <c r="A31" s="1" t="s">
        <v>50</v>
      </c>
      <c r="B31" s="1" t="s">
        <v>51</v>
      </c>
      <c r="C31" s="1" t="s">
        <v>25</v>
      </c>
      <c r="D31" s="1">
        <v>0.1273548387096774</v>
      </c>
      <c r="E31" s="1" t="s">
        <v>8</v>
      </c>
      <c r="F31" s="1" t="s">
        <v>27</v>
      </c>
      <c r="G31" s="1" t="s">
        <v>28</v>
      </c>
      <c r="J31" s="1" t="s">
        <v>29</v>
      </c>
    </row>
    <row r="32" spans="1:14" x14ac:dyDescent="0.25">
      <c r="A32" s="1" t="s">
        <v>30</v>
      </c>
      <c r="B32" s="1" t="s">
        <v>31</v>
      </c>
      <c r="C32" s="1" t="s">
        <v>5</v>
      </c>
      <c r="D32" s="1">
        <v>0.34153225833774192</v>
      </c>
      <c r="E32" s="1" t="s">
        <v>32</v>
      </c>
      <c r="F32" s="1" t="s">
        <v>27</v>
      </c>
      <c r="G32" s="1" t="s">
        <v>28</v>
      </c>
      <c r="J32" s="1" t="s">
        <v>29</v>
      </c>
    </row>
    <row r="33" spans="1:10" x14ac:dyDescent="0.25">
      <c r="A33" s="1" t="s">
        <v>38</v>
      </c>
      <c r="B33" s="1" t="s">
        <v>39</v>
      </c>
      <c r="C33" s="1" t="s">
        <v>40</v>
      </c>
      <c r="D33" s="1">
        <v>5.5469032258064521</v>
      </c>
      <c r="E33" s="1" t="s">
        <v>41</v>
      </c>
      <c r="F33" s="1" t="s">
        <v>27</v>
      </c>
      <c r="G33" s="1" t="s">
        <v>28</v>
      </c>
      <c r="J33" s="1" t="s">
        <v>29</v>
      </c>
    </row>
    <row r="34" spans="1:10" x14ac:dyDescent="0.25">
      <c r="A34" s="1" t="s">
        <v>52</v>
      </c>
      <c r="B34" s="1" t="s">
        <v>53</v>
      </c>
      <c r="C34" s="1" t="s">
        <v>25</v>
      </c>
      <c r="D34" s="1">
        <v>4.629032258064516</v>
      </c>
      <c r="E34" s="1" t="s">
        <v>35</v>
      </c>
      <c r="F34" s="1" t="s">
        <v>27</v>
      </c>
      <c r="G34" s="1" t="s">
        <v>28</v>
      </c>
      <c r="J34" s="1" t="s">
        <v>29</v>
      </c>
    </row>
    <row r="35" spans="1:10" x14ac:dyDescent="0.25">
      <c r="A35" s="1" t="s">
        <v>42</v>
      </c>
      <c r="B35" s="1" t="s">
        <v>43</v>
      </c>
      <c r="C35" s="1" t="s">
        <v>40</v>
      </c>
      <c r="D35" s="1">
        <v>7.3403225806451616E-2</v>
      </c>
      <c r="E35" s="1" t="s">
        <v>8</v>
      </c>
      <c r="F35" s="1" t="s">
        <v>27</v>
      </c>
      <c r="G35" s="1" t="s">
        <v>28</v>
      </c>
      <c r="J35" s="1" t="s">
        <v>29</v>
      </c>
    </row>
    <row r="36" spans="1:10" x14ac:dyDescent="0.25">
      <c r="A36" s="1" t="s">
        <v>44</v>
      </c>
      <c r="B36" s="1" t="s">
        <v>45</v>
      </c>
      <c r="C36" s="1" t="s">
        <v>25</v>
      </c>
      <c r="D36" s="1">
        <v>0.29758064516129029</v>
      </c>
      <c r="E36" s="1" t="s">
        <v>8</v>
      </c>
      <c r="F36" s="1" t="s">
        <v>27</v>
      </c>
      <c r="G36" s="1" t="s">
        <v>28</v>
      </c>
      <c r="J36" s="1" t="s">
        <v>29</v>
      </c>
    </row>
    <row r="37" spans="1:10" x14ac:dyDescent="0.25">
      <c r="A37" s="1" t="s">
        <v>46</v>
      </c>
      <c r="B37" s="1" t="s">
        <v>47</v>
      </c>
      <c r="C37" s="1" t="s">
        <v>40</v>
      </c>
      <c r="D37" s="1">
        <v>7.4725806451612892E-2</v>
      </c>
      <c r="E37" s="1" t="s">
        <v>8</v>
      </c>
      <c r="F37" s="1" t="s">
        <v>27</v>
      </c>
      <c r="G37" s="1" t="s">
        <v>28</v>
      </c>
      <c r="J37" s="1" t="s">
        <v>29</v>
      </c>
    </row>
    <row r="38" spans="1:10" x14ac:dyDescent="0.25">
      <c r="A38" s="1" t="s">
        <v>48</v>
      </c>
      <c r="B38" s="1" t="s">
        <v>49</v>
      </c>
      <c r="C38" s="1" t="s">
        <v>25</v>
      </c>
      <c r="D38" s="1">
        <v>5.6209677419354842E-2</v>
      </c>
      <c r="E38" s="1" t="s">
        <v>8</v>
      </c>
      <c r="F38" s="1" t="s">
        <v>27</v>
      </c>
      <c r="G38" s="1" t="s">
        <v>28</v>
      </c>
      <c r="J38" s="1" t="s">
        <v>29</v>
      </c>
    </row>
    <row r="39" spans="1:10" x14ac:dyDescent="0.25">
      <c r="A39" s="1" t="s">
        <v>50</v>
      </c>
      <c r="B39" s="1" t="s">
        <v>51</v>
      </c>
      <c r="C39" s="1" t="s">
        <v>25</v>
      </c>
      <c r="D39" s="1">
        <v>0.24930645161290321</v>
      </c>
      <c r="E39" s="1" t="s">
        <v>8</v>
      </c>
      <c r="F39" s="1" t="s">
        <v>27</v>
      </c>
      <c r="G39" s="1" t="s">
        <v>28</v>
      </c>
      <c r="J39" s="1" t="s">
        <v>29</v>
      </c>
    </row>
    <row r="40" spans="1:10" x14ac:dyDescent="0.25">
      <c r="A40" s="1" t="s">
        <v>30</v>
      </c>
      <c r="B40" s="1" t="s">
        <v>31</v>
      </c>
      <c r="C40" s="1" t="s">
        <v>5</v>
      </c>
      <c r="D40" s="1">
        <v>0.70813172099661281</v>
      </c>
      <c r="E40" s="1" t="s">
        <v>32</v>
      </c>
      <c r="F40" s="1" t="s">
        <v>27</v>
      </c>
      <c r="G40" s="1" t="s">
        <v>28</v>
      </c>
      <c r="J40" s="1" t="s">
        <v>29</v>
      </c>
    </row>
    <row r="41" spans="1:10" s="11" customFormat="1" x14ac:dyDescent="0.25"/>
    <row r="42" spans="1:10" x14ac:dyDescent="0.25">
      <c r="A42" s="2" t="s">
        <v>0</v>
      </c>
      <c r="B42" s="2" t="s">
        <v>54</v>
      </c>
    </row>
    <row r="43" spans="1:10" x14ac:dyDescent="0.25">
      <c r="A43" s="3" t="s">
        <v>2</v>
      </c>
      <c r="B43" s="1" t="s">
        <v>37</v>
      </c>
    </row>
    <row r="44" spans="1:10" x14ac:dyDescent="0.25">
      <c r="A44" s="3" t="s">
        <v>4</v>
      </c>
      <c r="B44" s="1" t="s">
        <v>5</v>
      </c>
    </row>
    <row r="45" spans="1:10" x14ac:dyDescent="0.25">
      <c r="A45" s="3" t="s">
        <v>6</v>
      </c>
      <c r="B45" s="1">
        <v>1</v>
      </c>
    </row>
    <row r="46" spans="1:10" x14ac:dyDescent="0.25">
      <c r="A46" s="3" t="s">
        <v>7</v>
      </c>
      <c r="B46" s="1" t="s">
        <v>8</v>
      </c>
    </row>
    <row r="47" spans="1:10" x14ac:dyDescent="0.25">
      <c r="A47" s="3" t="s">
        <v>9</v>
      </c>
      <c r="B47" s="1" t="s">
        <v>10</v>
      </c>
    </row>
    <row r="48" spans="1:10" x14ac:dyDescent="0.25">
      <c r="A48" s="3" t="s">
        <v>11</v>
      </c>
    </row>
    <row r="49" spans="1:14" x14ac:dyDescent="0.25">
      <c r="A49" s="2" t="s">
        <v>12</v>
      </c>
      <c r="B49" s="2" t="s">
        <v>2</v>
      </c>
      <c r="C49" s="2" t="s">
        <v>4</v>
      </c>
      <c r="D49" s="2" t="s">
        <v>6</v>
      </c>
      <c r="E49" s="2" t="s">
        <v>7</v>
      </c>
      <c r="F49" s="2" t="s">
        <v>13</v>
      </c>
      <c r="G49" s="2" t="s">
        <v>14</v>
      </c>
      <c r="H49" s="2" t="s">
        <v>15</v>
      </c>
      <c r="I49" s="2" t="s">
        <v>16</v>
      </c>
      <c r="J49" s="2" t="s">
        <v>17</v>
      </c>
      <c r="K49" s="2" t="s">
        <v>18</v>
      </c>
      <c r="L49" s="2" t="s">
        <v>19</v>
      </c>
      <c r="M49" s="2" t="s">
        <v>20</v>
      </c>
      <c r="N49" s="2" t="s">
        <v>21</v>
      </c>
    </row>
    <row r="50" spans="1:14" x14ac:dyDescent="0.25">
      <c r="A50" s="1" t="str">
        <f>B42</f>
        <v>Mo ore mining and FeMo production in the US</v>
      </c>
      <c r="B50" s="1" t="str">
        <f>B43</f>
        <v>FeMo</v>
      </c>
      <c r="C50" s="1" t="str">
        <f>B44</f>
        <v>US</v>
      </c>
      <c r="D50" s="1">
        <v>1</v>
      </c>
      <c r="E50" s="1" t="s">
        <v>8</v>
      </c>
      <c r="F50" s="9" t="str">
        <f>F25</f>
        <v>Molybdenum</v>
      </c>
      <c r="G50" s="1" t="s">
        <v>22</v>
      </c>
    </row>
    <row r="51" spans="1:14" x14ac:dyDescent="0.25">
      <c r="A51" s="1" t="str">
        <f>A25</f>
        <v>[P+R] Ferromolybdenum (FeMo) production (from Mo ore)</v>
      </c>
      <c r="B51" s="1" t="str">
        <f t="shared" ref="B51:F51" si="0">B25</f>
        <v>FeMo</v>
      </c>
      <c r="C51" s="1" t="str">
        <f t="shared" si="0"/>
        <v>US</v>
      </c>
      <c r="D51" s="1">
        <f t="shared" si="0"/>
        <v>1</v>
      </c>
      <c r="E51" s="1" t="str">
        <f t="shared" si="0"/>
        <v>kilogram</v>
      </c>
      <c r="F51" s="9" t="str">
        <f t="shared" si="0"/>
        <v>Molybdenum</v>
      </c>
      <c r="G51" s="1" t="s">
        <v>28</v>
      </c>
    </row>
    <row r="52" spans="1:14" x14ac:dyDescent="0.25">
      <c r="A52" s="1" t="str">
        <f>A9</f>
        <v>[M+C] Molybdenum (Mo) ore mining and concentration</v>
      </c>
      <c r="B52" s="1" t="str">
        <f t="shared" ref="B52:F52" si="1">B9</f>
        <v>Mo concentrate</v>
      </c>
      <c r="C52" s="1" t="str">
        <f t="shared" si="1"/>
        <v>US</v>
      </c>
      <c r="D52" s="1">
        <f t="shared" si="1"/>
        <v>1</v>
      </c>
      <c r="E52" s="1" t="str">
        <f t="shared" si="1"/>
        <v>kilogram</v>
      </c>
      <c r="F52" s="9" t="str">
        <f t="shared" si="1"/>
        <v>Molybdenum</v>
      </c>
      <c r="G52" s="1" t="s">
        <v>28</v>
      </c>
    </row>
    <row r="53" spans="1:14" s="11" customFormat="1" x14ac:dyDescent="0.25"/>
    <row r="54" spans="1:14" x14ac:dyDescent="0.25">
      <c r="A54" s="2" t="s">
        <v>0</v>
      </c>
      <c r="B54" s="2" t="s">
        <v>55</v>
      </c>
    </row>
    <row r="55" spans="1:14" x14ac:dyDescent="0.25">
      <c r="A55" s="3" t="s">
        <v>2</v>
      </c>
      <c r="B55" s="1" t="s">
        <v>56</v>
      </c>
    </row>
    <row r="56" spans="1:14" x14ac:dyDescent="0.25">
      <c r="A56" s="3" t="s">
        <v>4</v>
      </c>
      <c r="B56" s="1" t="s">
        <v>5</v>
      </c>
    </row>
    <row r="57" spans="1:14" x14ac:dyDescent="0.25">
      <c r="A57" s="3" t="s">
        <v>6</v>
      </c>
      <c r="B57" s="1">
        <v>1</v>
      </c>
    </row>
    <row r="58" spans="1:14" x14ac:dyDescent="0.25">
      <c r="A58" s="3" t="s">
        <v>7</v>
      </c>
      <c r="B58" s="1" t="s">
        <v>8</v>
      </c>
    </row>
    <row r="59" spans="1:14" x14ac:dyDescent="0.25">
      <c r="A59" s="3" t="s">
        <v>9</v>
      </c>
      <c r="B59" s="1" t="s">
        <v>57</v>
      </c>
    </row>
    <row r="60" spans="1:14" x14ac:dyDescent="0.25">
      <c r="A60" s="3" t="s">
        <v>11</v>
      </c>
    </row>
    <row r="61" spans="1:14" x14ac:dyDescent="0.25">
      <c r="A61" s="2" t="s">
        <v>12</v>
      </c>
      <c r="B61" s="2" t="s">
        <v>2</v>
      </c>
      <c r="C61" s="2" t="s">
        <v>4</v>
      </c>
      <c r="D61" s="2" t="s">
        <v>6</v>
      </c>
      <c r="E61" s="2" t="s">
        <v>7</v>
      </c>
      <c r="F61" s="2" t="s">
        <v>13</v>
      </c>
      <c r="G61" s="2" t="s">
        <v>14</v>
      </c>
      <c r="H61" s="2" t="s">
        <v>15</v>
      </c>
      <c r="I61" s="2" t="s">
        <v>16</v>
      </c>
      <c r="J61" s="2" t="s">
        <v>17</v>
      </c>
      <c r="K61" s="2" t="s">
        <v>18</v>
      </c>
      <c r="L61" s="2" t="s">
        <v>19</v>
      </c>
      <c r="M61" s="2" t="s">
        <v>20</v>
      </c>
      <c r="N61" s="2" t="s">
        <v>21</v>
      </c>
    </row>
    <row r="62" spans="1:14" x14ac:dyDescent="0.25">
      <c r="A62" s="1" t="str">
        <f>B54</f>
        <v>Mo ore mining and FeMo production in the US (Mo content)</v>
      </c>
      <c r="B62" s="1" t="str">
        <f>B55</f>
        <v>FeMo (Mo content)</v>
      </c>
      <c r="C62" s="1" t="str">
        <f>B56</f>
        <v>US</v>
      </c>
      <c r="D62" s="1">
        <v>1</v>
      </c>
      <c r="E62" s="1" t="s">
        <v>8</v>
      </c>
      <c r="F62" s="9" t="str">
        <f>F50</f>
        <v>Molybdenum</v>
      </c>
      <c r="G62" s="1" t="s">
        <v>22</v>
      </c>
    </row>
    <row r="63" spans="1:14" x14ac:dyDescent="0.25">
      <c r="A63" s="1" t="str">
        <f>A25</f>
        <v>[P+R] Ferromolybdenum (FeMo) production (from Mo ore)</v>
      </c>
      <c r="B63" s="1" t="str">
        <f t="shared" ref="B63:F63" si="2">B25</f>
        <v>FeMo</v>
      </c>
      <c r="C63" s="1" t="str">
        <f t="shared" si="2"/>
        <v>US</v>
      </c>
      <c r="D63" s="1">
        <f>D51/(60/100)</f>
        <v>1.6666666666666667</v>
      </c>
      <c r="E63" s="1" t="str">
        <f t="shared" si="2"/>
        <v>kilogram</v>
      </c>
      <c r="F63" s="9" t="str">
        <f t="shared" si="2"/>
        <v>Molybdenum</v>
      </c>
      <c r="G63" s="1" t="s">
        <v>28</v>
      </c>
    </row>
    <row r="64" spans="1:14" x14ac:dyDescent="0.25">
      <c r="A64" s="1" t="str">
        <f>A9</f>
        <v>[M+C] Molybdenum (Mo) ore mining and concentration</v>
      </c>
      <c r="B64" s="1" t="str">
        <f t="shared" ref="B64:F64" si="3">B9</f>
        <v>Mo concentrate</v>
      </c>
      <c r="C64" s="1" t="str">
        <f t="shared" si="3"/>
        <v>US</v>
      </c>
      <c r="D64" s="1">
        <f>D52/(60/100)</f>
        <v>1.6666666666666667</v>
      </c>
      <c r="E64" s="1" t="str">
        <f t="shared" si="3"/>
        <v>kilogram</v>
      </c>
      <c r="F64" s="9" t="str">
        <f t="shared" si="3"/>
        <v>Molybdenum</v>
      </c>
      <c r="G64" s="1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N52"/>
  <sheetViews>
    <sheetView workbookViewId="0">
      <selection activeCell="D11" sqref="D11"/>
    </sheetView>
  </sheetViews>
  <sheetFormatPr baseColWidth="10" defaultColWidth="8.7109375" defaultRowHeight="15" x14ac:dyDescent="0.25"/>
  <cols>
    <col min="1" max="1" width="58.85546875" style="1" customWidth="1"/>
    <col min="2" max="2" width="59.7109375" style="1" customWidth="1"/>
    <col min="3" max="3" width="7.5703125" style="1" bestFit="1" customWidth="1"/>
    <col min="4" max="5" width="11.85546875" style="1" bestFit="1" customWidth="1"/>
    <col min="6" max="6" width="21.140625" style="1" customWidth="1"/>
    <col min="7" max="7" width="14.140625" style="1" customWidth="1"/>
    <col min="8" max="8" width="9.42578125" style="1" bestFit="1" customWidth="1"/>
    <col min="9" max="9" width="14.5703125" style="1" bestFit="1" customWidth="1"/>
    <col min="10" max="10" width="8.85546875" style="1" bestFit="1" customWidth="1"/>
    <col min="11" max="11" width="3.42578125" style="1" bestFit="1" customWidth="1"/>
    <col min="12" max="12" width="5" style="1" bestFit="1" customWidth="1"/>
    <col min="13" max="13" width="8.85546875" style="1" bestFit="1" customWidth="1"/>
    <col min="14" max="14" width="9.28515625" style="1" bestFit="1" customWidth="1"/>
    <col min="15" max="16384" width="8.7109375" style="1"/>
  </cols>
  <sheetData>
    <row r="1" spans="1:14" x14ac:dyDescent="0.25">
      <c r="A1" s="2" t="s">
        <v>0</v>
      </c>
      <c r="B1" s="2" t="s">
        <v>1</v>
      </c>
    </row>
    <row r="2" spans="1:14" x14ac:dyDescent="0.25">
      <c r="A2" s="3" t="s">
        <v>2</v>
      </c>
      <c r="B2" s="1" t="s">
        <v>3</v>
      </c>
    </row>
    <row r="3" spans="1:14" x14ac:dyDescent="0.25">
      <c r="A3" s="3" t="s">
        <v>4</v>
      </c>
      <c r="B3" s="1" t="s">
        <v>58</v>
      </c>
    </row>
    <row r="4" spans="1:14" x14ac:dyDescent="0.25">
      <c r="A4" s="3" t="s">
        <v>6</v>
      </c>
      <c r="B4" s="1">
        <v>1</v>
      </c>
    </row>
    <row r="5" spans="1:14" x14ac:dyDescent="0.25">
      <c r="A5" s="3" t="s">
        <v>7</v>
      </c>
      <c r="B5" s="1" t="s">
        <v>8</v>
      </c>
    </row>
    <row r="6" spans="1:14" ht="60" x14ac:dyDescent="0.25">
      <c r="A6" s="3" t="s">
        <v>9</v>
      </c>
      <c r="B6" s="12" t="s">
        <v>72</v>
      </c>
    </row>
    <row r="7" spans="1:14" x14ac:dyDescent="0.25">
      <c r="A7" s="3" t="s">
        <v>11</v>
      </c>
    </row>
    <row r="8" spans="1:14" x14ac:dyDescent="0.2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x14ac:dyDescent="0.25">
      <c r="A9" s="1" t="str">
        <f>B1</f>
        <v>[M+C] Molybdenum (Mo) ore mining and concentration</v>
      </c>
      <c r="B9" s="1" t="str">
        <f>B2</f>
        <v>Mo concentrate</v>
      </c>
      <c r="C9" s="1" t="str">
        <f>B3</f>
        <v>CN</v>
      </c>
      <c r="D9" s="1">
        <v>1</v>
      </c>
      <c r="E9" s="1" t="s">
        <v>8</v>
      </c>
      <c r="F9" s="9" t="str">
        <f>Mo_Market_GLO!B1</f>
        <v>Molybdenum</v>
      </c>
      <c r="G9" s="1" t="s">
        <v>22</v>
      </c>
    </row>
    <row r="10" spans="1:14" x14ac:dyDescent="0.25">
      <c r="A10" s="1" t="s">
        <v>23</v>
      </c>
      <c r="B10" s="1" t="s">
        <v>24</v>
      </c>
      <c r="C10" s="1" t="s">
        <v>25</v>
      </c>
      <c r="D10" s="1">
        <v>39.76</v>
      </c>
      <c r="E10" s="1" t="s">
        <v>26</v>
      </c>
      <c r="F10" s="1" t="s">
        <v>27</v>
      </c>
      <c r="G10" s="1" t="s">
        <v>28</v>
      </c>
      <c r="J10" s="1" t="s">
        <v>59</v>
      </c>
    </row>
    <row r="11" spans="1:14" x14ac:dyDescent="0.25">
      <c r="A11" s="1" t="s">
        <v>30</v>
      </c>
      <c r="B11" s="1" t="s">
        <v>31</v>
      </c>
      <c r="C11" s="1" t="s">
        <v>58</v>
      </c>
      <c r="D11" s="1">
        <v>0.76194444505399994</v>
      </c>
      <c r="E11" s="1" t="s">
        <v>32</v>
      </c>
      <c r="F11" s="1" t="s">
        <v>27</v>
      </c>
      <c r="G11" s="1" t="s">
        <v>28</v>
      </c>
      <c r="J11" s="1" t="s">
        <v>59</v>
      </c>
    </row>
    <row r="12" spans="1:14" s="10" customFormat="1" x14ac:dyDescent="0.25"/>
    <row r="13" spans="1:14" x14ac:dyDescent="0.25">
      <c r="A13" s="2" t="s">
        <v>0</v>
      </c>
      <c r="B13" s="2" t="s">
        <v>36</v>
      </c>
    </row>
    <row r="14" spans="1:14" x14ac:dyDescent="0.25">
      <c r="A14" s="3" t="s">
        <v>2</v>
      </c>
      <c r="B14" s="1" t="s">
        <v>37</v>
      </c>
    </row>
    <row r="15" spans="1:14" x14ac:dyDescent="0.25">
      <c r="A15" s="3" t="s">
        <v>4</v>
      </c>
      <c r="B15" s="1" t="s">
        <v>58</v>
      </c>
    </row>
    <row r="16" spans="1:14" x14ac:dyDescent="0.25">
      <c r="A16" s="3" t="s">
        <v>6</v>
      </c>
      <c r="B16" s="1">
        <v>1</v>
      </c>
    </row>
    <row r="17" spans="1:14" x14ac:dyDescent="0.25">
      <c r="A17" s="3" t="s">
        <v>7</v>
      </c>
      <c r="B17" s="1" t="s">
        <v>8</v>
      </c>
    </row>
    <row r="18" spans="1:14" x14ac:dyDescent="0.25">
      <c r="A18" s="3" t="s">
        <v>9</v>
      </c>
      <c r="B18" s="1" t="s">
        <v>10</v>
      </c>
    </row>
    <row r="19" spans="1:14" x14ac:dyDescent="0.25">
      <c r="A19" s="3" t="s">
        <v>11</v>
      </c>
    </row>
    <row r="20" spans="1:14" x14ac:dyDescent="0.25">
      <c r="A20" s="2" t="s">
        <v>12</v>
      </c>
      <c r="B20" s="2" t="s">
        <v>2</v>
      </c>
      <c r="C20" s="2" t="s">
        <v>4</v>
      </c>
      <c r="D20" s="2" t="s">
        <v>6</v>
      </c>
      <c r="E20" s="2" t="s">
        <v>7</v>
      </c>
      <c r="F20" s="2" t="s">
        <v>13</v>
      </c>
      <c r="G20" s="2" t="s">
        <v>14</v>
      </c>
      <c r="H20" s="2" t="s">
        <v>15</v>
      </c>
      <c r="I20" s="2" t="s">
        <v>16</v>
      </c>
      <c r="J20" s="2" t="s">
        <v>17</v>
      </c>
      <c r="K20" s="2" t="s">
        <v>18</v>
      </c>
      <c r="L20" s="2" t="s">
        <v>19</v>
      </c>
      <c r="M20" s="2" t="s">
        <v>20</v>
      </c>
      <c r="N20" s="2" t="s">
        <v>21</v>
      </c>
    </row>
    <row r="21" spans="1:14" x14ac:dyDescent="0.25">
      <c r="A21" s="1" t="str">
        <f>B13</f>
        <v>[P+R] Ferromolybdenum (FeMo) production (from Mo ore)</v>
      </c>
      <c r="B21" s="1" t="str">
        <f>B14</f>
        <v>FeMo</v>
      </c>
      <c r="C21" s="1" t="str">
        <f>B15</f>
        <v>CN</v>
      </c>
      <c r="D21" s="1">
        <v>1</v>
      </c>
      <c r="E21" s="1" t="s">
        <v>8</v>
      </c>
      <c r="F21" s="9" t="str">
        <f>F9</f>
        <v>Molybdenum</v>
      </c>
      <c r="G21" s="1" t="s">
        <v>22</v>
      </c>
    </row>
    <row r="22" spans="1:14" x14ac:dyDescent="0.25">
      <c r="A22" s="1" t="s">
        <v>38</v>
      </c>
      <c r="B22" s="1" t="s">
        <v>39</v>
      </c>
      <c r="C22" s="1" t="s">
        <v>40</v>
      </c>
      <c r="D22" s="1">
        <v>0.90652631578947362</v>
      </c>
      <c r="E22" s="1" t="s">
        <v>41</v>
      </c>
      <c r="F22" s="1" t="s">
        <v>27</v>
      </c>
      <c r="G22" s="1" t="s">
        <v>28</v>
      </c>
      <c r="J22" s="1" t="s">
        <v>59</v>
      </c>
    </row>
    <row r="23" spans="1:14" x14ac:dyDescent="0.25">
      <c r="A23" s="1" t="s">
        <v>42</v>
      </c>
      <c r="B23" s="1" t="s">
        <v>43</v>
      </c>
      <c r="C23" s="1" t="s">
        <v>40</v>
      </c>
      <c r="D23" s="1">
        <v>9.1999999999999998E-2</v>
      </c>
      <c r="E23" s="1" t="s">
        <v>8</v>
      </c>
      <c r="F23" s="1" t="s">
        <v>27</v>
      </c>
      <c r="G23" s="1" t="s">
        <v>28</v>
      </c>
      <c r="J23" s="1" t="s">
        <v>59</v>
      </c>
    </row>
    <row r="24" spans="1:14" x14ac:dyDescent="0.25">
      <c r="A24" s="1" t="s">
        <v>44</v>
      </c>
      <c r="B24" s="1" t="s">
        <v>45</v>
      </c>
      <c r="C24" s="1" t="s">
        <v>25</v>
      </c>
      <c r="D24" s="1">
        <v>0.48799999999999999</v>
      </c>
      <c r="E24" s="1" t="s">
        <v>8</v>
      </c>
      <c r="F24" s="1" t="s">
        <v>27</v>
      </c>
      <c r="G24" s="1" t="s">
        <v>28</v>
      </c>
      <c r="J24" s="1" t="s">
        <v>59</v>
      </c>
    </row>
    <row r="25" spans="1:14" x14ac:dyDescent="0.25">
      <c r="A25" s="1" t="s">
        <v>46</v>
      </c>
      <c r="B25" s="1" t="s">
        <v>47</v>
      </c>
      <c r="C25" s="1" t="s">
        <v>40</v>
      </c>
      <c r="D25" s="1">
        <v>0.113</v>
      </c>
      <c r="E25" s="1" t="s">
        <v>8</v>
      </c>
      <c r="F25" s="1" t="s">
        <v>27</v>
      </c>
      <c r="G25" s="1" t="s">
        <v>28</v>
      </c>
      <c r="J25" s="1" t="s">
        <v>59</v>
      </c>
    </row>
    <row r="26" spans="1:14" x14ac:dyDescent="0.25">
      <c r="A26" s="1" t="s">
        <v>48</v>
      </c>
      <c r="B26" s="1" t="s">
        <v>49</v>
      </c>
      <c r="C26" s="1" t="s">
        <v>25</v>
      </c>
      <c r="D26" s="1">
        <v>9.1999999999999998E-2</v>
      </c>
      <c r="E26" s="1" t="s">
        <v>8</v>
      </c>
      <c r="F26" s="1" t="s">
        <v>27</v>
      </c>
      <c r="G26" s="1" t="s">
        <v>28</v>
      </c>
      <c r="J26" s="1" t="s">
        <v>59</v>
      </c>
    </row>
    <row r="27" spans="1:14" x14ac:dyDescent="0.25">
      <c r="A27" s="1" t="s">
        <v>50</v>
      </c>
      <c r="B27" s="1" t="s">
        <v>51</v>
      </c>
      <c r="C27" s="1" t="s">
        <v>25</v>
      </c>
      <c r="D27" s="1">
        <v>0.379</v>
      </c>
      <c r="E27" s="1" t="s">
        <v>8</v>
      </c>
      <c r="F27" s="1" t="s">
        <v>27</v>
      </c>
      <c r="G27" s="1" t="s">
        <v>28</v>
      </c>
      <c r="J27" s="1" t="s">
        <v>59</v>
      </c>
    </row>
    <row r="28" spans="1:14" x14ac:dyDescent="0.25">
      <c r="A28" s="1" t="s">
        <v>30</v>
      </c>
      <c r="B28" s="1" t="s">
        <v>31</v>
      </c>
      <c r="C28" s="1" t="s">
        <v>58</v>
      </c>
      <c r="D28" s="1">
        <v>1.2191666676420001</v>
      </c>
      <c r="E28" s="1" t="s">
        <v>32</v>
      </c>
      <c r="F28" s="1" t="s">
        <v>27</v>
      </c>
      <c r="G28" s="1" t="s">
        <v>28</v>
      </c>
      <c r="J28" s="1" t="s">
        <v>59</v>
      </c>
    </row>
    <row r="29" spans="1:14" s="11" customFormat="1" x14ac:dyDescent="0.25"/>
    <row r="30" spans="1:14" x14ac:dyDescent="0.25">
      <c r="A30" s="2" t="s">
        <v>0</v>
      </c>
      <c r="B30" s="2" t="s">
        <v>60</v>
      </c>
    </row>
    <row r="31" spans="1:14" x14ac:dyDescent="0.25">
      <c r="A31" s="3" t="s">
        <v>2</v>
      </c>
      <c r="B31" s="1" t="s">
        <v>37</v>
      </c>
    </row>
    <row r="32" spans="1:14" x14ac:dyDescent="0.25">
      <c r="A32" s="3" t="s">
        <v>4</v>
      </c>
      <c r="B32" s="1" t="s">
        <v>58</v>
      </c>
    </row>
    <row r="33" spans="1:14" x14ac:dyDescent="0.25">
      <c r="A33" s="3" t="s">
        <v>6</v>
      </c>
      <c r="B33" s="1">
        <v>1</v>
      </c>
    </row>
    <row r="34" spans="1:14" x14ac:dyDescent="0.25">
      <c r="A34" s="3" t="s">
        <v>7</v>
      </c>
      <c r="B34" s="1" t="s">
        <v>8</v>
      </c>
    </row>
    <row r="35" spans="1:14" x14ac:dyDescent="0.25">
      <c r="A35" s="3" t="s">
        <v>9</v>
      </c>
      <c r="B35" s="1" t="s">
        <v>10</v>
      </c>
    </row>
    <row r="36" spans="1:14" x14ac:dyDescent="0.25">
      <c r="A36" s="3" t="s">
        <v>11</v>
      </c>
    </row>
    <row r="37" spans="1:14" x14ac:dyDescent="0.25">
      <c r="A37" s="2" t="s">
        <v>12</v>
      </c>
      <c r="B37" s="2" t="s">
        <v>2</v>
      </c>
      <c r="C37" s="2" t="s">
        <v>4</v>
      </c>
      <c r="D37" s="2" t="s">
        <v>6</v>
      </c>
      <c r="E37" s="2" t="s">
        <v>7</v>
      </c>
      <c r="F37" s="2" t="s">
        <v>13</v>
      </c>
      <c r="G37" s="2" t="s">
        <v>14</v>
      </c>
      <c r="H37" s="2" t="s">
        <v>15</v>
      </c>
      <c r="I37" s="2" t="s">
        <v>16</v>
      </c>
      <c r="J37" s="2" t="s">
        <v>17</v>
      </c>
      <c r="K37" s="2" t="s">
        <v>18</v>
      </c>
      <c r="L37" s="2" t="s">
        <v>19</v>
      </c>
      <c r="M37" s="2" t="s">
        <v>20</v>
      </c>
      <c r="N37" s="2" t="s">
        <v>21</v>
      </c>
    </row>
    <row r="38" spans="1:14" x14ac:dyDescent="0.25">
      <c r="A38" s="1" t="str">
        <f>B30</f>
        <v>Mo ore mining and FeMo production in China</v>
      </c>
      <c r="B38" s="1" t="str">
        <f>B31</f>
        <v>FeMo</v>
      </c>
      <c r="C38" s="1" t="str">
        <f>B32</f>
        <v>CN</v>
      </c>
      <c r="D38" s="1">
        <v>1</v>
      </c>
      <c r="E38" s="1" t="s">
        <v>8</v>
      </c>
      <c r="F38" s="9" t="str">
        <f>F21</f>
        <v>Molybdenum</v>
      </c>
      <c r="G38" s="1" t="s">
        <v>22</v>
      </c>
    </row>
    <row r="39" spans="1:14" x14ac:dyDescent="0.25">
      <c r="A39" s="1" t="str">
        <f>A21</f>
        <v>[P+R] Ferromolybdenum (FeMo) production (from Mo ore)</v>
      </c>
      <c r="B39" s="1" t="str">
        <f t="shared" ref="B39:F39" si="0">B21</f>
        <v>FeMo</v>
      </c>
      <c r="C39" s="1" t="str">
        <f t="shared" si="0"/>
        <v>CN</v>
      </c>
      <c r="D39" s="1">
        <f t="shared" si="0"/>
        <v>1</v>
      </c>
      <c r="E39" s="1" t="str">
        <f t="shared" si="0"/>
        <v>kilogram</v>
      </c>
      <c r="F39" s="9" t="str">
        <f t="shared" si="0"/>
        <v>Molybdenum</v>
      </c>
      <c r="G39" s="1" t="s">
        <v>28</v>
      </c>
    </row>
    <row r="40" spans="1:14" x14ac:dyDescent="0.25">
      <c r="A40" s="1" t="str">
        <f>A9</f>
        <v>[M+C] Molybdenum (Mo) ore mining and concentration</v>
      </c>
      <c r="B40" s="1" t="str">
        <f t="shared" ref="B40:F40" si="1">B9</f>
        <v>Mo concentrate</v>
      </c>
      <c r="C40" s="1" t="str">
        <f t="shared" si="1"/>
        <v>CN</v>
      </c>
      <c r="D40" s="1">
        <f t="shared" si="1"/>
        <v>1</v>
      </c>
      <c r="E40" s="1" t="str">
        <f t="shared" si="1"/>
        <v>kilogram</v>
      </c>
      <c r="F40" s="9" t="str">
        <f t="shared" si="1"/>
        <v>Molybdenum</v>
      </c>
      <c r="G40" s="1" t="s">
        <v>28</v>
      </c>
    </row>
    <row r="41" spans="1:14" s="11" customFormat="1" x14ac:dyDescent="0.25"/>
    <row r="42" spans="1:14" x14ac:dyDescent="0.25">
      <c r="A42" s="2" t="s">
        <v>0</v>
      </c>
      <c r="B42" s="2" t="s">
        <v>61</v>
      </c>
    </row>
    <row r="43" spans="1:14" x14ac:dyDescent="0.25">
      <c r="A43" s="3" t="s">
        <v>2</v>
      </c>
      <c r="B43" s="1" t="s">
        <v>56</v>
      </c>
    </row>
    <row r="44" spans="1:14" x14ac:dyDescent="0.25">
      <c r="A44" s="3" t="s">
        <v>4</v>
      </c>
      <c r="B44" s="1" t="s">
        <v>58</v>
      </c>
    </row>
    <row r="45" spans="1:14" x14ac:dyDescent="0.25">
      <c r="A45" s="3" t="s">
        <v>6</v>
      </c>
      <c r="B45" s="1">
        <v>1</v>
      </c>
    </row>
    <row r="46" spans="1:14" x14ac:dyDescent="0.25">
      <c r="A46" s="3" t="s">
        <v>7</v>
      </c>
      <c r="B46" s="1" t="s">
        <v>8</v>
      </c>
    </row>
    <row r="47" spans="1:14" x14ac:dyDescent="0.25">
      <c r="A47" s="3" t="s">
        <v>9</v>
      </c>
      <c r="B47" s="1" t="s">
        <v>57</v>
      </c>
    </row>
    <row r="48" spans="1:14" x14ac:dyDescent="0.25">
      <c r="A48" s="3" t="s">
        <v>11</v>
      </c>
    </row>
    <row r="49" spans="1:14" x14ac:dyDescent="0.25">
      <c r="A49" s="2" t="s">
        <v>12</v>
      </c>
      <c r="B49" s="2" t="s">
        <v>2</v>
      </c>
      <c r="C49" s="2" t="s">
        <v>4</v>
      </c>
      <c r="D49" s="2" t="s">
        <v>6</v>
      </c>
      <c r="E49" s="2" t="s">
        <v>7</v>
      </c>
      <c r="F49" s="2" t="s">
        <v>13</v>
      </c>
      <c r="G49" s="2" t="s">
        <v>14</v>
      </c>
      <c r="H49" s="2" t="s">
        <v>15</v>
      </c>
      <c r="I49" s="2" t="s">
        <v>16</v>
      </c>
      <c r="J49" s="2" t="s">
        <v>17</v>
      </c>
      <c r="K49" s="2" t="s">
        <v>18</v>
      </c>
      <c r="L49" s="2" t="s">
        <v>19</v>
      </c>
      <c r="M49" s="2" t="s">
        <v>20</v>
      </c>
      <c r="N49" s="2" t="s">
        <v>21</v>
      </c>
    </row>
    <row r="50" spans="1:14" x14ac:dyDescent="0.25">
      <c r="A50" s="1" t="str">
        <f>B42</f>
        <v>Mo ore mining and FeMo production in China (Mo content)</v>
      </c>
      <c r="B50" s="1" t="str">
        <f>B43</f>
        <v>FeMo (Mo content)</v>
      </c>
      <c r="C50" s="1" t="str">
        <f>B44</f>
        <v>CN</v>
      </c>
      <c r="D50" s="1">
        <v>1</v>
      </c>
      <c r="E50" s="1" t="s">
        <v>8</v>
      </c>
      <c r="F50" s="9" t="str">
        <f>F38</f>
        <v>Molybdenum</v>
      </c>
      <c r="G50" s="1" t="s">
        <v>22</v>
      </c>
    </row>
    <row r="51" spans="1:14" x14ac:dyDescent="0.25">
      <c r="A51" s="1" t="str">
        <f>A21</f>
        <v>[P+R] Ferromolybdenum (FeMo) production (from Mo ore)</v>
      </c>
      <c r="B51" s="1" t="str">
        <f t="shared" ref="B51:F51" si="2">B21</f>
        <v>FeMo</v>
      </c>
      <c r="C51" s="1" t="str">
        <f t="shared" si="2"/>
        <v>CN</v>
      </c>
      <c r="D51" s="1">
        <f>D39/(60/100)</f>
        <v>1.6666666666666667</v>
      </c>
      <c r="E51" s="1" t="str">
        <f t="shared" si="2"/>
        <v>kilogram</v>
      </c>
      <c r="F51" s="9" t="str">
        <f t="shared" si="2"/>
        <v>Molybdenum</v>
      </c>
      <c r="G51" s="1" t="s">
        <v>28</v>
      </c>
    </row>
    <row r="52" spans="1:14" x14ac:dyDescent="0.25">
      <c r="A52" s="1" t="str">
        <f>A9</f>
        <v>[M+C] Molybdenum (Mo) ore mining and concentration</v>
      </c>
      <c r="B52" s="1" t="str">
        <f t="shared" ref="B52:F52" si="3">B9</f>
        <v>Mo concentrate</v>
      </c>
      <c r="C52" s="1" t="str">
        <f t="shared" si="3"/>
        <v>CN</v>
      </c>
      <c r="D52" s="1">
        <f>D40/(60/100)</f>
        <v>1.6666666666666667</v>
      </c>
      <c r="E52" s="1" t="str">
        <f t="shared" si="3"/>
        <v>kilogram</v>
      </c>
      <c r="F52" s="9" t="str">
        <f t="shared" si="3"/>
        <v>Molybdenum</v>
      </c>
      <c r="G52" s="1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BEC1-12F5-4BA4-A1B9-17BDAE78CDAB}">
  <sheetPr>
    <tabColor theme="8" tint="0.39997558519241921"/>
  </sheetPr>
  <dimension ref="A1:N53"/>
  <sheetViews>
    <sheetView workbookViewId="0">
      <selection activeCell="B24" sqref="B24"/>
    </sheetView>
  </sheetViews>
  <sheetFormatPr baseColWidth="10" defaultColWidth="8.7109375" defaultRowHeight="15" x14ac:dyDescent="0.25"/>
  <cols>
    <col min="1" max="1" width="62.140625" style="1" customWidth="1"/>
    <col min="2" max="2" width="65" style="1" customWidth="1"/>
    <col min="3" max="3" width="7.5703125" style="1" bestFit="1" customWidth="1"/>
    <col min="4" max="4" width="11.85546875" style="1" bestFit="1" customWidth="1"/>
    <col min="5" max="5" width="12" style="1" bestFit="1" customWidth="1"/>
    <col min="6" max="6" width="19.7109375" style="1" bestFit="1" customWidth="1"/>
    <col min="7" max="7" width="13.28515625" style="1" bestFit="1" customWidth="1"/>
    <col min="8" max="8" width="9.42578125" style="1" bestFit="1" customWidth="1"/>
    <col min="9" max="9" width="14.5703125" style="1" bestFit="1" customWidth="1"/>
    <col min="10" max="10" width="8.85546875" style="1" bestFit="1" customWidth="1"/>
    <col min="11" max="11" width="3.42578125" style="1" bestFit="1" customWidth="1"/>
    <col min="12" max="12" width="5" style="1" bestFit="1" customWidth="1"/>
    <col min="13" max="13" width="8.85546875" style="1" bestFit="1" customWidth="1"/>
    <col min="14" max="14" width="9.28515625" style="1" bestFit="1" customWidth="1"/>
    <col min="15" max="16384" width="8.7109375" style="1"/>
  </cols>
  <sheetData>
    <row r="1" spans="1:14" x14ac:dyDescent="0.25">
      <c r="A1" s="2" t="s">
        <v>0</v>
      </c>
      <c r="B1" s="2" t="s">
        <v>62</v>
      </c>
    </row>
    <row r="2" spans="1:14" x14ac:dyDescent="0.25">
      <c r="A2" s="3" t="s">
        <v>2</v>
      </c>
      <c r="B2" s="1" t="s">
        <v>63</v>
      </c>
    </row>
    <row r="3" spans="1:14" x14ac:dyDescent="0.25">
      <c r="A3" s="3" t="s">
        <v>4</v>
      </c>
      <c r="B3" s="1" t="s">
        <v>5</v>
      </c>
    </row>
    <row r="4" spans="1:14" x14ac:dyDescent="0.25">
      <c r="A4" s="3" t="s">
        <v>6</v>
      </c>
      <c r="B4" s="1">
        <v>1</v>
      </c>
    </row>
    <row r="5" spans="1:14" x14ac:dyDescent="0.25">
      <c r="A5" s="3" t="s">
        <v>7</v>
      </c>
      <c r="B5" s="1" t="s">
        <v>8</v>
      </c>
    </row>
    <row r="6" spans="1:14" ht="90" x14ac:dyDescent="0.25">
      <c r="A6" s="3" t="s">
        <v>9</v>
      </c>
      <c r="B6" s="13" t="s">
        <v>73</v>
      </c>
    </row>
    <row r="7" spans="1:14" x14ac:dyDescent="0.25">
      <c r="A7" s="3" t="s">
        <v>11</v>
      </c>
    </row>
    <row r="8" spans="1:14" x14ac:dyDescent="0.2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x14ac:dyDescent="0.25">
      <c r="A9" s="1" t="str">
        <f>B1</f>
        <v>[M+C] Copper (Cu) ore mining and concentration</v>
      </c>
      <c r="B9" s="1" t="str">
        <f>B2</f>
        <v>Molybdenum (Mo) concentrate</v>
      </c>
      <c r="C9" s="1" t="str">
        <f>B3</f>
        <v>US</v>
      </c>
      <c r="D9" s="1">
        <v>1</v>
      </c>
      <c r="E9" s="1" t="s">
        <v>8</v>
      </c>
      <c r="F9" s="9" t="str">
        <f>Mo_Market_GLO!B1</f>
        <v>Molybdenum</v>
      </c>
      <c r="G9" s="1" t="s">
        <v>22</v>
      </c>
    </row>
    <row r="10" spans="1:14" x14ac:dyDescent="0.25">
      <c r="A10" s="1" t="s">
        <v>23</v>
      </c>
      <c r="B10" s="1" t="s">
        <v>24</v>
      </c>
      <c r="C10" s="1" t="s">
        <v>25</v>
      </c>
      <c r="D10" s="14">
        <v>0.21367677597375867</v>
      </c>
      <c r="E10" s="1" t="s">
        <v>26</v>
      </c>
      <c r="F10" s="1" t="s">
        <v>27</v>
      </c>
      <c r="G10" s="1" t="s">
        <v>28</v>
      </c>
      <c r="J10" s="1" t="s">
        <v>64</v>
      </c>
    </row>
    <row r="11" spans="1:14" x14ac:dyDescent="0.25">
      <c r="A11" s="1" t="s">
        <v>30</v>
      </c>
      <c r="B11" s="1" t="s">
        <v>31</v>
      </c>
      <c r="C11" s="1" t="s">
        <v>5</v>
      </c>
      <c r="D11" s="14">
        <v>3.8159650527659568</v>
      </c>
      <c r="E11" s="1" t="s">
        <v>32</v>
      </c>
      <c r="F11" s="1" t="s">
        <v>27</v>
      </c>
      <c r="G11" s="1" t="s">
        <v>28</v>
      </c>
      <c r="J11" s="1" t="s">
        <v>64</v>
      </c>
    </row>
    <row r="12" spans="1:14" x14ac:dyDescent="0.25">
      <c r="A12" s="1" t="s">
        <v>33</v>
      </c>
      <c r="B12" s="1" t="s">
        <v>34</v>
      </c>
      <c r="C12" s="1" t="s">
        <v>5</v>
      </c>
      <c r="D12" s="14">
        <v>6.2160516646911619</v>
      </c>
      <c r="E12" s="1" t="s">
        <v>35</v>
      </c>
      <c r="F12" s="1" t="s">
        <v>27</v>
      </c>
      <c r="G12" s="1" t="s">
        <v>28</v>
      </c>
      <c r="J12" s="1" t="s">
        <v>64</v>
      </c>
    </row>
    <row r="13" spans="1:14" s="10" customFormat="1" x14ac:dyDescent="0.25"/>
    <row r="14" spans="1:14" x14ac:dyDescent="0.25">
      <c r="A14" s="2" t="s">
        <v>0</v>
      </c>
      <c r="B14" s="2" t="s">
        <v>65</v>
      </c>
    </row>
    <row r="15" spans="1:14" x14ac:dyDescent="0.25">
      <c r="A15" s="3" t="s">
        <v>2</v>
      </c>
      <c r="B15" s="1" t="s">
        <v>37</v>
      </c>
    </row>
    <row r="16" spans="1:14" x14ac:dyDescent="0.25">
      <c r="A16" s="3" t="s">
        <v>4</v>
      </c>
      <c r="B16" s="1" t="s">
        <v>5</v>
      </c>
    </row>
    <row r="17" spans="1:14" x14ac:dyDescent="0.25">
      <c r="A17" s="3" t="s">
        <v>6</v>
      </c>
      <c r="B17" s="1">
        <v>1</v>
      </c>
    </row>
    <row r="18" spans="1:14" x14ac:dyDescent="0.25">
      <c r="A18" s="3" t="s">
        <v>7</v>
      </c>
      <c r="B18" s="1" t="s">
        <v>8</v>
      </c>
    </row>
    <row r="19" spans="1:14" x14ac:dyDescent="0.25">
      <c r="A19" s="3" t="s">
        <v>9</v>
      </c>
      <c r="B19" s="1" t="s">
        <v>10</v>
      </c>
    </row>
    <row r="20" spans="1:14" x14ac:dyDescent="0.25">
      <c r="A20" s="3" t="s">
        <v>11</v>
      </c>
    </row>
    <row r="21" spans="1:14" x14ac:dyDescent="0.25">
      <c r="A21" s="2" t="s">
        <v>12</v>
      </c>
      <c r="B21" s="2" t="s">
        <v>2</v>
      </c>
      <c r="C21" s="2" t="s">
        <v>4</v>
      </c>
      <c r="D21" s="2" t="s">
        <v>6</v>
      </c>
      <c r="E21" s="2" t="s">
        <v>7</v>
      </c>
      <c r="F21" s="2" t="s">
        <v>13</v>
      </c>
      <c r="G21" s="2" t="s">
        <v>14</v>
      </c>
      <c r="H21" s="2" t="s">
        <v>15</v>
      </c>
      <c r="I21" s="2" t="s">
        <v>16</v>
      </c>
      <c r="J21" s="2" t="s">
        <v>17</v>
      </c>
      <c r="K21" s="2" t="s">
        <v>18</v>
      </c>
      <c r="L21" s="2" t="s">
        <v>19</v>
      </c>
      <c r="M21" s="2" t="s">
        <v>20</v>
      </c>
      <c r="N21" s="2" t="s">
        <v>21</v>
      </c>
    </row>
    <row r="22" spans="1:14" x14ac:dyDescent="0.25">
      <c r="A22" s="1" t="str">
        <f>B14</f>
        <v>[P+R] Ferromolybdenum (FeMo) production (from Cu ore)</v>
      </c>
      <c r="B22" s="1" t="str">
        <f>B15</f>
        <v>FeMo</v>
      </c>
      <c r="C22" s="1" t="str">
        <f>B16</f>
        <v>US</v>
      </c>
      <c r="D22" s="1">
        <v>1</v>
      </c>
      <c r="E22" s="1" t="s">
        <v>8</v>
      </c>
      <c r="F22" s="9" t="str">
        <f>F9</f>
        <v>Molybdenum</v>
      </c>
      <c r="G22" s="1" t="s">
        <v>22</v>
      </c>
    </row>
    <row r="23" spans="1:14" x14ac:dyDescent="0.25">
      <c r="A23" s="1" t="s">
        <v>38</v>
      </c>
      <c r="B23" s="1" t="s">
        <v>39</v>
      </c>
      <c r="C23" s="1" t="s">
        <v>40</v>
      </c>
      <c r="D23" s="1">
        <v>0.89894736842105261</v>
      </c>
      <c r="E23" s="1" t="s">
        <v>41</v>
      </c>
      <c r="F23" s="1" t="s">
        <v>27</v>
      </c>
      <c r="G23" s="1" t="s">
        <v>28</v>
      </c>
      <c r="J23" s="1" t="s">
        <v>64</v>
      </c>
    </row>
    <row r="24" spans="1:14" x14ac:dyDescent="0.25">
      <c r="A24" s="1" t="s">
        <v>42</v>
      </c>
      <c r="B24" s="1" t="s">
        <v>43</v>
      </c>
      <c r="C24" s="1" t="s">
        <v>40</v>
      </c>
      <c r="D24" s="1">
        <v>0.114</v>
      </c>
      <c r="E24" s="1" t="s">
        <v>8</v>
      </c>
      <c r="F24" s="1" t="s">
        <v>27</v>
      </c>
      <c r="G24" s="1" t="s">
        <v>28</v>
      </c>
      <c r="J24" s="1" t="s">
        <v>64</v>
      </c>
    </row>
    <row r="25" spans="1:14" x14ac:dyDescent="0.25">
      <c r="A25" s="1" t="s">
        <v>44</v>
      </c>
      <c r="B25" s="1" t="s">
        <v>45</v>
      </c>
      <c r="C25" s="1" t="s">
        <v>25</v>
      </c>
      <c r="D25" s="1">
        <v>0.437</v>
      </c>
      <c r="E25" s="1" t="s">
        <v>8</v>
      </c>
      <c r="F25" s="1" t="s">
        <v>27</v>
      </c>
      <c r="G25" s="1" t="s">
        <v>28</v>
      </c>
      <c r="J25" s="1" t="s">
        <v>64</v>
      </c>
    </row>
    <row r="26" spans="1:14" x14ac:dyDescent="0.25">
      <c r="A26" s="1" t="s">
        <v>46</v>
      </c>
      <c r="B26" s="1" t="s">
        <v>47</v>
      </c>
      <c r="C26" s="1" t="s">
        <v>40</v>
      </c>
      <c r="D26" s="1">
        <v>0.113</v>
      </c>
      <c r="E26" s="1" t="s">
        <v>8</v>
      </c>
      <c r="F26" s="1" t="s">
        <v>27</v>
      </c>
      <c r="G26" s="1" t="s">
        <v>28</v>
      </c>
      <c r="J26" s="1" t="s">
        <v>64</v>
      </c>
    </row>
    <row r="27" spans="1:14" x14ac:dyDescent="0.25">
      <c r="A27" s="1" t="s">
        <v>48</v>
      </c>
      <c r="B27" s="1" t="s">
        <v>49</v>
      </c>
      <c r="C27" s="1" t="s">
        <v>25</v>
      </c>
      <c r="D27" s="1">
        <v>8.2000000000000003E-2</v>
      </c>
      <c r="E27" s="1" t="s">
        <v>8</v>
      </c>
      <c r="F27" s="1" t="s">
        <v>27</v>
      </c>
      <c r="G27" s="1" t="s">
        <v>28</v>
      </c>
      <c r="J27" s="1" t="s">
        <v>64</v>
      </c>
    </row>
    <row r="28" spans="1:14" x14ac:dyDescent="0.25">
      <c r="A28" s="1" t="s">
        <v>50</v>
      </c>
      <c r="B28" s="1" t="s">
        <v>51</v>
      </c>
      <c r="C28" s="1" t="s">
        <v>25</v>
      </c>
      <c r="D28" s="1">
        <v>0.376</v>
      </c>
      <c r="E28" s="1" t="s">
        <v>8</v>
      </c>
      <c r="F28" s="1" t="s">
        <v>27</v>
      </c>
      <c r="G28" s="1" t="s">
        <v>28</v>
      </c>
      <c r="J28" s="1" t="s">
        <v>64</v>
      </c>
    </row>
    <row r="29" spans="1:14" x14ac:dyDescent="0.25">
      <c r="A29" s="1" t="s">
        <v>30</v>
      </c>
      <c r="B29" s="1" t="s">
        <v>31</v>
      </c>
      <c r="C29" s="1" t="s">
        <v>5</v>
      </c>
      <c r="D29" s="1">
        <v>1.00972222303</v>
      </c>
      <c r="E29" s="1" t="s">
        <v>32</v>
      </c>
      <c r="F29" s="1" t="s">
        <v>27</v>
      </c>
      <c r="G29" s="1" t="s">
        <v>28</v>
      </c>
      <c r="J29" s="1" t="s">
        <v>64</v>
      </c>
    </row>
    <row r="30" spans="1:14" s="11" customFormat="1" x14ac:dyDescent="0.25"/>
    <row r="31" spans="1:14" x14ac:dyDescent="0.25">
      <c r="A31" s="2" t="s">
        <v>0</v>
      </c>
      <c r="B31" s="2" t="s">
        <v>66</v>
      </c>
    </row>
    <row r="32" spans="1:14" x14ac:dyDescent="0.25">
      <c r="A32" s="3" t="s">
        <v>2</v>
      </c>
      <c r="B32" s="1" t="s">
        <v>37</v>
      </c>
    </row>
    <row r="33" spans="1:14" x14ac:dyDescent="0.25">
      <c r="A33" s="3" t="s">
        <v>4</v>
      </c>
      <c r="B33" s="1" t="s">
        <v>5</v>
      </c>
    </row>
    <row r="34" spans="1:14" x14ac:dyDescent="0.25">
      <c r="A34" s="3" t="s">
        <v>6</v>
      </c>
      <c r="B34" s="1">
        <v>1</v>
      </c>
    </row>
    <row r="35" spans="1:14" x14ac:dyDescent="0.25">
      <c r="A35" s="3" t="s">
        <v>7</v>
      </c>
      <c r="B35" s="1" t="s">
        <v>8</v>
      </c>
    </row>
    <row r="36" spans="1:14" x14ac:dyDescent="0.25">
      <c r="A36" s="3" t="s">
        <v>9</v>
      </c>
      <c r="B36" s="1" t="s">
        <v>10</v>
      </c>
    </row>
    <row r="37" spans="1:14" x14ac:dyDescent="0.25">
      <c r="A37" s="3" t="s">
        <v>11</v>
      </c>
    </row>
    <row r="38" spans="1:14" x14ac:dyDescent="0.25">
      <c r="A38" s="2" t="s">
        <v>12</v>
      </c>
      <c r="B38" s="2" t="s">
        <v>2</v>
      </c>
      <c r="C38" s="2" t="s">
        <v>4</v>
      </c>
      <c r="D38" s="2" t="s">
        <v>6</v>
      </c>
      <c r="E38" s="2" t="s">
        <v>7</v>
      </c>
      <c r="F38" s="2" t="s">
        <v>13</v>
      </c>
      <c r="G38" s="2" t="s">
        <v>14</v>
      </c>
      <c r="H38" s="2" t="s">
        <v>15</v>
      </c>
      <c r="I38" s="2" t="s">
        <v>16</v>
      </c>
      <c r="J38" s="2" t="s">
        <v>17</v>
      </c>
      <c r="K38" s="2" t="s">
        <v>18</v>
      </c>
      <c r="L38" s="2" t="s">
        <v>19</v>
      </c>
      <c r="M38" s="2" t="s">
        <v>20</v>
      </c>
      <c r="N38" s="2" t="s">
        <v>21</v>
      </c>
    </row>
    <row r="39" spans="1:14" x14ac:dyDescent="0.25">
      <c r="A39" s="1" t="str">
        <f>B31</f>
        <v>FeMo recovery from Cu ore mining in the US</v>
      </c>
      <c r="B39" s="1" t="str">
        <f>B32</f>
        <v>FeMo</v>
      </c>
      <c r="C39" s="1" t="str">
        <f>B33</f>
        <v>US</v>
      </c>
      <c r="D39" s="1">
        <v>1</v>
      </c>
      <c r="E39" s="1" t="s">
        <v>8</v>
      </c>
      <c r="F39" s="9" t="str">
        <f>F22</f>
        <v>Molybdenum</v>
      </c>
      <c r="G39" s="1" t="s">
        <v>22</v>
      </c>
    </row>
    <row r="40" spans="1:14" x14ac:dyDescent="0.25">
      <c r="A40" s="1" t="str">
        <f>A22</f>
        <v>[P+R] Ferromolybdenum (FeMo) production (from Cu ore)</v>
      </c>
      <c r="B40" s="1" t="str">
        <f t="shared" ref="B40:F40" si="0">B22</f>
        <v>FeMo</v>
      </c>
      <c r="C40" s="1" t="str">
        <f t="shared" si="0"/>
        <v>US</v>
      </c>
      <c r="D40" s="1">
        <v>1</v>
      </c>
      <c r="E40" s="1" t="str">
        <f t="shared" si="0"/>
        <v>kilogram</v>
      </c>
      <c r="F40" s="9" t="str">
        <f t="shared" si="0"/>
        <v>Molybdenum</v>
      </c>
      <c r="G40" s="1" t="s">
        <v>28</v>
      </c>
    </row>
    <row r="41" spans="1:14" x14ac:dyDescent="0.25">
      <c r="A41" s="1" t="str">
        <f>A9</f>
        <v>[M+C] Copper (Cu) ore mining and concentration</v>
      </c>
      <c r="B41" s="1" t="str">
        <f t="shared" ref="B41:F41" si="1">B9</f>
        <v>Molybdenum (Mo) concentrate</v>
      </c>
      <c r="C41" s="1" t="str">
        <f t="shared" si="1"/>
        <v>US</v>
      </c>
      <c r="D41" s="1">
        <v>1</v>
      </c>
      <c r="E41" s="1" t="str">
        <f t="shared" si="1"/>
        <v>kilogram</v>
      </c>
      <c r="F41" s="9" t="str">
        <f t="shared" si="1"/>
        <v>Molybdenum</v>
      </c>
      <c r="G41" s="1" t="s">
        <v>28</v>
      </c>
    </row>
    <row r="42" spans="1:14" s="11" customFormat="1" x14ac:dyDescent="0.25"/>
    <row r="43" spans="1:14" x14ac:dyDescent="0.25">
      <c r="A43" s="2" t="s">
        <v>0</v>
      </c>
      <c r="B43" s="2" t="s">
        <v>67</v>
      </c>
    </row>
    <row r="44" spans="1:14" x14ac:dyDescent="0.25">
      <c r="A44" s="3" t="s">
        <v>2</v>
      </c>
      <c r="B44" s="1" t="s">
        <v>56</v>
      </c>
    </row>
    <row r="45" spans="1:14" x14ac:dyDescent="0.25">
      <c r="A45" s="3" t="s">
        <v>4</v>
      </c>
      <c r="B45" s="1" t="s">
        <v>5</v>
      </c>
    </row>
    <row r="46" spans="1:14" x14ac:dyDescent="0.25">
      <c r="A46" s="3" t="s">
        <v>6</v>
      </c>
      <c r="B46" s="1">
        <v>1</v>
      </c>
    </row>
    <row r="47" spans="1:14" x14ac:dyDescent="0.25">
      <c r="A47" s="3" t="s">
        <v>7</v>
      </c>
      <c r="B47" s="1" t="s">
        <v>8</v>
      </c>
    </row>
    <row r="48" spans="1:14" x14ac:dyDescent="0.25">
      <c r="A48" s="3" t="s">
        <v>9</v>
      </c>
      <c r="B48" s="1" t="s">
        <v>10</v>
      </c>
    </row>
    <row r="49" spans="1:14" x14ac:dyDescent="0.25">
      <c r="A49" s="3" t="s">
        <v>11</v>
      </c>
    </row>
    <row r="50" spans="1:14" x14ac:dyDescent="0.25">
      <c r="A50" s="2" t="s">
        <v>12</v>
      </c>
      <c r="B50" s="2" t="s">
        <v>2</v>
      </c>
      <c r="C50" s="2" t="s">
        <v>4</v>
      </c>
      <c r="D50" s="2" t="s">
        <v>6</v>
      </c>
      <c r="E50" s="2" t="s">
        <v>7</v>
      </c>
      <c r="F50" s="2" t="s">
        <v>13</v>
      </c>
      <c r="G50" s="2" t="s">
        <v>14</v>
      </c>
      <c r="H50" s="2" t="s">
        <v>15</v>
      </c>
      <c r="I50" s="2" t="s">
        <v>16</v>
      </c>
      <c r="J50" s="2" t="s">
        <v>17</v>
      </c>
      <c r="K50" s="2" t="s">
        <v>18</v>
      </c>
      <c r="L50" s="2" t="s">
        <v>19</v>
      </c>
      <c r="M50" s="2" t="s">
        <v>20</v>
      </c>
      <c r="N50" s="2" t="s">
        <v>21</v>
      </c>
    </row>
    <row r="51" spans="1:14" x14ac:dyDescent="0.25">
      <c r="A51" s="1" t="str">
        <f>B43</f>
        <v>FeMo recovery from Cu ore mining in the US (Mo content)</v>
      </c>
      <c r="B51" s="1" t="str">
        <f>B44</f>
        <v>FeMo (Mo content)</v>
      </c>
      <c r="C51" s="1" t="str">
        <f>B45</f>
        <v>US</v>
      </c>
      <c r="D51" s="1">
        <v>1</v>
      </c>
      <c r="E51" s="1" t="s">
        <v>8</v>
      </c>
      <c r="F51" s="9" t="str">
        <f>F39</f>
        <v>Molybdenum</v>
      </c>
      <c r="G51" s="1" t="s">
        <v>22</v>
      </c>
    </row>
    <row r="52" spans="1:14" x14ac:dyDescent="0.25">
      <c r="A52" s="1" t="str">
        <f>A22</f>
        <v>[P+R] Ferromolybdenum (FeMo) production (from Cu ore)</v>
      </c>
      <c r="B52" s="1" t="str">
        <f t="shared" ref="B52:F52" si="2">B22</f>
        <v>FeMo</v>
      </c>
      <c r="C52" s="1" t="str">
        <f t="shared" si="2"/>
        <v>US</v>
      </c>
      <c r="D52" s="1">
        <v>1.6666666666666667</v>
      </c>
      <c r="E52" s="1" t="str">
        <f t="shared" si="2"/>
        <v>kilogram</v>
      </c>
      <c r="F52" s="9" t="str">
        <f t="shared" si="2"/>
        <v>Molybdenum</v>
      </c>
      <c r="G52" s="1" t="s">
        <v>28</v>
      </c>
    </row>
    <row r="53" spans="1:14" x14ac:dyDescent="0.25">
      <c r="A53" s="1" t="str">
        <f>A9</f>
        <v>[M+C] Copper (Cu) ore mining and concentration</v>
      </c>
      <c r="B53" s="1" t="str">
        <f t="shared" ref="B53:F53" si="3">B9</f>
        <v>Molybdenum (Mo) concentrate</v>
      </c>
      <c r="C53" s="1" t="str">
        <f t="shared" si="3"/>
        <v>US</v>
      </c>
      <c r="D53" s="1">
        <v>1.6666666666666667</v>
      </c>
      <c r="E53" s="1" t="str">
        <f t="shared" si="3"/>
        <v>kilogram</v>
      </c>
      <c r="F53" s="9" t="str">
        <f t="shared" si="3"/>
        <v>Molybdenum</v>
      </c>
      <c r="G53" s="1" t="s">
        <v>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Props1.xml><?xml version="1.0" encoding="utf-8"?>
<ds:datastoreItem xmlns:ds="http://schemas.openxmlformats.org/officeDocument/2006/customXml" ds:itemID="{90C7253A-C8AD-4D0F-B696-FC85F98375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6F2FF8-2032-41B0-B6D7-3C3B2B3B3A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CBCADB-1C26-4C4E-96E6-A47010238834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Note</vt:lpstr>
      <vt:lpstr>Mo_Market_GLO</vt:lpstr>
      <vt:lpstr>PR1_FeMo_US_MoMine</vt:lpstr>
      <vt:lpstr>PR2_FeMo_CN_MoMine</vt:lpstr>
      <vt:lpstr>PR3_FeMo_US_CuMine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2025-05-15T14:53:18Z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