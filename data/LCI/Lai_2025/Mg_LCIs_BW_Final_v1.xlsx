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brgm365.sharepoint.com/sites/RPPEXIMPMET/Documents partages/General/P2/04_Data/04_Modelling/02_LCI modelling/Mg_Magnesium/"/>
    </mc:Choice>
  </mc:AlternateContent>
  <xr:revisionPtr revIDLastSave="165" documentId="8_{1221FDF4-2ED3-49AF-9ACE-7468B7D0EC70}" xr6:coauthVersionLast="47" xr6:coauthVersionMax="47" xr10:uidLastSave="{3FCE2AE3-0DFA-4ED0-A85D-16683F64B876}"/>
  <bookViews>
    <workbookView xWindow="-120" yWindow="-120" windowWidth="29040" windowHeight="15840" activeTab="2" xr2:uid="{00000000-000D-0000-FFFF-FFFF00000000}"/>
  </bookViews>
  <sheets>
    <sheet name="Note" sheetId="1" r:id="rId1"/>
    <sheet name="Mg_Market_GLO" sheetId="5" r:id="rId2"/>
    <sheet name="PR1_Mg_CN_Dolomite_Pidgeon" sheetId="2" r:id="rId3"/>
    <sheet name="PR2_Mg_BR_Dolomite_Bolzano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5" l="1"/>
  <c r="C13" i="5"/>
  <c r="E13" i="5"/>
  <c r="F13" i="5"/>
  <c r="A13" i="5"/>
  <c r="B12" i="5"/>
  <c r="C12" i="5"/>
  <c r="E12" i="5"/>
  <c r="F12" i="5"/>
  <c r="A12" i="5"/>
  <c r="B48" i="3"/>
  <c r="C48" i="3"/>
  <c r="E48" i="3"/>
  <c r="F48" i="3"/>
  <c r="A48" i="3"/>
  <c r="B47" i="3"/>
  <c r="C47" i="3"/>
  <c r="E47" i="3"/>
  <c r="F47" i="3"/>
  <c r="A47" i="3"/>
  <c r="F46" i="3"/>
  <c r="C46" i="3"/>
  <c r="B46" i="3"/>
  <c r="A46" i="3"/>
  <c r="C26" i="3"/>
  <c r="B26" i="3"/>
  <c r="A26" i="3"/>
  <c r="F9" i="3"/>
  <c r="F26" i="3" s="1"/>
  <c r="C9" i="3"/>
  <c r="B9" i="3"/>
  <c r="A9" i="3"/>
  <c r="E57" i="2"/>
  <c r="E56" i="2"/>
  <c r="C55" i="2"/>
  <c r="B55" i="2"/>
  <c r="A55" i="2"/>
  <c r="C25" i="2" l="1"/>
  <c r="C56" i="2" s="1"/>
  <c r="B25" i="2"/>
  <c r="B56" i="2" s="1"/>
  <c r="A25" i="2"/>
  <c r="A56" i="2" s="1"/>
  <c r="F9" i="2"/>
  <c r="C9" i="2"/>
  <c r="C57" i="2" s="1"/>
  <c r="B9" i="2"/>
  <c r="B57" i="2" s="1"/>
  <c r="A9" i="2"/>
  <c r="A57" i="2" s="1"/>
  <c r="F11" i="5"/>
  <c r="E11" i="5"/>
  <c r="C11" i="5"/>
  <c r="B11" i="5"/>
  <c r="A11" i="5"/>
  <c r="F25" i="2" l="1"/>
  <c r="F57" i="2"/>
  <c r="F56" i="2" l="1"/>
  <c r="F55" i="2"/>
</calcChain>
</file>

<file path=xl/sharedStrings.xml><?xml version="1.0" encoding="utf-8"?>
<sst xmlns="http://schemas.openxmlformats.org/spreadsheetml/2006/main" count="510" uniqueCount="82">
  <si>
    <t>Activity</t>
  </si>
  <si>
    <t>reference product</t>
  </si>
  <si>
    <t>location</t>
  </si>
  <si>
    <t>CN</t>
  </si>
  <si>
    <t>amount</t>
  </si>
  <si>
    <t>unit</t>
  </si>
  <si>
    <t>kilogram</t>
  </si>
  <si>
    <t>comment</t>
  </si>
  <si>
    <t>n/a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</si>
  <si>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</si>
  <si>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</si>
  <si>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</si>
  <si>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</si>
  <si>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</si>
  <si>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</si>
  <si>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</si>
  <si>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</si>
  <si>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</si>
  <si>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</si>
  <si>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</si>
  <si>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</si>
  <si>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market group for electricity, medium voltage</t>
  </si>
  <si>
    <t>electricity, medium voltage</t>
  </si>
  <si>
    <t>kilowatt hour</t>
  </si>
  <si>
    <t>ecoinvent 3.10 cutoff</t>
  </si>
  <si>
    <t>technosphere</t>
  </si>
  <si>
    <t>(4,5,5,2,2)</t>
  </si>
  <si>
    <t>market for industrial machine, heavy, unspecified</t>
  </si>
  <si>
    <t>industrial machine, heavy, unspecified</t>
  </si>
  <si>
    <t>RoW</t>
  </si>
  <si>
    <t>market for explosive, tovex</t>
  </si>
  <si>
    <t>explosive, tovex</t>
  </si>
  <si>
    <t>GLO</t>
  </si>
  <si>
    <t>diesel, burned in building machine</t>
  </si>
  <si>
    <t>megajoule</t>
  </si>
  <si>
    <t>Dolomite</t>
  </si>
  <si>
    <t>biosphere3</t>
  </si>
  <si>
    <t>biosphere</t>
  </si>
  <si>
    <t>natural resource::in ground</t>
  </si>
  <si>
    <t>(2,2,2,2,1)</t>
  </si>
  <si>
    <t>(2,2,4,2,1)</t>
  </si>
  <si>
    <t>market for calcium chloride</t>
  </si>
  <si>
    <t>calcium chloride</t>
  </si>
  <si>
    <t>market for natural gas, high pressure</t>
  </si>
  <si>
    <t>natural gas, high pressure</t>
  </si>
  <si>
    <t>cubic meter</t>
  </si>
  <si>
    <t>market for chemical, inorganic</t>
  </si>
  <si>
    <t>chemical, inorganic</t>
  </si>
  <si>
    <t>BR</t>
  </si>
  <si>
    <t>market for sulfur</t>
  </si>
  <si>
    <t>sulfur</t>
  </si>
  <si>
    <t>Carbon dioxide, fossil</t>
  </si>
  <si>
    <t>market for coal gas</t>
  </si>
  <si>
    <t>coal gas</t>
  </si>
  <si>
    <t>market for hard coal briquettes</t>
  </si>
  <si>
    <t>hard coal briquettes</t>
  </si>
  <si>
    <t>market for ferrosilicon</t>
  </si>
  <si>
    <t>ferrosilicon</t>
  </si>
  <si>
    <t>Water, unspecified natural origin</t>
  </si>
  <si>
    <t>air</t>
  </si>
  <si>
    <t>market for inert waste, for final disposal</t>
  </si>
  <si>
    <t>inert waste, for final disposal</t>
  </si>
  <si>
    <t>market for iron scrap, unsorted</t>
  </si>
  <si>
    <t>iron scrap, unsorted</t>
  </si>
  <si>
    <t>Magnesium</t>
  </si>
  <si>
    <t>Magnesium (Mg) global market</t>
  </si>
  <si>
    <t>Dolomite ore</t>
  </si>
  <si>
    <t>Refined Mg</t>
  </si>
  <si>
    <t>[P+R] Refined Mg production - Pidgeon process</t>
  </si>
  <si>
    <t>Dolomite ore mining and Mg production in China through Pidgeon process</t>
  </si>
  <si>
    <t>[M+C] Magnesium (Mg) ore mining and concentration (China)</t>
  </si>
  <si>
    <t>[M+C] Magnesium (Mg) ore mining and concentration (Brazil)</t>
  </si>
  <si>
    <t>[P+R] Refined Mg production - Bolzano process</t>
  </si>
  <si>
    <t>Dolomite ore mining and Mg production in Brazil through Bolzano process</t>
  </si>
  <si>
    <t>skip</t>
  </si>
  <si>
    <t>Sheet</t>
  </si>
  <si>
    <t>Corresponding route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</si>
  <si>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Magnesium (Mg)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</si>
  <si>
    <t>Mg global market</t>
  </si>
  <si>
    <t>Mg_Market_GLO</t>
  </si>
  <si>
    <t>PR1_Mg_CN_Dolomite_Pidgeon</t>
  </si>
  <si>
    <t>PR2_Mg_BR_Dolomite_Bolzano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</si>
</sst>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0" fillId="2" borderId="0" xfId="0" applyFill="1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4" xfId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4" fillId="0" borderId="6" xfId="1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Q36"/>
  <sheetViews>
    <sheetView showGridLines="0" zoomScaleNormal="100" workbookViewId="0">
      <selection activeCell="B36" sqref="B36"/>
    </sheetView>
  </sheetViews>
  <sheetFormatPr baseColWidth="10" defaultRowHeight="15" x14ac:dyDescent="0.25"/>
  <cols>
    <col min="1" max="1" width="1.85546875" customWidth="1"/>
    <col min="2" max="2" width="31.85546875" bestFit="1" customWidth="1"/>
    <col min="3" max="3" width="11.42578125" customWidth="1"/>
  </cols>
  <sheetData>
    <row r="1" spans="1:17" ht="15.75" thickBot="1" x14ac:dyDescent="0.3">
      <c r="A1" t="s">
        <v>74</v>
      </c>
    </row>
    <row r="2" spans="1:17" ht="15" customHeight="1" x14ac:dyDescent="0.25">
      <c r="B2" s="22" t="s">
        <v>77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4"/>
    </row>
    <row r="3" spans="1:17" x14ac:dyDescent="0.25"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7"/>
    </row>
    <row r="4" spans="1:17" x14ac:dyDescent="0.25">
      <c r="B4" s="25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7"/>
    </row>
    <row r="5" spans="1:17" x14ac:dyDescent="0.25">
      <c r="B5" s="25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</row>
    <row r="6" spans="1:17" x14ac:dyDescent="0.25">
      <c r="B6" s="25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7"/>
    </row>
    <row r="7" spans="1:17" x14ac:dyDescent="0.25"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7"/>
    </row>
    <row r="8" spans="1:17" x14ac:dyDescent="0.25"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7"/>
    </row>
    <row r="9" spans="1:17" x14ac:dyDescent="0.25">
      <c r="B9" s="25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7"/>
    </row>
    <row r="10" spans="1:17" x14ac:dyDescent="0.25"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</row>
    <row r="11" spans="1:17" x14ac:dyDescent="0.25">
      <c r="B11" s="25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</row>
    <row r="12" spans="1:17" x14ac:dyDescent="0.25">
      <c r="B12" s="25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</row>
    <row r="13" spans="1:17" x14ac:dyDescent="0.25">
      <c r="B13" s="25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</row>
    <row r="14" spans="1:17" x14ac:dyDescent="0.25"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7"/>
    </row>
    <row r="15" spans="1:17" x14ac:dyDescent="0.25">
      <c r="B15" s="25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7"/>
    </row>
    <row r="16" spans="1:17" x14ac:dyDescent="0.25">
      <c r="B16" s="25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7"/>
    </row>
    <row r="17" spans="2:17" x14ac:dyDescent="0.25"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7"/>
    </row>
    <row r="18" spans="2:17" x14ac:dyDescent="0.25"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7"/>
    </row>
    <row r="19" spans="2:17" x14ac:dyDescent="0.25"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7"/>
    </row>
    <row r="20" spans="2:17" x14ac:dyDescent="0.25"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7"/>
    </row>
    <row r="21" spans="2:17" x14ac:dyDescent="0.25"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7"/>
    </row>
    <row r="22" spans="2:17" x14ac:dyDescent="0.25"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7"/>
    </row>
    <row r="23" spans="2:17" x14ac:dyDescent="0.25"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7"/>
    </row>
    <row r="24" spans="2:17" ht="15" customHeight="1" x14ac:dyDescent="0.25">
      <c r="B24" s="25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7"/>
    </row>
    <row r="25" spans="2:17" x14ac:dyDescent="0.25">
      <c r="B25" s="25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7"/>
    </row>
    <row r="26" spans="2:17" x14ac:dyDescent="0.25"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7"/>
    </row>
    <row r="27" spans="2:17" x14ac:dyDescent="0.25">
      <c r="B27" s="25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7"/>
    </row>
    <row r="28" spans="2:17" x14ac:dyDescent="0.25"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7"/>
    </row>
    <row r="29" spans="2:17" x14ac:dyDescent="0.25">
      <c r="B29" s="25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7"/>
    </row>
    <row r="30" spans="2:17" x14ac:dyDescent="0.25">
      <c r="B30" s="25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7"/>
    </row>
    <row r="31" spans="2:17" ht="15.75" thickBot="1" x14ac:dyDescent="0.3">
      <c r="B31" s="28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30"/>
    </row>
    <row r="32" spans="2:17" ht="15.75" thickBot="1" x14ac:dyDescent="0.3"/>
    <row r="33" spans="2:10" x14ac:dyDescent="0.25">
      <c r="B33" s="12" t="s">
        <v>75</v>
      </c>
      <c r="C33" s="13" t="s">
        <v>76</v>
      </c>
      <c r="D33" s="14"/>
      <c r="E33" s="14"/>
      <c r="F33" s="14"/>
      <c r="G33" s="14"/>
      <c r="H33" s="15"/>
      <c r="I33" s="21"/>
      <c r="J33" s="21"/>
    </row>
    <row r="34" spans="2:10" x14ac:dyDescent="0.25">
      <c r="B34" s="16" t="s">
        <v>79</v>
      </c>
      <c r="C34" t="s">
        <v>78</v>
      </c>
      <c r="D34" s="21"/>
      <c r="E34" s="21"/>
      <c r="F34" s="21"/>
      <c r="G34" s="21"/>
      <c r="H34" s="17"/>
      <c r="I34" s="21"/>
      <c r="J34" s="21"/>
    </row>
    <row r="35" spans="2:10" x14ac:dyDescent="0.25">
      <c r="B35" s="16" t="s">
        <v>80</v>
      </c>
      <c r="C35" s="2" t="s">
        <v>69</v>
      </c>
      <c r="D35" s="21"/>
      <c r="E35" s="21"/>
      <c r="F35" s="21"/>
      <c r="G35" s="21"/>
      <c r="H35" s="17"/>
      <c r="I35" s="21"/>
      <c r="J35" s="21"/>
    </row>
    <row r="36" spans="2:10" ht="15.75" thickBot="1" x14ac:dyDescent="0.3">
      <c r="B36" s="18" t="s">
        <v>81</v>
      </c>
      <c r="C36" s="19" t="s">
        <v>73</v>
      </c>
      <c r="D36" s="19"/>
      <c r="E36" s="19"/>
      <c r="F36" s="19"/>
      <c r="G36" s="19"/>
      <c r="H36" s="20"/>
    </row>
  </sheetData>
  <mergeCells count="1">
    <mergeCell ref="B2:Q31"/>
  </mergeCells>
  <hyperlinks>
    <hyperlink ref="B34" location="Mg_Market_GLO!A1" display="Mg_Market_GLO" xr:uid="{BFFD5260-246B-4702-BF05-B5A59B027D0F}"/>
    <hyperlink ref="B35" location="PR1_Mg_CN_Dolomite_Pidgeon!A1" display="PR1_Mg_CN_Dolomite_Pidgeon" xr:uid="{4B4BEB6B-937D-4A02-937D-BC5D46A24B87}"/>
    <hyperlink ref="B36" location="PR2_Mg_BR_Dolomite_Bolzano!A1" display="PR2_Mg_BR_Dolomite_Bolzano" xr:uid="{B7F2B3FB-DB24-4D4C-9600-A7C93B0C5C1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7F081-3BBC-4058-9AA2-6F716DEBC7E0}">
  <sheetPr>
    <tabColor theme="8" tint="0.39997558519241921"/>
  </sheetPr>
  <dimension ref="A1:N22"/>
  <sheetViews>
    <sheetView workbookViewId="0"/>
  </sheetViews>
  <sheetFormatPr baseColWidth="10" defaultRowHeight="15" x14ac:dyDescent="0.25"/>
  <cols>
    <col min="1" max="1" width="63.28515625" bestFit="1" customWidth="1"/>
    <col min="2" max="2" width="27.28515625" bestFit="1" customWidth="1"/>
    <col min="3" max="3" width="8.140625" bestFit="1" customWidth="1"/>
    <col min="4" max="4" width="12" bestFit="1" customWidth="1"/>
    <col min="5" max="5" width="8.7109375" bestFit="1" customWidth="1"/>
    <col min="6" max="6" width="10.5703125" bestFit="1" customWidth="1"/>
    <col min="7" max="7" width="13.28515625" bestFit="1" customWidth="1"/>
    <col min="8" max="8" width="10.140625" bestFit="1" customWidth="1"/>
    <col min="9" max="9" width="15.5703125" bestFit="1" customWidth="1"/>
    <col min="10" max="10" width="9" bestFit="1" customWidth="1"/>
    <col min="11" max="11" width="3.5703125" bestFit="1" customWidth="1"/>
    <col min="12" max="12" width="5.42578125" bestFit="1" customWidth="1"/>
    <col min="13" max="13" width="9.5703125" bestFit="1" customWidth="1"/>
    <col min="14" max="14" width="9.85546875" bestFit="1" customWidth="1"/>
  </cols>
  <sheetData>
    <row r="1" spans="1:14" x14ac:dyDescent="0.25">
      <c r="A1" t="s">
        <v>11</v>
      </c>
      <c r="B1" s="4" t="s">
        <v>64</v>
      </c>
    </row>
    <row r="2" spans="1:14" s="5" customFormat="1" x14ac:dyDescent="0.25"/>
    <row r="3" spans="1:14" x14ac:dyDescent="0.25">
      <c r="A3" s="6" t="s">
        <v>0</v>
      </c>
      <c r="B3" s="6" t="s">
        <v>65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x14ac:dyDescent="0.25">
      <c r="A4" s="8" t="s">
        <v>1</v>
      </c>
      <c r="B4" s="7" t="s">
        <v>67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x14ac:dyDescent="0.25">
      <c r="A5" s="8" t="s">
        <v>2</v>
      </c>
      <c r="B5" s="7" t="s">
        <v>32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25">
      <c r="A6" s="8" t="s">
        <v>4</v>
      </c>
      <c r="B6" s="7">
        <v>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x14ac:dyDescent="0.25">
      <c r="A7" s="8" t="s">
        <v>5</v>
      </c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x14ac:dyDescent="0.25">
      <c r="A8" s="8" t="s">
        <v>7</v>
      </c>
      <c r="B8" s="7" t="s">
        <v>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spans="1:14" x14ac:dyDescent="0.25">
      <c r="A9" s="8" t="s">
        <v>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 x14ac:dyDescent="0.25">
      <c r="A10" s="6" t="s">
        <v>10</v>
      </c>
      <c r="B10" s="6" t="s">
        <v>1</v>
      </c>
      <c r="C10" s="6" t="s">
        <v>2</v>
      </c>
      <c r="D10" s="6" t="s">
        <v>4</v>
      </c>
      <c r="E10" s="6" t="s">
        <v>5</v>
      </c>
      <c r="F10" s="6" t="s">
        <v>11</v>
      </c>
      <c r="G10" s="6" t="s">
        <v>12</v>
      </c>
      <c r="H10" s="6" t="s">
        <v>13</v>
      </c>
      <c r="I10" s="6" t="s">
        <v>14</v>
      </c>
      <c r="J10" s="6" t="s">
        <v>15</v>
      </c>
      <c r="K10" s="6" t="s">
        <v>16</v>
      </c>
      <c r="L10" s="6" t="s">
        <v>17</v>
      </c>
      <c r="M10" s="6" t="s">
        <v>18</v>
      </c>
      <c r="N10" s="6" t="s">
        <v>19</v>
      </c>
    </row>
    <row r="11" spans="1:14" x14ac:dyDescent="0.25">
      <c r="A11" t="str">
        <f>B3</f>
        <v>Magnesium (Mg) global market</v>
      </c>
      <c r="B11" t="str">
        <f>B4</f>
        <v>Refined Mg</v>
      </c>
      <c r="C11" t="str">
        <f>B5</f>
        <v>GLO</v>
      </c>
      <c r="D11" s="7">
        <v>1</v>
      </c>
      <c r="E11" s="7" t="str">
        <f>B7</f>
        <v>kilogram</v>
      </c>
      <c r="F11" s="4" t="str">
        <f>B1</f>
        <v>Magnesium</v>
      </c>
      <c r="G11" s="7" t="s">
        <v>20</v>
      </c>
    </row>
    <row r="12" spans="1:14" s="7" customFormat="1" x14ac:dyDescent="0.25">
      <c r="A12" s="7" t="str">
        <f>PR1_Mg_CN_Dolomite_Pidgeon!A55</f>
        <v>Dolomite ore mining and Mg production in China through Pidgeon process</v>
      </c>
      <c r="B12" s="7" t="str">
        <f>PR1_Mg_CN_Dolomite_Pidgeon!B55</f>
        <v>Refined Mg</v>
      </c>
      <c r="C12" s="7" t="str">
        <f>PR1_Mg_CN_Dolomite_Pidgeon!C55</f>
        <v>CN</v>
      </c>
      <c r="D12" s="7">
        <v>0.98051948051948046</v>
      </c>
      <c r="E12" s="7" t="str">
        <f>PR1_Mg_CN_Dolomite_Pidgeon!E55</f>
        <v>kilogram</v>
      </c>
      <c r="F12" s="4" t="str">
        <f>PR1_Mg_CN_Dolomite_Pidgeon!F55</f>
        <v>Magnesium</v>
      </c>
      <c r="G12" s="7" t="s">
        <v>25</v>
      </c>
    </row>
    <row r="13" spans="1:14" s="7" customFormat="1" x14ac:dyDescent="0.25">
      <c r="A13" s="7" t="str">
        <f>PR2_Mg_BR_Dolomite_Bolzano!A46</f>
        <v>Dolomite ore mining and Mg production in Brazil through Bolzano process</v>
      </c>
      <c r="B13" s="7" t="str">
        <f>PR2_Mg_BR_Dolomite_Bolzano!B46</f>
        <v>Refined Mg</v>
      </c>
      <c r="C13" s="7" t="str">
        <f>PR2_Mg_BR_Dolomite_Bolzano!C46</f>
        <v>BR</v>
      </c>
      <c r="D13" s="7">
        <v>1.9480519480519484E-2</v>
      </c>
      <c r="E13" s="7" t="str">
        <f>PR2_Mg_BR_Dolomite_Bolzano!E46</f>
        <v>kilogram</v>
      </c>
      <c r="F13" s="4" t="str">
        <f>PR2_Mg_BR_Dolomite_Bolzano!F46</f>
        <v>Magnesium</v>
      </c>
      <c r="G13" s="7" t="s">
        <v>25</v>
      </c>
    </row>
    <row r="14" spans="1:14" s="7" customFormat="1" x14ac:dyDescent="0.25">
      <c r="F14" s="4"/>
    </row>
    <row r="15" spans="1:14" s="7" customFormat="1" x14ac:dyDescent="0.25">
      <c r="F15" s="4"/>
    </row>
    <row r="16" spans="1:14" s="7" customFormat="1" x14ac:dyDescent="0.25">
      <c r="F16" s="4"/>
    </row>
    <row r="17" spans="6:6" s="7" customFormat="1" x14ac:dyDescent="0.25">
      <c r="F17" s="4"/>
    </row>
    <row r="18" spans="6:6" s="7" customFormat="1" x14ac:dyDescent="0.25">
      <c r="F18" s="4"/>
    </row>
    <row r="19" spans="6:6" s="7" customFormat="1" x14ac:dyDescent="0.25">
      <c r="F19" s="4"/>
    </row>
    <row r="20" spans="6:6" s="7" customFormat="1" x14ac:dyDescent="0.25">
      <c r="F20" s="4"/>
    </row>
    <row r="21" spans="6:6" s="7" customFormat="1" x14ac:dyDescent="0.25">
      <c r="F21" s="4"/>
    </row>
    <row r="22" spans="6:6" s="7" customFormat="1" x14ac:dyDescent="0.25">
      <c r="F2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A1:N57"/>
  <sheetViews>
    <sheetView tabSelected="1" workbookViewId="0">
      <selection activeCell="E29" sqref="E29"/>
    </sheetView>
  </sheetViews>
  <sheetFormatPr baseColWidth="10" defaultColWidth="8.7109375" defaultRowHeight="15" x14ac:dyDescent="0.25"/>
  <cols>
    <col min="1" max="1" width="63.28515625" style="2" bestFit="1" customWidth="1"/>
    <col min="2" max="2" width="63.5703125" style="2" bestFit="1" customWidth="1"/>
    <col min="3" max="3" width="7.5703125" style="2" bestFit="1" customWidth="1"/>
    <col min="4" max="5" width="11.85546875" style="2" bestFit="1" customWidth="1"/>
    <col min="6" max="6" width="18.42578125" style="2" bestFit="1" customWidth="1"/>
    <col min="7" max="7" width="12.28515625" style="2" bestFit="1" customWidth="1"/>
    <col min="8" max="8" width="23.85546875" style="2" bestFit="1" customWidth="1"/>
    <col min="9" max="9" width="14.5703125" style="2" bestFit="1" customWidth="1"/>
    <col min="10" max="10" width="8.85546875" style="2" bestFit="1" customWidth="1"/>
    <col min="11" max="11" width="3.140625" style="2" bestFit="1" customWidth="1"/>
    <col min="12" max="12" width="4.85546875" style="2" bestFit="1" customWidth="1"/>
    <col min="13" max="13" width="8.85546875" style="2" bestFit="1" customWidth="1"/>
    <col min="14" max="14" width="9.140625" style="2" bestFit="1" customWidth="1"/>
    <col min="15" max="16384" width="8.7109375" style="2"/>
  </cols>
  <sheetData>
    <row r="1" spans="1:14" x14ac:dyDescent="0.25">
      <c r="A1" s="1" t="s">
        <v>0</v>
      </c>
      <c r="B1" s="1" t="s">
        <v>70</v>
      </c>
    </row>
    <row r="2" spans="1:14" x14ac:dyDescent="0.25">
      <c r="A2" s="9" t="s">
        <v>1</v>
      </c>
      <c r="B2" s="2" t="s">
        <v>66</v>
      </c>
    </row>
    <row r="3" spans="1:14" x14ac:dyDescent="0.25">
      <c r="A3" s="9" t="s">
        <v>2</v>
      </c>
      <c r="B3" s="2" t="s">
        <v>3</v>
      </c>
    </row>
    <row r="4" spans="1:14" x14ac:dyDescent="0.25">
      <c r="A4" s="9" t="s">
        <v>4</v>
      </c>
      <c r="B4" s="2">
        <v>1</v>
      </c>
    </row>
    <row r="5" spans="1:14" x14ac:dyDescent="0.25">
      <c r="A5" s="9" t="s">
        <v>5</v>
      </c>
      <c r="B5" s="2" t="s">
        <v>6</v>
      </c>
    </row>
    <row r="6" spans="1:14" x14ac:dyDescent="0.25">
      <c r="A6" s="9" t="s">
        <v>7</v>
      </c>
      <c r="B6" s="2" t="s">
        <v>8</v>
      </c>
    </row>
    <row r="7" spans="1:14" x14ac:dyDescent="0.25">
      <c r="A7" s="9" t="s">
        <v>9</v>
      </c>
    </row>
    <row r="8" spans="1:14" x14ac:dyDescent="0.25">
      <c r="A8" s="1" t="s">
        <v>10</v>
      </c>
      <c r="B8" s="1" t="s">
        <v>1</v>
      </c>
      <c r="C8" s="1" t="s">
        <v>2</v>
      </c>
      <c r="D8" s="1" t="s">
        <v>4</v>
      </c>
      <c r="E8" s="1" t="s">
        <v>5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19</v>
      </c>
    </row>
    <row r="9" spans="1:14" x14ac:dyDescent="0.25">
      <c r="A9" s="2" t="str">
        <f>B1</f>
        <v>[M+C] Magnesium (Mg) ore mining and concentration (China)</v>
      </c>
      <c r="B9" s="2" t="str">
        <f>B2</f>
        <v>Dolomite ore</v>
      </c>
      <c r="C9" s="2" t="str">
        <f>B3</f>
        <v>CN</v>
      </c>
      <c r="D9" s="2">
        <v>1</v>
      </c>
      <c r="E9" s="2" t="s">
        <v>6</v>
      </c>
      <c r="F9" s="3" t="str">
        <f>Mg_Market_GLO!B1</f>
        <v>Magnesium</v>
      </c>
      <c r="G9" s="2" t="s">
        <v>20</v>
      </c>
    </row>
    <row r="10" spans="1:14" x14ac:dyDescent="0.25">
      <c r="A10" s="2" t="s">
        <v>21</v>
      </c>
      <c r="B10" s="2" t="s">
        <v>22</v>
      </c>
      <c r="C10" s="2" t="s">
        <v>3</v>
      </c>
      <c r="D10" s="2">
        <v>3.3916379310344823E-2</v>
      </c>
      <c r="E10" s="2" t="s">
        <v>23</v>
      </c>
      <c r="F10" s="2" t="s">
        <v>24</v>
      </c>
      <c r="G10" s="2" t="s">
        <v>25</v>
      </c>
      <c r="J10" s="2" t="s">
        <v>26</v>
      </c>
    </row>
    <row r="11" spans="1:14" x14ac:dyDescent="0.25">
      <c r="A11" s="2" t="s">
        <v>27</v>
      </c>
      <c r="B11" s="2" t="s">
        <v>28</v>
      </c>
      <c r="C11" s="2" t="s">
        <v>29</v>
      </c>
      <c r="D11" s="2">
        <v>1.4655172413793105E-5</v>
      </c>
      <c r="E11" s="2" t="s">
        <v>6</v>
      </c>
      <c r="F11" s="2" t="s">
        <v>24</v>
      </c>
      <c r="G11" s="2" t="s">
        <v>25</v>
      </c>
      <c r="J11" s="2" t="s">
        <v>26</v>
      </c>
    </row>
    <row r="12" spans="1:14" x14ac:dyDescent="0.25">
      <c r="A12" s="2" t="s">
        <v>30</v>
      </c>
      <c r="B12" s="2" t="s">
        <v>31</v>
      </c>
      <c r="C12" s="2" t="s">
        <v>32</v>
      </c>
      <c r="D12" s="2">
        <v>2.5000000000000001E-3</v>
      </c>
      <c r="E12" s="2" t="s">
        <v>6</v>
      </c>
      <c r="F12" s="2" t="s">
        <v>24</v>
      </c>
      <c r="G12" s="2" t="s">
        <v>25</v>
      </c>
      <c r="J12" s="2" t="s">
        <v>26</v>
      </c>
    </row>
    <row r="13" spans="1:14" x14ac:dyDescent="0.25">
      <c r="A13" s="2" t="s">
        <v>33</v>
      </c>
      <c r="B13" s="2" t="s">
        <v>33</v>
      </c>
      <c r="C13" s="2" t="s">
        <v>32</v>
      </c>
      <c r="D13" s="2">
        <v>2.1956896551724153E-2</v>
      </c>
      <c r="E13" s="2" t="s">
        <v>34</v>
      </c>
      <c r="F13" s="2" t="s">
        <v>24</v>
      </c>
      <c r="G13" s="2" t="s">
        <v>25</v>
      </c>
      <c r="J13" s="2" t="s">
        <v>26</v>
      </c>
    </row>
    <row r="14" spans="1:14" x14ac:dyDescent="0.25">
      <c r="A14" s="2" t="s">
        <v>27</v>
      </c>
      <c r="B14" s="2" t="s">
        <v>28</v>
      </c>
      <c r="C14" s="2" t="s">
        <v>29</v>
      </c>
      <c r="D14" s="2">
        <v>7.1724137931034482E-4</v>
      </c>
      <c r="E14" s="2" t="s">
        <v>6</v>
      </c>
      <c r="F14" s="2" t="s">
        <v>24</v>
      </c>
      <c r="G14" s="2" t="s">
        <v>25</v>
      </c>
      <c r="J14" s="2" t="s">
        <v>26</v>
      </c>
    </row>
    <row r="15" spans="1:14" x14ac:dyDescent="0.25">
      <c r="A15" s="2" t="s">
        <v>35</v>
      </c>
      <c r="D15" s="2">
        <v>1</v>
      </c>
      <c r="E15" s="2" t="s">
        <v>6</v>
      </c>
      <c r="F15" s="2" t="s">
        <v>36</v>
      </c>
      <c r="G15" s="2" t="s">
        <v>37</v>
      </c>
      <c r="H15" s="2" t="s">
        <v>38</v>
      </c>
      <c r="J15" s="2" t="s">
        <v>26</v>
      </c>
    </row>
    <row r="16" spans="1:14" s="10" customFormat="1" x14ac:dyDescent="0.25"/>
    <row r="17" spans="1:14" x14ac:dyDescent="0.25">
      <c r="A17" s="1" t="s">
        <v>0</v>
      </c>
      <c r="B17" s="1" t="s">
        <v>68</v>
      </c>
    </row>
    <row r="18" spans="1:14" x14ac:dyDescent="0.25">
      <c r="A18" s="9" t="s">
        <v>1</v>
      </c>
      <c r="B18" s="2" t="s">
        <v>67</v>
      </c>
    </row>
    <row r="19" spans="1:14" x14ac:dyDescent="0.25">
      <c r="A19" s="9" t="s">
        <v>2</v>
      </c>
      <c r="B19" s="2" t="s">
        <v>3</v>
      </c>
    </row>
    <row r="20" spans="1:14" x14ac:dyDescent="0.25">
      <c r="A20" s="9" t="s">
        <v>4</v>
      </c>
      <c r="B20" s="2">
        <v>1</v>
      </c>
    </row>
    <row r="21" spans="1:14" x14ac:dyDescent="0.25">
      <c r="A21" s="9" t="s">
        <v>5</v>
      </c>
      <c r="B21" s="2" t="s">
        <v>6</v>
      </c>
    </row>
    <row r="22" spans="1:14" x14ac:dyDescent="0.25">
      <c r="A22" s="9" t="s">
        <v>7</v>
      </c>
      <c r="B22" s="2" t="s">
        <v>8</v>
      </c>
    </row>
    <row r="23" spans="1:14" x14ac:dyDescent="0.25">
      <c r="A23" s="9" t="s">
        <v>9</v>
      </c>
    </row>
    <row r="24" spans="1:14" x14ac:dyDescent="0.25">
      <c r="A24" s="1" t="s">
        <v>10</v>
      </c>
      <c r="B24" s="1" t="s">
        <v>1</v>
      </c>
      <c r="C24" s="1" t="s">
        <v>2</v>
      </c>
      <c r="D24" s="1" t="s">
        <v>4</v>
      </c>
      <c r="E24" s="1" t="s">
        <v>5</v>
      </c>
      <c r="F24" s="1" t="s">
        <v>11</v>
      </c>
      <c r="G24" s="1" t="s">
        <v>12</v>
      </c>
      <c r="H24" s="1" t="s">
        <v>13</v>
      </c>
      <c r="I24" s="1" t="s">
        <v>14</v>
      </c>
      <c r="J24" s="1" t="s">
        <v>15</v>
      </c>
      <c r="K24" s="1" t="s">
        <v>16</v>
      </c>
      <c r="L24" s="1" t="s">
        <v>17</v>
      </c>
      <c r="M24" s="1" t="s">
        <v>18</v>
      </c>
      <c r="N24" s="1" t="s">
        <v>19</v>
      </c>
    </row>
    <row r="25" spans="1:14" x14ac:dyDescent="0.25">
      <c r="A25" s="2" t="str">
        <f>B17</f>
        <v>[P+R] Refined Mg production - Pidgeon process</v>
      </c>
      <c r="B25" s="2" t="str">
        <f>B18</f>
        <v>Refined Mg</v>
      </c>
      <c r="C25" s="2" t="str">
        <f>B19</f>
        <v>CN</v>
      </c>
      <c r="D25" s="2">
        <v>1</v>
      </c>
      <c r="E25" s="2" t="s">
        <v>6</v>
      </c>
      <c r="F25" s="3" t="str">
        <f>F9</f>
        <v>Magnesium</v>
      </c>
      <c r="G25" s="2" t="s">
        <v>20</v>
      </c>
    </row>
    <row r="26" spans="1:14" x14ac:dyDescent="0.25">
      <c r="A26" s="2" t="s">
        <v>52</v>
      </c>
      <c r="B26" s="2" t="s">
        <v>53</v>
      </c>
      <c r="C26" s="2" t="s">
        <v>32</v>
      </c>
      <c r="D26" s="2">
        <v>33150</v>
      </c>
      <c r="E26" s="2" t="s">
        <v>34</v>
      </c>
      <c r="F26" s="2" t="s">
        <v>24</v>
      </c>
      <c r="G26" s="2" t="s">
        <v>25</v>
      </c>
      <c r="J26" s="2" t="s">
        <v>39</v>
      </c>
    </row>
    <row r="27" spans="1:14" x14ac:dyDescent="0.25">
      <c r="A27" s="2" t="s">
        <v>52</v>
      </c>
      <c r="B27" s="2" t="s">
        <v>53</v>
      </c>
      <c r="C27" s="2" t="s">
        <v>32</v>
      </c>
      <c r="D27" s="2">
        <v>147900</v>
      </c>
      <c r="E27" s="2" t="s">
        <v>34</v>
      </c>
      <c r="F27" s="2" t="s">
        <v>24</v>
      </c>
      <c r="G27" s="2" t="s">
        <v>25</v>
      </c>
      <c r="J27" s="2" t="s">
        <v>39</v>
      </c>
    </row>
    <row r="28" spans="1:14" x14ac:dyDescent="0.25">
      <c r="A28" s="2" t="s">
        <v>52</v>
      </c>
      <c r="B28" s="2" t="s">
        <v>53</v>
      </c>
      <c r="C28" s="2" t="s">
        <v>32</v>
      </c>
      <c r="D28" s="2">
        <v>122910</v>
      </c>
      <c r="E28" s="2" t="s">
        <v>34</v>
      </c>
      <c r="F28" s="2" t="s">
        <v>24</v>
      </c>
      <c r="G28" s="2" t="s">
        <v>25</v>
      </c>
      <c r="J28" s="2" t="s">
        <v>39</v>
      </c>
    </row>
    <row r="29" spans="1:14" x14ac:dyDescent="0.25">
      <c r="A29" s="2" t="s">
        <v>54</v>
      </c>
      <c r="B29" s="2" t="s">
        <v>55</v>
      </c>
      <c r="C29" s="2" t="s">
        <v>29</v>
      </c>
      <c r="D29" s="2">
        <v>42</v>
      </c>
      <c r="E29" s="2" t="s">
        <v>34</v>
      </c>
      <c r="F29" s="2" t="s">
        <v>24</v>
      </c>
      <c r="G29" s="2" t="s">
        <v>25</v>
      </c>
      <c r="J29" s="2" t="s">
        <v>39</v>
      </c>
    </row>
    <row r="30" spans="1:14" x14ac:dyDescent="0.25">
      <c r="A30" s="2" t="s">
        <v>21</v>
      </c>
      <c r="B30" s="2" t="s">
        <v>22</v>
      </c>
      <c r="C30" s="2" t="s">
        <v>3</v>
      </c>
      <c r="D30" s="2">
        <v>0.3</v>
      </c>
      <c r="E30" s="2" t="s">
        <v>23</v>
      </c>
      <c r="F30" s="2" t="s">
        <v>24</v>
      </c>
      <c r="G30" s="2" t="s">
        <v>25</v>
      </c>
      <c r="J30" s="2" t="s">
        <v>39</v>
      </c>
    </row>
    <row r="31" spans="1:14" x14ac:dyDescent="0.25">
      <c r="A31" s="2" t="s">
        <v>56</v>
      </c>
      <c r="B31" s="2" t="s">
        <v>57</v>
      </c>
      <c r="C31" s="2" t="s">
        <v>32</v>
      </c>
      <c r="D31" s="2">
        <v>1.05</v>
      </c>
      <c r="E31" s="2" t="s">
        <v>6</v>
      </c>
      <c r="F31" s="2" t="s">
        <v>24</v>
      </c>
      <c r="G31" s="2" t="s">
        <v>25</v>
      </c>
      <c r="J31" s="2" t="s">
        <v>40</v>
      </c>
    </row>
    <row r="32" spans="1:14" x14ac:dyDescent="0.25">
      <c r="A32" s="2" t="s">
        <v>41</v>
      </c>
      <c r="B32" s="2" t="s">
        <v>42</v>
      </c>
      <c r="C32" s="2" t="s">
        <v>29</v>
      </c>
      <c r="D32" s="2">
        <v>0.13</v>
      </c>
      <c r="E32" s="2" t="s">
        <v>6</v>
      </c>
      <c r="F32" s="2" t="s">
        <v>24</v>
      </c>
      <c r="G32" s="2" t="s">
        <v>25</v>
      </c>
      <c r="J32" s="2" t="s">
        <v>40</v>
      </c>
    </row>
    <row r="33" spans="1:10" x14ac:dyDescent="0.25">
      <c r="A33" s="2" t="s">
        <v>21</v>
      </c>
      <c r="B33" s="2" t="s">
        <v>22</v>
      </c>
      <c r="C33" s="2" t="s">
        <v>3</v>
      </c>
      <c r="D33" s="2">
        <v>0.22</v>
      </c>
      <c r="E33" s="2" t="s">
        <v>23</v>
      </c>
      <c r="F33" s="2" t="s">
        <v>24</v>
      </c>
      <c r="G33" s="2" t="s">
        <v>25</v>
      </c>
      <c r="J33" s="2" t="s">
        <v>39</v>
      </c>
    </row>
    <row r="34" spans="1:10" x14ac:dyDescent="0.25">
      <c r="A34" s="2" t="s">
        <v>52</v>
      </c>
      <c r="B34" s="2" t="s">
        <v>53</v>
      </c>
      <c r="C34" s="2" t="s">
        <v>32</v>
      </c>
      <c r="D34" s="2">
        <v>76500</v>
      </c>
      <c r="E34" s="2" t="s">
        <v>34</v>
      </c>
      <c r="F34" s="2" t="s">
        <v>24</v>
      </c>
      <c r="G34" s="2" t="s">
        <v>25</v>
      </c>
      <c r="J34" s="2" t="s">
        <v>39</v>
      </c>
    </row>
    <row r="35" spans="1:10" x14ac:dyDescent="0.25">
      <c r="A35" s="2" t="s">
        <v>52</v>
      </c>
      <c r="B35" s="2" t="s">
        <v>53</v>
      </c>
      <c r="C35" s="2" t="s">
        <v>32</v>
      </c>
      <c r="D35" s="2">
        <v>165750</v>
      </c>
      <c r="E35" s="2" t="s">
        <v>34</v>
      </c>
      <c r="F35" s="2" t="s">
        <v>24</v>
      </c>
      <c r="G35" s="2" t="s">
        <v>25</v>
      </c>
      <c r="J35" s="2" t="s">
        <v>39</v>
      </c>
    </row>
    <row r="36" spans="1:10" x14ac:dyDescent="0.25">
      <c r="A36" s="2" t="s">
        <v>52</v>
      </c>
      <c r="B36" s="2" t="s">
        <v>53</v>
      </c>
      <c r="C36" s="2" t="s">
        <v>32</v>
      </c>
      <c r="D36" s="2">
        <v>197880</v>
      </c>
      <c r="E36" s="2" t="s">
        <v>34</v>
      </c>
      <c r="F36" s="2" t="s">
        <v>24</v>
      </c>
      <c r="G36" s="2" t="s">
        <v>25</v>
      </c>
      <c r="J36" s="2" t="s">
        <v>39</v>
      </c>
    </row>
    <row r="37" spans="1:10" x14ac:dyDescent="0.25">
      <c r="A37" s="2" t="s">
        <v>43</v>
      </c>
      <c r="B37" s="2" t="s">
        <v>44</v>
      </c>
      <c r="C37" s="2" t="s">
        <v>3</v>
      </c>
      <c r="D37" s="2">
        <v>1.2</v>
      </c>
      <c r="E37" s="2" t="s">
        <v>45</v>
      </c>
      <c r="F37" s="2" t="s">
        <v>24</v>
      </c>
      <c r="G37" s="2" t="s">
        <v>25</v>
      </c>
      <c r="J37" s="2" t="s">
        <v>39</v>
      </c>
    </row>
    <row r="38" spans="1:10" x14ac:dyDescent="0.25">
      <c r="A38" s="2" t="s">
        <v>21</v>
      </c>
      <c r="B38" s="2" t="s">
        <v>22</v>
      </c>
      <c r="C38" s="2" t="s">
        <v>3</v>
      </c>
      <c r="D38" s="2">
        <v>0.57999999999999996</v>
      </c>
      <c r="E38" s="2" t="s">
        <v>23</v>
      </c>
      <c r="F38" s="2" t="s">
        <v>24</v>
      </c>
      <c r="G38" s="2" t="s">
        <v>25</v>
      </c>
      <c r="J38" s="2" t="s">
        <v>39</v>
      </c>
    </row>
    <row r="39" spans="1:10" x14ac:dyDescent="0.25">
      <c r="A39" s="2" t="s">
        <v>52</v>
      </c>
      <c r="B39" s="2" t="s">
        <v>53</v>
      </c>
      <c r="C39" s="2" t="s">
        <v>32</v>
      </c>
      <c r="D39" s="2">
        <v>12750</v>
      </c>
      <c r="E39" s="2" t="s">
        <v>34</v>
      </c>
      <c r="F39" s="2" t="s">
        <v>24</v>
      </c>
      <c r="G39" s="2" t="s">
        <v>25</v>
      </c>
      <c r="J39" s="2" t="s">
        <v>39</v>
      </c>
    </row>
    <row r="40" spans="1:10" x14ac:dyDescent="0.25">
      <c r="A40" s="2" t="s">
        <v>52</v>
      </c>
      <c r="B40" s="2" t="s">
        <v>53</v>
      </c>
      <c r="C40" s="2" t="s">
        <v>32</v>
      </c>
      <c r="D40" s="2">
        <v>24225</v>
      </c>
      <c r="E40" s="2" t="s">
        <v>34</v>
      </c>
      <c r="F40" s="2" t="s">
        <v>24</v>
      </c>
      <c r="G40" s="2" t="s">
        <v>25</v>
      </c>
      <c r="J40" s="2" t="s">
        <v>39</v>
      </c>
    </row>
    <row r="41" spans="1:10" x14ac:dyDescent="0.25">
      <c r="A41" s="2" t="s">
        <v>52</v>
      </c>
      <c r="B41" s="2" t="s">
        <v>53</v>
      </c>
      <c r="C41" s="2" t="s">
        <v>32</v>
      </c>
      <c r="D41" s="2">
        <v>20400</v>
      </c>
      <c r="E41" s="2" t="s">
        <v>34</v>
      </c>
      <c r="F41" s="2" t="s">
        <v>24</v>
      </c>
      <c r="G41" s="2" t="s">
        <v>25</v>
      </c>
      <c r="J41" s="2" t="s">
        <v>39</v>
      </c>
    </row>
    <row r="42" spans="1:10" x14ac:dyDescent="0.25">
      <c r="A42" s="2" t="s">
        <v>43</v>
      </c>
      <c r="B42" s="2" t="s">
        <v>44</v>
      </c>
      <c r="C42" s="2" t="s">
        <v>3</v>
      </c>
      <c r="D42" s="2">
        <v>0.11</v>
      </c>
      <c r="E42" s="2" t="s">
        <v>45</v>
      </c>
      <c r="F42" s="2" t="s">
        <v>24</v>
      </c>
      <c r="G42" s="2" t="s">
        <v>25</v>
      </c>
      <c r="J42" s="2" t="s">
        <v>39</v>
      </c>
    </row>
    <row r="43" spans="1:10" x14ac:dyDescent="0.25">
      <c r="A43" s="2" t="s">
        <v>21</v>
      </c>
      <c r="B43" s="2" t="s">
        <v>22</v>
      </c>
      <c r="C43" s="2" t="s">
        <v>3</v>
      </c>
      <c r="D43" s="2">
        <v>0.13</v>
      </c>
      <c r="E43" s="2" t="s">
        <v>23</v>
      </c>
      <c r="F43" s="2" t="s">
        <v>24</v>
      </c>
      <c r="G43" s="2" t="s">
        <v>25</v>
      </c>
      <c r="J43" s="2" t="s">
        <v>39</v>
      </c>
    </row>
    <row r="44" spans="1:10" x14ac:dyDescent="0.25">
      <c r="A44" s="2" t="s">
        <v>46</v>
      </c>
      <c r="B44" s="2" t="s">
        <v>47</v>
      </c>
      <c r="C44" s="2" t="s">
        <v>32</v>
      </c>
      <c r="D44" s="2">
        <v>9.6000000000000002E-2</v>
      </c>
      <c r="E44" s="2" t="s">
        <v>6</v>
      </c>
      <c r="F44" s="2" t="s">
        <v>24</v>
      </c>
      <c r="G44" s="2" t="s">
        <v>25</v>
      </c>
      <c r="J44" s="2" t="s">
        <v>40</v>
      </c>
    </row>
    <row r="45" spans="1:10" x14ac:dyDescent="0.25">
      <c r="A45" s="2" t="s">
        <v>49</v>
      </c>
      <c r="B45" s="2" t="s">
        <v>50</v>
      </c>
      <c r="C45" s="2" t="s">
        <v>32</v>
      </c>
      <c r="D45" s="2">
        <v>3.0000000000000001E-3</v>
      </c>
      <c r="E45" s="2" t="s">
        <v>6</v>
      </c>
      <c r="F45" s="2" t="s">
        <v>24</v>
      </c>
      <c r="G45" s="2" t="s">
        <v>25</v>
      </c>
      <c r="J45" s="2" t="s">
        <v>40</v>
      </c>
    </row>
    <row r="46" spans="1:10" s="11" customFormat="1" x14ac:dyDescent="0.25"/>
    <row r="47" spans="1:10" x14ac:dyDescent="0.25">
      <c r="A47" s="1" t="s">
        <v>0</v>
      </c>
      <c r="B47" s="1" t="s">
        <v>69</v>
      </c>
    </row>
    <row r="48" spans="1:10" x14ac:dyDescent="0.25">
      <c r="A48" s="9" t="s">
        <v>1</v>
      </c>
      <c r="B48" s="2" t="s">
        <v>67</v>
      </c>
    </row>
    <row r="49" spans="1:14" x14ac:dyDescent="0.25">
      <c r="A49" s="9" t="s">
        <v>2</v>
      </c>
      <c r="B49" s="2" t="s">
        <v>3</v>
      </c>
    </row>
    <row r="50" spans="1:14" x14ac:dyDescent="0.25">
      <c r="A50" s="9" t="s">
        <v>4</v>
      </c>
      <c r="B50" s="2">
        <v>1</v>
      </c>
    </row>
    <row r="51" spans="1:14" x14ac:dyDescent="0.25">
      <c r="A51" s="9" t="s">
        <v>5</v>
      </c>
      <c r="B51" s="2" t="s">
        <v>6</v>
      </c>
    </row>
    <row r="52" spans="1:14" x14ac:dyDescent="0.25">
      <c r="A52" s="9" t="s">
        <v>7</v>
      </c>
      <c r="B52" s="2" t="s">
        <v>8</v>
      </c>
    </row>
    <row r="53" spans="1:14" x14ac:dyDescent="0.25">
      <c r="A53" s="9" t="s">
        <v>9</v>
      </c>
    </row>
    <row r="54" spans="1:14" x14ac:dyDescent="0.25">
      <c r="A54" s="1" t="s">
        <v>10</v>
      </c>
      <c r="B54" s="1" t="s">
        <v>1</v>
      </c>
      <c r="C54" s="1" t="s">
        <v>2</v>
      </c>
      <c r="D54" s="1" t="s">
        <v>4</v>
      </c>
      <c r="E54" s="1" t="s">
        <v>5</v>
      </c>
      <c r="F54" s="1" t="s">
        <v>11</v>
      </c>
      <c r="G54" s="1" t="s">
        <v>12</v>
      </c>
      <c r="H54" s="1" t="s">
        <v>13</v>
      </c>
      <c r="I54" s="1" t="s">
        <v>14</v>
      </c>
      <c r="J54" s="1" t="s">
        <v>15</v>
      </c>
      <c r="K54" s="1" t="s">
        <v>16</v>
      </c>
      <c r="L54" s="1" t="s">
        <v>17</v>
      </c>
      <c r="M54" s="1" t="s">
        <v>18</v>
      </c>
      <c r="N54" s="1" t="s">
        <v>19</v>
      </c>
    </row>
    <row r="55" spans="1:14" x14ac:dyDescent="0.25">
      <c r="A55" s="2" t="str">
        <f>B47</f>
        <v>Dolomite ore mining and Mg production in China through Pidgeon process</v>
      </c>
      <c r="B55" s="2" t="str">
        <f>B48</f>
        <v>Refined Mg</v>
      </c>
      <c r="C55" s="2" t="str">
        <f>B49</f>
        <v>CN</v>
      </c>
      <c r="D55" s="2">
        <v>1</v>
      </c>
      <c r="E55" s="2" t="s">
        <v>6</v>
      </c>
      <c r="F55" s="3" t="str">
        <f>F25</f>
        <v>Magnesium</v>
      </c>
      <c r="G55" s="2" t="s">
        <v>20</v>
      </c>
    </row>
    <row r="56" spans="1:14" x14ac:dyDescent="0.25">
      <c r="A56" s="2" t="str">
        <f>A25</f>
        <v>[P+R] Refined Mg production - Pidgeon process</v>
      </c>
      <c r="B56" s="2" t="str">
        <f>B25</f>
        <v>Refined Mg</v>
      </c>
      <c r="C56" s="2" t="str">
        <f>C25</f>
        <v>CN</v>
      </c>
      <c r="D56" s="2">
        <v>1</v>
      </c>
      <c r="E56" s="2" t="str">
        <f>E25</f>
        <v>kilogram</v>
      </c>
      <c r="F56" s="3" t="str">
        <f>F25</f>
        <v>Magnesium</v>
      </c>
      <c r="G56" s="2" t="s">
        <v>25</v>
      </c>
    </row>
    <row r="57" spans="1:14" x14ac:dyDescent="0.25">
      <c r="A57" s="2" t="str">
        <f>A9</f>
        <v>[M+C] Magnesium (Mg) ore mining and concentration (China)</v>
      </c>
      <c r="B57" s="2" t="str">
        <f>B9</f>
        <v>Dolomite ore</v>
      </c>
      <c r="C57" s="2" t="str">
        <f>C9</f>
        <v>CN</v>
      </c>
      <c r="D57" s="2">
        <v>10.5</v>
      </c>
      <c r="E57" s="2" t="str">
        <f>E9</f>
        <v>kilogram</v>
      </c>
      <c r="F57" s="3" t="str">
        <f>F9</f>
        <v>Magnesium</v>
      </c>
      <c r="G57" s="2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A1:N48"/>
  <sheetViews>
    <sheetView workbookViewId="0"/>
  </sheetViews>
  <sheetFormatPr baseColWidth="10" defaultColWidth="8.7109375" defaultRowHeight="15" x14ac:dyDescent="0.25"/>
  <cols>
    <col min="1" max="1" width="63.140625" style="2" bestFit="1" customWidth="1"/>
    <col min="2" max="2" width="63.42578125" style="2" bestFit="1" customWidth="1"/>
    <col min="3" max="3" width="7.5703125" style="2" bestFit="1" customWidth="1"/>
    <col min="4" max="4" width="8.85546875" style="2" bestFit="1" customWidth="1"/>
    <col min="5" max="5" width="11.85546875" style="2" bestFit="1" customWidth="1"/>
    <col min="6" max="6" width="18.42578125" style="2" bestFit="1" customWidth="1"/>
    <col min="7" max="7" width="12.28515625" style="2" bestFit="1" customWidth="1"/>
    <col min="8" max="8" width="23.85546875" style="2" bestFit="1" customWidth="1"/>
    <col min="9" max="9" width="14.5703125" style="2" bestFit="1" customWidth="1"/>
    <col min="10" max="10" width="8.85546875" style="2" bestFit="1" customWidth="1"/>
    <col min="11" max="11" width="3.140625" style="2" bestFit="1" customWidth="1"/>
    <col min="12" max="12" width="4.85546875" style="2" bestFit="1" customWidth="1"/>
    <col min="13" max="13" width="8.85546875" style="2" bestFit="1" customWidth="1"/>
    <col min="14" max="14" width="9.140625" style="2" bestFit="1" customWidth="1"/>
    <col min="15" max="16384" width="8.7109375" style="2"/>
  </cols>
  <sheetData>
    <row r="1" spans="1:14" x14ac:dyDescent="0.25">
      <c r="A1" s="1" t="s">
        <v>0</v>
      </c>
      <c r="B1" s="1" t="s">
        <v>71</v>
      </c>
    </row>
    <row r="2" spans="1:14" x14ac:dyDescent="0.25">
      <c r="A2" s="9" t="s">
        <v>1</v>
      </c>
      <c r="B2" s="2" t="s">
        <v>66</v>
      </c>
    </row>
    <row r="3" spans="1:14" x14ac:dyDescent="0.25">
      <c r="A3" s="9" t="s">
        <v>2</v>
      </c>
      <c r="B3" s="2" t="s">
        <v>48</v>
      </c>
    </row>
    <row r="4" spans="1:14" x14ac:dyDescent="0.25">
      <c r="A4" s="9" t="s">
        <v>4</v>
      </c>
      <c r="B4" s="2">
        <v>1</v>
      </c>
    </row>
    <row r="5" spans="1:14" x14ac:dyDescent="0.25">
      <c r="A5" s="9" t="s">
        <v>5</v>
      </c>
      <c r="B5" s="2" t="s">
        <v>6</v>
      </c>
    </row>
    <row r="6" spans="1:14" x14ac:dyDescent="0.25">
      <c r="A6" s="9" t="s">
        <v>7</v>
      </c>
      <c r="B6" s="2" t="s">
        <v>8</v>
      </c>
    </row>
    <row r="7" spans="1:14" x14ac:dyDescent="0.25">
      <c r="A7" s="9" t="s">
        <v>9</v>
      </c>
    </row>
    <row r="8" spans="1:14" x14ac:dyDescent="0.25">
      <c r="A8" s="1" t="s">
        <v>10</v>
      </c>
      <c r="B8" s="1" t="s">
        <v>1</v>
      </c>
      <c r="C8" s="1" t="s">
        <v>2</v>
      </c>
      <c r="D8" s="1" t="s">
        <v>4</v>
      </c>
      <c r="E8" s="1" t="s">
        <v>5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19</v>
      </c>
    </row>
    <row r="9" spans="1:14" x14ac:dyDescent="0.25">
      <c r="A9" s="2" t="str">
        <f>B1</f>
        <v>[M+C] Magnesium (Mg) ore mining and concentration (Brazil)</v>
      </c>
      <c r="B9" s="2" t="str">
        <f>B2</f>
        <v>Dolomite ore</v>
      </c>
      <c r="C9" s="2" t="str">
        <f>B3</f>
        <v>BR</v>
      </c>
      <c r="D9" s="2">
        <v>1</v>
      </c>
      <c r="E9" s="2" t="s">
        <v>6</v>
      </c>
      <c r="F9" s="3" t="str">
        <f>Mg_Market_GLO!B1</f>
        <v>Magnesium</v>
      </c>
      <c r="G9" s="2" t="s">
        <v>20</v>
      </c>
    </row>
    <row r="10" spans="1:14" x14ac:dyDescent="0.25">
      <c r="A10" s="2" t="s">
        <v>21</v>
      </c>
      <c r="B10" s="2" t="s">
        <v>22</v>
      </c>
      <c r="C10" s="2" t="s">
        <v>48</v>
      </c>
      <c r="D10" s="2">
        <v>3.3925118483412321E-2</v>
      </c>
      <c r="E10" s="2" t="s">
        <v>23</v>
      </c>
      <c r="F10" s="2" t="s">
        <v>24</v>
      </c>
      <c r="G10" s="2" t="s">
        <v>25</v>
      </c>
      <c r="J10" s="2" t="s">
        <v>26</v>
      </c>
    </row>
    <row r="11" spans="1:14" x14ac:dyDescent="0.25">
      <c r="A11" s="2" t="s">
        <v>27</v>
      </c>
      <c r="B11" s="2" t="s">
        <v>28</v>
      </c>
      <c r="C11" s="2" t="s">
        <v>29</v>
      </c>
      <c r="D11" s="2">
        <v>2.360189573459716E-4</v>
      </c>
      <c r="E11" s="2" t="s">
        <v>6</v>
      </c>
      <c r="F11" s="2" t="s">
        <v>24</v>
      </c>
      <c r="G11" s="2" t="s">
        <v>25</v>
      </c>
      <c r="J11" s="2" t="s">
        <v>26</v>
      </c>
    </row>
    <row r="12" spans="1:14" x14ac:dyDescent="0.25">
      <c r="A12" s="2" t="s">
        <v>30</v>
      </c>
      <c r="B12" s="2" t="s">
        <v>31</v>
      </c>
      <c r="C12" s="2" t="s">
        <v>32</v>
      </c>
      <c r="D12" s="2">
        <v>2.500473933649289E-3</v>
      </c>
      <c r="E12" s="2" t="s">
        <v>6</v>
      </c>
      <c r="F12" s="2" t="s">
        <v>24</v>
      </c>
      <c r="G12" s="2" t="s">
        <v>25</v>
      </c>
      <c r="J12" s="2" t="s">
        <v>26</v>
      </c>
    </row>
    <row r="13" spans="1:14" x14ac:dyDescent="0.25">
      <c r="A13" s="2" t="s">
        <v>33</v>
      </c>
      <c r="B13" s="2" t="s">
        <v>33</v>
      </c>
      <c r="C13" s="2" t="s">
        <v>32</v>
      </c>
      <c r="D13" s="2">
        <v>2.1924170616113747E-2</v>
      </c>
      <c r="E13" s="2" t="s">
        <v>34</v>
      </c>
      <c r="F13" s="2" t="s">
        <v>24</v>
      </c>
      <c r="G13" s="2" t="s">
        <v>25</v>
      </c>
      <c r="J13" s="2" t="s">
        <v>26</v>
      </c>
    </row>
    <row r="14" spans="1:14" ht="15" customHeight="1" x14ac:dyDescent="0.25">
      <c r="A14" s="2" t="s">
        <v>27</v>
      </c>
      <c r="B14" s="2" t="s">
        <v>28</v>
      </c>
      <c r="C14" s="2" t="s">
        <v>29</v>
      </c>
      <c r="D14" s="2">
        <v>7.1753554502369669E-4</v>
      </c>
      <c r="E14" s="2" t="s">
        <v>6</v>
      </c>
      <c r="F14" s="2" t="s">
        <v>24</v>
      </c>
      <c r="G14" s="2" t="s">
        <v>25</v>
      </c>
      <c r="J14" s="2" t="s">
        <v>26</v>
      </c>
    </row>
    <row r="15" spans="1:14" x14ac:dyDescent="0.25">
      <c r="A15" s="2" t="s">
        <v>60</v>
      </c>
      <c r="B15" s="2" t="s">
        <v>61</v>
      </c>
      <c r="C15" s="2" t="s">
        <v>29</v>
      </c>
      <c r="D15" s="2">
        <v>-0.40189573459715638</v>
      </c>
      <c r="E15" s="2" t="s">
        <v>6</v>
      </c>
      <c r="F15" s="2" t="s">
        <v>24</v>
      </c>
      <c r="G15" s="2" t="s">
        <v>25</v>
      </c>
      <c r="J15" s="2" t="s">
        <v>26</v>
      </c>
    </row>
    <row r="16" spans="1:14" x14ac:dyDescent="0.25">
      <c r="A16" s="2" t="s">
        <v>35</v>
      </c>
      <c r="D16" s="2">
        <v>1</v>
      </c>
      <c r="E16" s="2" t="s">
        <v>6</v>
      </c>
      <c r="F16" s="2" t="s">
        <v>36</v>
      </c>
      <c r="G16" s="2" t="s">
        <v>37</v>
      </c>
      <c r="H16" s="2" t="s">
        <v>38</v>
      </c>
      <c r="J16" s="2" t="s">
        <v>26</v>
      </c>
    </row>
    <row r="17" spans="1:14" s="10" customFormat="1" x14ac:dyDescent="0.25"/>
    <row r="18" spans="1:14" x14ac:dyDescent="0.25">
      <c r="A18" s="1" t="s">
        <v>0</v>
      </c>
      <c r="B18" s="1" t="s">
        <v>72</v>
      </c>
    </row>
    <row r="19" spans="1:14" x14ac:dyDescent="0.25">
      <c r="A19" s="9" t="s">
        <v>1</v>
      </c>
      <c r="B19" s="2" t="s">
        <v>67</v>
      </c>
    </row>
    <row r="20" spans="1:14" x14ac:dyDescent="0.25">
      <c r="A20" s="9" t="s">
        <v>2</v>
      </c>
      <c r="B20" s="2" t="s">
        <v>48</v>
      </c>
    </row>
    <row r="21" spans="1:14" x14ac:dyDescent="0.25">
      <c r="A21" s="9" t="s">
        <v>4</v>
      </c>
      <c r="B21" s="2">
        <v>1</v>
      </c>
    </row>
    <row r="22" spans="1:14" x14ac:dyDescent="0.25">
      <c r="A22" s="9" t="s">
        <v>5</v>
      </c>
      <c r="B22" s="2" t="s">
        <v>6</v>
      </c>
    </row>
    <row r="23" spans="1:14" x14ac:dyDescent="0.25">
      <c r="A23" s="9" t="s">
        <v>7</v>
      </c>
      <c r="B23" s="2" t="s">
        <v>8</v>
      </c>
    </row>
    <row r="24" spans="1:14" x14ac:dyDescent="0.25">
      <c r="A24" s="9" t="s">
        <v>9</v>
      </c>
    </row>
    <row r="25" spans="1:14" x14ac:dyDescent="0.25">
      <c r="A25" s="1" t="s">
        <v>10</v>
      </c>
      <c r="B25" s="1" t="s">
        <v>1</v>
      </c>
      <c r="C25" s="1" t="s">
        <v>2</v>
      </c>
      <c r="D25" s="1" t="s">
        <v>4</v>
      </c>
      <c r="E25" s="1" t="s">
        <v>5</v>
      </c>
      <c r="F25" s="1" t="s">
        <v>11</v>
      </c>
      <c r="G25" s="1" t="s">
        <v>12</v>
      </c>
      <c r="H25" s="1" t="s">
        <v>13</v>
      </c>
      <c r="I25" s="1" t="s">
        <v>14</v>
      </c>
      <c r="J25" s="1" t="s">
        <v>15</v>
      </c>
      <c r="K25" s="1" t="s">
        <v>16</v>
      </c>
      <c r="L25" s="1" t="s">
        <v>17</v>
      </c>
      <c r="M25" s="1" t="s">
        <v>18</v>
      </c>
      <c r="N25" s="1" t="s">
        <v>19</v>
      </c>
    </row>
    <row r="26" spans="1:14" x14ac:dyDescent="0.25">
      <c r="A26" s="2" t="str">
        <f>B18</f>
        <v>[P+R] Refined Mg production - Bolzano process</v>
      </c>
      <c r="B26" s="2" t="str">
        <f>B19</f>
        <v>Refined Mg</v>
      </c>
      <c r="C26" s="2" t="str">
        <f>B20</f>
        <v>BR</v>
      </c>
      <c r="D26" s="2">
        <v>1</v>
      </c>
      <c r="E26" s="2" t="s">
        <v>6</v>
      </c>
      <c r="F26" s="3" t="str">
        <f>F9</f>
        <v>Magnesium</v>
      </c>
      <c r="G26" s="2" t="s">
        <v>20</v>
      </c>
    </row>
    <row r="27" spans="1:14" x14ac:dyDescent="0.25">
      <c r="A27" s="2" t="s">
        <v>21</v>
      </c>
      <c r="B27" s="2" t="s">
        <v>22</v>
      </c>
      <c r="C27" s="2" t="s">
        <v>48</v>
      </c>
      <c r="D27" s="2">
        <v>20.2</v>
      </c>
      <c r="E27" s="2" t="s">
        <v>23</v>
      </c>
      <c r="F27" s="2" t="s">
        <v>24</v>
      </c>
      <c r="G27" s="2" t="s">
        <v>25</v>
      </c>
      <c r="J27" s="2" t="s">
        <v>26</v>
      </c>
    </row>
    <row r="28" spans="1:14" x14ac:dyDescent="0.25">
      <c r="A28" s="2" t="s">
        <v>43</v>
      </c>
      <c r="B28" s="2" t="s">
        <v>44</v>
      </c>
      <c r="C28" s="2" t="s">
        <v>48</v>
      </c>
      <c r="D28" s="2">
        <v>2.3230770000000001</v>
      </c>
      <c r="E28" s="2" t="s">
        <v>45</v>
      </c>
      <c r="F28" s="2" t="s">
        <v>24</v>
      </c>
      <c r="G28" s="2" t="s">
        <v>25</v>
      </c>
      <c r="J28" s="2" t="s">
        <v>26</v>
      </c>
    </row>
    <row r="29" spans="1:14" x14ac:dyDescent="0.25">
      <c r="A29" s="2" t="s">
        <v>27</v>
      </c>
      <c r="B29" s="2" t="s">
        <v>28</v>
      </c>
      <c r="C29" s="2" t="s">
        <v>29</v>
      </c>
      <c r="D29" s="2">
        <v>2.0000000000000002E-5</v>
      </c>
      <c r="E29" s="2" t="s">
        <v>6</v>
      </c>
      <c r="F29" s="2" t="s">
        <v>24</v>
      </c>
      <c r="G29" s="2" t="s">
        <v>25</v>
      </c>
      <c r="J29" s="2" t="s">
        <v>26</v>
      </c>
    </row>
    <row r="30" spans="1:14" x14ac:dyDescent="0.25">
      <c r="A30" s="2" t="s">
        <v>56</v>
      </c>
      <c r="B30" s="2" t="s">
        <v>57</v>
      </c>
      <c r="C30" s="2" t="s">
        <v>32</v>
      </c>
      <c r="D30" s="2">
        <v>0.7</v>
      </c>
      <c r="E30" s="2" t="s">
        <v>6</v>
      </c>
      <c r="F30" s="2" t="s">
        <v>24</v>
      </c>
      <c r="G30" s="2" t="s">
        <v>25</v>
      </c>
      <c r="J30" s="2" t="s">
        <v>26</v>
      </c>
    </row>
    <row r="31" spans="1:14" x14ac:dyDescent="0.25">
      <c r="A31" s="2" t="s">
        <v>41</v>
      </c>
      <c r="B31" s="2" t="s">
        <v>42</v>
      </c>
      <c r="C31" s="2" t="s">
        <v>29</v>
      </c>
      <c r="D31" s="2">
        <v>0.2</v>
      </c>
      <c r="E31" s="2" t="s">
        <v>6</v>
      </c>
      <c r="F31" s="2" t="s">
        <v>24</v>
      </c>
      <c r="G31" s="2" t="s">
        <v>25</v>
      </c>
      <c r="J31" s="2" t="s">
        <v>26</v>
      </c>
    </row>
    <row r="32" spans="1:14" x14ac:dyDescent="0.25">
      <c r="A32" s="2" t="s">
        <v>49</v>
      </c>
      <c r="B32" s="2" t="s">
        <v>50</v>
      </c>
      <c r="C32" s="2" t="s">
        <v>32</v>
      </c>
      <c r="D32" s="2">
        <v>0.05</v>
      </c>
      <c r="E32" s="2" t="s">
        <v>6</v>
      </c>
      <c r="F32" s="2" t="s">
        <v>24</v>
      </c>
      <c r="G32" s="2" t="s">
        <v>25</v>
      </c>
      <c r="J32" s="2" t="s">
        <v>26</v>
      </c>
    </row>
    <row r="33" spans="1:14" x14ac:dyDescent="0.25">
      <c r="A33" s="2" t="s">
        <v>60</v>
      </c>
      <c r="B33" s="2" t="s">
        <v>61</v>
      </c>
      <c r="C33" s="2" t="s">
        <v>29</v>
      </c>
      <c r="D33" s="2">
        <v>-5.26</v>
      </c>
      <c r="E33" s="2" t="s">
        <v>6</v>
      </c>
      <c r="F33" s="2" t="s">
        <v>24</v>
      </c>
      <c r="G33" s="2" t="s">
        <v>25</v>
      </c>
      <c r="J33" s="2" t="s">
        <v>26</v>
      </c>
    </row>
    <row r="34" spans="1:14" x14ac:dyDescent="0.25">
      <c r="A34" s="2" t="s">
        <v>62</v>
      </c>
      <c r="B34" s="2" t="s">
        <v>63</v>
      </c>
      <c r="C34" s="2" t="s">
        <v>32</v>
      </c>
      <c r="D34" s="2">
        <v>-0.18</v>
      </c>
      <c r="E34" s="2" t="s">
        <v>6</v>
      </c>
      <c r="F34" s="2" t="s">
        <v>24</v>
      </c>
      <c r="G34" s="2" t="s">
        <v>25</v>
      </c>
      <c r="J34" s="2" t="s">
        <v>26</v>
      </c>
    </row>
    <row r="35" spans="1:14" x14ac:dyDescent="0.25">
      <c r="A35" s="2" t="s">
        <v>58</v>
      </c>
      <c r="D35" s="2">
        <v>5.8399999999999997E-3</v>
      </c>
      <c r="E35" s="2" t="s">
        <v>45</v>
      </c>
      <c r="F35" s="2" t="s">
        <v>36</v>
      </c>
      <c r="G35" s="2" t="s">
        <v>37</v>
      </c>
      <c r="H35" s="2" t="s">
        <v>38</v>
      </c>
      <c r="J35" s="2" t="s">
        <v>26</v>
      </c>
    </row>
    <row r="36" spans="1:14" x14ac:dyDescent="0.25">
      <c r="A36" s="2" t="s">
        <v>51</v>
      </c>
      <c r="D36" s="2">
        <v>1.22</v>
      </c>
      <c r="E36" s="2" t="s">
        <v>6</v>
      </c>
      <c r="F36" s="2" t="s">
        <v>36</v>
      </c>
      <c r="G36" s="2" t="s">
        <v>37</v>
      </c>
      <c r="H36" s="2" t="s">
        <v>59</v>
      </c>
      <c r="J36" s="2" t="s">
        <v>26</v>
      </c>
    </row>
    <row r="37" spans="1:14" s="11" customFormat="1" x14ac:dyDescent="0.25"/>
    <row r="38" spans="1:14" x14ac:dyDescent="0.25">
      <c r="A38" s="1" t="s">
        <v>0</v>
      </c>
      <c r="B38" s="1" t="s">
        <v>73</v>
      </c>
    </row>
    <row r="39" spans="1:14" x14ac:dyDescent="0.25">
      <c r="A39" s="9" t="s">
        <v>1</v>
      </c>
      <c r="B39" s="2" t="s">
        <v>67</v>
      </c>
    </row>
    <row r="40" spans="1:14" x14ac:dyDescent="0.25">
      <c r="A40" s="9" t="s">
        <v>2</v>
      </c>
      <c r="B40" s="2" t="s">
        <v>48</v>
      </c>
    </row>
    <row r="41" spans="1:14" x14ac:dyDescent="0.25">
      <c r="A41" s="9" t="s">
        <v>4</v>
      </c>
      <c r="B41" s="2">
        <v>1</v>
      </c>
    </row>
    <row r="42" spans="1:14" x14ac:dyDescent="0.25">
      <c r="A42" s="9" t="s">
        <v>5</v>
      </c>
      <c r="B42" s="2" t="s">
        <v>6</v>
      </c>
    </row>
    <row r="43" spans="1:14" x14ac:dyDescent="0.25">
      <c r="A43" s="9" t="s">
        <v>7</v>
      </c>
      <c r="B43" s="2" t="s">
        <v>8</v>
      </c>
    </row>
    <row r="44" spans="1:14" x14ac:dyDescent="0.25">
      <c r="A44" s="9" t="s">
        <v>9</v>
      </c>
    </row>
    <row r="45" spans="1:14" x14ac:dyDescent="0.25">
      <c r="A45" s="1" t="s">
        <v>10</v>
      </c>
      <c r="B45" s="1" t="s">
        <v>1</v>
      </c>
      <c r="C45" s="1" t="s">
        <v>2</v>
      </c>
      <c r="D45" s="1" t="s">
        <v>4</v>
      </c>
      <c r="E45" s="1" t="s">
        <v>5</v>
      </c>
      <c r="F45" s="1" t="s">
        <v>11</v>
      </c>
      <c r="G45" s="1" t="s">
        <v>12</v>
      </c>
      <c r="H45" s="1" t="s">
        <v>13</v>
      </c>
      <c r="I45" s="1" t="s">
        <v>14</v>
      </c>
      <c r="J45" s="1" t="s">
        <v>15</v>
      </c>
      <c r="K45" s="1" t="s">
        <v>16</v>
      </c>
      <c r="L45" s="1" t="s">
        <v>17</v>
      </c>
      <c r="M45" s="1" t="s">
        <v>18</v>
      </c>
      <c r="N45" s="1" t="s">
        <v>19</v>
      </c>
    </row>
    <row r="46" spans="1:14" x14ac:dyDescent="0.25">
      <c r="A46" s="2" t="str">
        <f>B38</f>
        <v>Dolomite ore mining and Mg production in Brazil through Bolzano process</v>
      </c>
      <c r="B46" s="2" t="str">
        <f>B39</f>
        <v>Refined Mg</v>
      </c>
      <c r="C46" s="2" t="str">
        <f>B40</f>
        <v>BR</v>
      </c>
      <c r="D46" s="2">
        <v>1</v>
      </c>
      <c r="E46" s="2" t="s">
        <v>6</v>
      </c>
      <c r="F46" s="3" t="str">
        <f>F26</f>
        <v>Magnesium</v>
      </c>
      <c r="G46" s="2" t="s">
        <v>20</v>
      </c>
    </row>
    <row r="47" spans="1:14" x14ac:dyDescent="0.25">
      <c r="A47" s="2" t="str">
        <f>A26</f>
        <v>[P+R] Refined Mg production - Bolzano process</v>
      </c>
      <c r="B47" s="2" t="str">
        <f t="shared" ref="B47:F47" si="0">B26</f>
        <v>Refined Mg</v>
      </c>
      <c r="C47" s="2" t="str">
        <f t="shared" si="0"/>
        <v>BR</v>
      </c>
      <c r="D47" s="2">
        <v>1</v>
      </c>
      <c r="E47" s="2" t="str">
        <f t="shared" si="0"/>
        <v>kilogram</v>
      </c>
      <c r="F47" s="3" t="str">
        <f t="shared" si="0"/>
        <v>Magnesium</v>
      </c>
      <c r="G47" s="2" t="s">
        <v>25</v>
      </c>
    </row>
    <row r="48" spans="1:14" x14ac:dyDescent="0.25">
      <c r="A48" s="2" t="str">
        <f>A9</f>
        <v>[M+C] Magnesium (Mg) ore mining and concentration (Brazil)</v>
      </c>
      <c r="B48" s="2" t="str">
        <f t="shared" ref="B48:F48" si="1">B9</f>
        <v>Dolomite ore</v>
      </c>
      <c r="C48" s="2" t="str">
        <f t="shared" si="1"/>
        <v>BR</v>
      </c>
      <c r="D48" s="2">
        <v>10.55</v>
      </c>
      <c r="E48" s="2" t="str">
        <f t="shared" si="1"/>
        <v>kilogram</v>
      </c>
      <c r="F48" s="3" t="str">
        <f t="shared" si="1"/>
        <v>Magnesium</v>
      </c>
      <c r="G48" s="2" t="s">
        <v>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c0c41a-12c1-4165-8422-5f5ca88e9f6a" xsi:nil="true"/>
    <lcf76f155ced4ddcb4097134ff3c332f xmlns="d78c010b-218d-4be4-b2d9-423b1f51aae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819355-5D7F-4DA7-80D0-2608A0BCE9F3}"/>
</file>

<file path=customXml/itemProps2.xml><?xml version="1.0" encoding="utf-8"?>
<ds:datastoreItem xmlns:ds="http://schemas.openxmlformats.org/officeDocument/2006/customXml" ds:itemID="{D0CC2157-2A27-4209-8290-ED31A474BF86}">
  <ds:schemaRefs>
    <ds:schemaRef ds:uri="http://schemas.microsoft.com/office/2006/metadata/properties"/>
    <ds:schemaRef ds:uri="http://schemas.microsoft.com/office/infopath/2007/PartnerControls"/>
    <ds:schemaRef ds:uri="adc0c41a-12c1-4165-8422-5f5ca88e9f6a"/>
    <ds:schemaRef ds:uri="d78c010b-218d-4be4-b2d9-423b1f51aae5"/>
  </ds:schemaRefs>
</ds:datastoreItem>
</file>

<file path=customXml/itemProps3.xml><?xml version="1.0" encoding="utf-8"?>
<ds:datastoreItem xmlns:ds="http://schemas.openxmlformats.org/officeDocument/2006/customXml" ds:itemID="{1CDA7255-F831-4CCE-B4DB-6850DB70A2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Note</vt:lpstr>
      <vt:lpstr>Mg_Market_GLO</vt:lpstr>
      <vt:lpstr>PR1_Mg_CN_Dolomite_Pidgeon</vt:lpstr>
      <vt:lpstr>PR2_Mg_BR_Dolomite_Bolzano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 Frederic</cp:lastModifiedBy>
  <dcterms:created xsi:type="dcterms:W3CDTF">2015-06-05T18:19:34Z</dcterms:created>
  <dcterms:modified xsi:type="dcterms:W3CDTF">2025-06-24T13:21:01Z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0x0101004741122952C13D46BBBC92EEAE11CF32</vt:lpwstr>
  </property>
  <property fmtid="{D5CDD505-2E9C-101B-9397-08002B2CF9AE}" pid="3" name="MediaServiceImageTags">
    <vt:lpwstr/>
  </property>
</Properties>
</file>