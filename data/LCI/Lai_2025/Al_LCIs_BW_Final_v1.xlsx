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RPPEXIMPMET/Documents partages/General/P2/04_Data/04_Modelling/02_LCI modelling/Al_Aluminium/"/>
    </mc:Choice>
  </mc:AlternateContent>
  <xr:revisionPtr revIDLastSave="125" documentId="8_{8C2B28F2-42A7-4CBB-B3DF-A0E872B87B61}" xr6:coauthVersionLast="47" xr6:coauthVersionMax="47" xr10:uidLastSave="{BBCAB783-4F24-4E14-87A8-2BBF8D0CE6A1}"/>
  <bookViews>
    <workbookView xWindow="-120" yWindow="-120" windowWidth="29040" windowHeight="15840" tabRatio="869" xr2:uid="{00000000-000D-0000-FFFF-FFFF00000000}"/>
  </bookViews>
  <sheets>
    <sheet name="Note" sheetId="1" r:id="rId1"/>
    <sheet name="Al_Market_GLO" sheetId="31" r:id="rId2"/>
    <sheet name="Al_Mining_GLO" sheetId="26" r:id="rId3"/>
    <sheet name="PR1_Al_SAM" sheetId="18" r:id="rId4"/>
    <sheet name="PR2_Al_OCA" sheetId="19" r:id="rId5"/>
    <sheet name="PR3_Al_NAM" sheetId="20" r:id="rId6"/>
    <sheet name="PR4_Al_EUR" sheetId="21" r:id="rId7"/>
    <sheet name="PR5_Al_ROE" sheetId="22" r:id="rId8"/>
    <sheet name="PR6_Al_GCC" sheetId="23" r:id="rId9"/>
    <sheet name="PR7_Al_AFR" sheetId="24" r:id="rId10"/>
    <sheet name="PR8_Al_OAS" sheetId="25" r:id="rId11"/>
    <sheet name="PR9_Al_CN" sheetId="27" r:id="rId12"/>
    <sheet name="PR10_Al_CN_Recycling" sheetId="28" r:id="rId13"/>
    <sheet name="PR11_Al_NAM_Recycling" sheetId="29" r:id="rId14"/>
    <sheet name="PR12_Al_EUR_Recycling" sheetId="30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1" l="1"/>
  <c r="C23" i="31"/>
  <c r="E23" i="31"/>
  <c r="A23" i="31"/>
  <c r="B22" i="31"/>
  <c r="C22" i="31"/>
  <c r="E22" i="31"/>
  <c r="A22" i="31"/>
  <c r="C21" i="31"/>
  <c r="E21" i="31"/>
  <c r="A21" i="31"/>
  <c r="B20" i="31"/>
  <c r="C20" i="31"/>
  <c r="E20" i="31"/>
  <c r="A20" i="31"/>
  <c r="B19" i="31"/>
  <c r="C19" i="31"/>
  <c r="E19" i="31"/>
  <c r="A19" i="31"/>
  <c r="B18" i="31"/>
  <c r="C18" i="31"/>
  <c r="E18" i="31"/>
  <c r="A18" i="31"/>
  <c r="B17" i="31"/>
  <c r="C17" i="31"/>
  <c r="E17" i="31"/>
  <c r="A17" i="31"/>
  <c r="B16" i="31"/>
  <c r="C16" i="31"/>
  <c r="E16" i="31"/>
  <c r="A16" i="31"/>
  <c r="B15" i="31"/>
  <c r="C15" i="31"/>
  <c r="E15" i="31"/>
  <c r="A15" i="31"/>
  <c r="B14" i="31"/>
  <c r="C14" i="31"/>
  <c r="E14" i="31"/>
  <c r="A14" i="31"/>
  <c r="B13" i="31"/>
  <c r="C13" i="31"/>
  <c r="E13" i="31"/>
  <c r="A13" i="31"/>
  <c r="B12" i="31"/>
  <c r="C12" i="31"/>
  <c r="E12" i="31"/>
  <c r="A12" i="31"/>
  <c r="E53" i="30"/>
  <c r="A53" i="30"/>
  <c r="E52" i="30"/>
  <c r="C51" i="30"/>
  <c r="B51" i="30"/>
  <c r="A51" i="30"/>
  <c r="C19" i="30"/>
  <c r="C52" i="30" s="1"/>
  <c r="B19" i="30"/>
  <c r="B52" i="30" s="1"/>
  <c r="A19" i="30"/>
  <c r="A52" i="30" s="1"/>
  <c r="F9" i="30"/>
  <c r="F19" i="30" s="1"/>
  <c r="F52" i="30" s="1"/>
  <c r="C9" i="30"/>
  <c r="C53" i="30" s="1"/>
  <c r="B9" i="30"/>
  <c r="B53" i="30" s="1"/>
  <c r="A9" i="30"/>
  <c r="B45" i="29"/>
  <c r="C45" i="29"/>
  <c r="E45" i="29"/>
  <c r="A45" i="29"/>
  <c r="C44" i="29"/>
  <c r="B44" i="29"/>
  <c r="A44" i="29"/>
  <c r="F9" i="29"/>
  <c r="F45" i="29" s="1"/>
  <c r="C9" i="29"/>
  <c r="B9" i="29"/>
  <c r="A9" i="29"/>
  <c r="B42" i="28"/>
  <c r="C42" i="28"/>
  <c r="E42" i="28"/>
  <c r="F42" i="28"/>
  <c r="E41" i="28"/>
  <c r="A41" i="28"/>
  <c r="C40" i="28"/>
  <c r="B40" i="28"/>
  <c r="B21" i="31" s="1"/>
  <c r="A40" i="28"/>
  <c r="C19" i="28"/>
  <c r="C41" i="28" s="1"/>
  <c r="B19" i="28"/>
  <c r="B41" i="28" s="1"/>
  <c r="A19" i="28"/>
  <c r="F9" i="28"/>
  <c r="F19" i="28" s="1"/>
  <c r="F41" i="28" s="1"/>
  <c r="C9" i="28"/>
  <c r="B9" i="28"/>
  <c r="A9" i="28"/>
  <c r="A42" i="28" s="1"/>
  <c r="E145" i="27"/>
  <c r="E122" i="27"/>
  <c r="E171" i="27"/>
  <c r="E170" i="27"/>
  <c r="E169" i="27"/>
  <c r="E168" i="27"/>
  <c r="C144" i="27"/>
  <c r="C61" i="27" s="1"/>
  <c r="B144" i="27"/>
  <c r="B61" i="27" s="1"/>
  <c r="A144" i="27"/>
  <c r="A61" i="27" s="1"/>
  <c r="C121" i="27"/>
  <c r="C145" i="27" s="1"/>
  <c r="B121" i="27"/>
  <c r="B145" i="27" s="1"/>
  <c r="A121" i="27"/>
  <c r="A145" i="27" s="1"/>
  <c r="C100" i="27"/>
  <c r="C122" i="27" s="1"/>
  <c r="B100" i="27"/>
  <c r="B122" i="27" s="1"/>
  <c r="A100" i="27"/>
  <c r="A122" i="27" s="1"/>
  <c r="C75" i="27"/>
  <c r="C168" i="27" s="1"/>
  <c r="B75" i="27"/>
  <c r="B168" i="27" s="1"/>
  <c r="A75" i="27"/>
  <c r="A168" i="27" s="1"/>
  <c r="C49" i="27"/>
  <c r="C169" i="27" s="1"/>
  <c r="B49" i="27"/>
  <c r="B169" i="27" s="1"/>
  <c r="A49" i="27"/>
  <c r="A169" i="27" s="1"/>
  <c r="C26" i="27"/>
  <c r="C170" i="27" s="1"/>
  <c r="B26" i="27"/>
  <c r="B170" i="27" s="1"/>
  <c r="A26" i="27"/>
  <c r="A170" i="27" s="1"/>
  <c r="F9" i="27"/>
  <c r="F171" i="27" s="1"/>
  <c r="C9" i="27"/>
  <c r="C171" i="27" s="1"/>
  <c r="B9" i="27"/>
  <c r="B171" i="27" s="1"/>
  <c r="A9" i="27"/>
  <c r="A171" i="27" s="1"/>
  <c r="E137" i="25"/>
  <c r="B136" i="25"/>
  <c r="E136" i="25"/>
  <c r="E135" i="25"/>
  <c r="A135" i="25"/>
  <c r="C134" i="25"/>
  <c r="E134" i="25"/>
  <c r="C133" i="25"/>
  <c r="E133" i="25"/>
  <c r="C132" i="25"/>
  <c r="B132" i="25"/>
  <c r="A132" i="25"/>
  <c r="C102" i="25"/>
  <c r="B102" i="25"/>
  <c r="B133" i="25" s="1"/>
  <c r="A102" i="25"/>
  <c r="A133" i="25" s="1"/>
  <c r="C67" i="25"/>
  <c r="B67" i="25"/>
  <c r="B134" i="25" s="1"/>
  <c r="A67" i="25"/>
  <c r="A134" i="25" s="1"/>
  <c r="C36" i="25"/>
  <c r="C135" i="25" s="1"/>
  <c r="B36" i="25"/>
  <c r="B135" i="25" s="1"/>
  <c r="A36" i="25"/>
  <c r="F9" i="25"/>
  <c r="F136" i="25" s="1"/>
  <c r="C9" i="25"/>
  <c r="C136" i="25" s="1"/>
  <c r="B9" i="25"/>
  <c r="A9" i="25"/>
  <c r="A136" i="25" s="1"/>
  <c r="E99" i="24"/>
  <c r="A99" i="24"/>
  <c r="E98" i="24"/>
  <c r="B97" i="24"/>
  <c r="C97" i="24"/>
  <c r="E97" i="24"/>
  <c r="A97" i="24"/>
  <c r="C96" i="24"/>
  <c r="B96" i="24"/>
  <c r="A96" i="24"/>
  <c r="C70" i="24"/>
  <c r="B70" i="24"/>
  <c r="A70" i="24"/>
  <c r="C38" i="24"/>
  <c r="C98" i="24" s="1"/>
  <c r="B38" i="24"/>
  <c r="B98" i="24" s="1"/>
  <c r="A38" i="24"/>
  <c r="A98" i="24" s="1"/>
  <c r="F9" i="24"/>
  <c r="F99" i="24" s="1"/>
  <c r="C9" i="24"/>
  <c r="C99" i="24" s="1"/>
  <c r="B9" i="24"/>
  <c r="B99" i="24" s="1"/>
  <c r="A9" i="24"/>
  <c r="E110" i="23"/>
  <c r="E109" i="23"/>
  <c r="A109" i="23"/>
  <c r="E108" i="23"/>
  <c r="C107" i="23"/>
  <c r="B107" i="23"/>
  <c r="A107" i="23"/>
  <c r="C75" i="23"/>
  <c r="C108" i="23" s="1"/>
  <c r="B75" i="23"/>
  <c r="B108" i="23" s="1"/>
  <c r="A75" i="23"/>
  <c r="A108" i="23" s="1"/>
  <c r="C37" i="23"/>
  <c r="C109" i="23" s="1"/>
  <c r="B37" i="23"/>
  <c r="B109" i="23" s="1"/>
  <c r="A37" i="23"/>
  <c r="F9" i="23"/>
  <c r="F37" i="23" s="1"/>
  <c r="C9" i="23"/>
  <c r="C110" i="23" s="1"/>
  <c r="B9" i="23"/>
  <c r="B110" i="23" s="1"/>
  <c r="A9" i="23"/>
  <c r="A110" i="23" s="1"/>
  <c r="E121" i="22"/>
  <c r="E120" i="22"/>
  <c r="E119" i="22"/>
  <c r="B118" i="22"/>
  <c r="E118" i="22"/>
  <c r="E117" i="22"/>
  <c r="C116" i="22"/>
  <c r="B116" i="22"/>
  <c r="A116" i="22"/>
  <c r="C93" i="22"/>
  <c r="C117" i="22" s="1"/>
  <c r="B93" i="22"/>
  <c r="B117" i="22" s="1"/>
  <c r="A93" i="22"/>
  <c r="A117" i="22" s="1"/>
  <c r="C60" i="22"/>
  <c r="C118" i="22" s="1"/>
  <c r="B60" i="22"/>
  <c r="A60" i="22"/>
  <c r="A118" i="22" s="1"/>
  <c r="C42" i="22"/>
  <c r="C119" i="22" s="1"/>
  <c r="B42" i="22"/>
  <c r="B119" i="22" s="1"/>
  <c r="A42" i="22"/>
  <c r="A119" i="22" s="1"/>
  <c r="F44" i="29" l="1"/>
  <c r="F22" i="31" s="1"/>
  <c r="F53" i="30"/>
  <c r="F51" i="30"/>
  <c r="F23" i="31" s="1"/>
  <c r="F40" i="28"/>
  <c r="F21" i="31" s="1"/>
  <c r="F26" i="27"/>
  <c r="F49" i="27" s="1"/>
  <c r="F75" i="27" s="1"/>
  <c r="F36" i="25"/>
  <c r="F38" i="24"/>
  <c r="F75" i="23"/>
  <c r="F109" i="23"/>
  <c r="F110" i="23"/>
  <c r="F169" i="27" l="1"/>
  <c r="F170" i="27"/>
  <c r="F168" i="27"/>
  <c r="F100" i="27"/>
  <c r="F67" i="25"/>
  <c r="F135" i="25"/>
  <c r="F70" i="24"/>
  <c r="F98" i="24"/>
  <c r="F108" i="23"/>
  <c r="F107" i="23"/>
  <c r="F17" i="31" s="1"/>
  <c r="F9" i="22"/>
  <c r="C9" i="22"/>
  <c r="C120" i="22" s="1"/>
  <c r="B9" i="22"/>
  <c r="B120" i="22" s="1"/>
  <c r="A9" i="22"/>
  <c r="A120" i="22" s="1"/>
  <c r="E170" i="21"/>
  <c r="E169" i="21"/>
  <c r="E168" i="21"/>
  <c r="E167" i="21"/>
  <c r="E166" i="21"/>
  <c r="C165" i="21"/>
  <c r="B165" i="21"/>
  <c r="A165" i="21"/>
  <c r="C129" i="21"/>
  <c r="C166" i="21" s="1"/>
  <c r="B129" i="21"/>
  <c r="B166" i="21" s="1"/>
  <c r="A129" i="21"/>
  <c r="A166" i="21" s="1"/>
  <c r="C83" i="21"/>
  <c r="C167" i="21" s="1"/>
  <c r="B83" i="21"/>
  <c r="B167" i="21" s="1"/>
  <c r="A83" i="21"/>
  <c r="A167" i="21" s="1"/>
  <c r="C40" i="21"/>
  <c r="C168" i="21" s="1"/>
  <c r="B40" i="21"/>
  <c r="B168" i="21" s="1"/>
  <c r="A40" i="21"/>
  <c r="A168" i="21" s="1"/>
  <c r="F9" i="21"/>
  <c r="F40" i="21" s="1"/>
  <c r="C9" i="21"/>
  <c r="C169" i="21" s="1"/>
  <c r="B9" i="21"/>
  <c r="B169" i="21" s="1"/>
  <c r="A9" i="21"/>
  <c r="A169" i="21" s="1"/>
  <c r="E158" i="20"/>
  <c r="E157" i="20"/>
  <c r="C156" i="20"/>
  <c r="E156" i="20"/>
  <c r="E155" i="20"/>
  <c r="E154" i="20"/>
  <c r="C153" i="20"/>
  <c r="B153" i="20"/>
  <c r="A153" i="20"/>
  <c r="C119" i="20"/>
  <c r="C154" i="20" s="1"/>
  <c r="B119" i="20"/>
  <c r="B154" i="20" s="1"/>
  <c r="A119" i="20"/>
  <c r="A154" i="20" s="1"/>
  <c r="C77" i="20"/>
  <c r="C155" i="20" s="1"/>
  <c r="B77" i="20"/>
  <c r="B155" i="20" s="1"/>
  <c r="A77" i="20"/>
  <c r="A155" i="20" s="1"/>
  <c r="C41" i="20"/>
  <c r="B41" i="20"/>
  <c r="B156" i="20" s="1"/>
  <c r="A41" i="20"/>
  <c r="A156" i="20" s="1"/>
  <c r="F9" i="20"/>
  <c r="F41" i="20" s="1"/>
  <c r="C9" i="20"/>
  <c r="C157" i="20" s="1"/>
  <c r="B9" i="20"/>
  <c r="B157" i="20" s="1"/>
  <c r="A9" i="20"/>
  <c r="A157" i="20" s="1"/>
  <c r="E159" i="19"/>
  <c r="B158" i="19"/>
  <c r="E158" i="19"/>
  <c r="E157" i="19"/>
  <c r="E156" i="19"/>
  <c r="E155" i="19"/>
  <c r="C154" i="19"/>
  <c r="B154" i="19"/>
  <c r="A154" i="19"/>
  <c r="C134" i="19"/>
  <c r="C155" i="19" s="1"/>
  <c r="B134" i="19"/>
  <c r="B155" i="19" s="1"/>
  <c r="A134" i="19"/>
  <c r="A155" i="19" s="1"/>
  <c r="C96" i="19"/>
  <c r="C156" i="19" s="1"/>
  <c r="B96" i="19"/>
  <c r="B156" i="19" s="1"/>
  <c r="A96" i="19"/>
  <c r="A156" i="19" s="1"/>
  <c r="C75" i="19"/>
  <c r="C157" i="19" s="1"/>
  <c r="B75" i="19"/>
  <c r="B157" i="19" s="1"/>
  <c r="A75" i="19"/>
  <c r="A157" i="19" s="1"/>
  <c r="C37" i="19"/>
  <c r="C158" i="19" s="1"/>
  <c r="B37" i="19"/>
  <c r="A37" i="19"/>
  <c r="A158" i="19" s="1"/>
  <c r="F9" i="19"/>
  <c r="F159" i="19" s="1"/>
  <c r="C9" i="19"/>
  <c r="C159" i="19" s="1"/>
  <c r="B9" i="19"/>
  <c r="B159" i="19" s="1"/>
  <c r="A9" i="19"/>
  <c r="A159" i="19" s="1"/>
  <c r="E166" i="18"/>
  <c r="E165" i="18"/>
  <c r="E164" i="18"/>
  <c r="E163" i="18"/>
  <c r="A163" i="18"/>
  <c r="E162" i="18"/>
  <c r="C161" i="18"/>
  <c r="B161" i="18"/>
  <c r="A161" i="18"/>
  <c r="C132" i="18"/>
  <c r="C162" i="18" s="1"/>
  <c r="B132" i="18"/>
  <c r="B162" i="18" s="1"/>
  <c r="A132" i="18"/>
  <c r="A162" i="18" s="1"/>
  <c r="C97" i="18"/>
  <c r="C163" i="18" s="1"/>
  <c r="B97" i="18"/>
  <c r="B163" i="18" s="1"/>
  <c r="A97" i="18"/>
  <c r="C67" i="18"/>
  <c r="C164" i="18" s="1"/>
  <c r="B67" i="18"/>
  <c r="B164" i="18" s="1"/>
  <c r="A67" i="18"/>
  <c r="A164" i="18" s="1"/>
  <c r="C33" i="18"/>
  <c r="C165" i="18" s="1"/>
  <c r="B33" i="18"/>
  <c r="B165" i="18" s="1"/>
  <c r="A33" i="18"/>
  <c r="A165" i="18" s="1"/>
  <c r="F9" i="18"/>
  <c r="F166" i="18" s="1"/>
  <c r="C9" i="18"/>
  <c r="C166" i="18" s="1"/>
  <c r="B9" i="18"/>
  <c r="B166" i="18" s="1"/>
  <c r="A9" i="18"/>
  <c r="A166" i="18" s="1"/>
  <c r="E85" i="26"/>
  <c r="C84" i="26"/>
  <c r="E84" i="26"/>
  <c r="E83" i="26"/>
  <c r="C83" i="26"/>
  <c r="B83" i="26"/>
  <c r="A83" i="26"/>
  <c r="C40" i="26"/>
  <c r="B40" i="26"/>
  <c r="B84" i="26" s="1"/>
  <c r="A40" i="26"/>
  <c r="A84" i="26" s="1"/>
  <c r="F9" i="26"/>
  <c r="F85" i="26" s="1"/>
  <c r="C9" i="26"/>
  <c r="C170" i="21" s="1"/>
  <c r="B9" i="26"/>
  <c r="B170" i="21" s="1"/>
  <c r="A9" i="26"/>
  <c r="A158" i="20" s="1"/>
  <c r="F11" i="31"/>
  <c r="E11" i="31"/>
  <c r="C11" i="31"/>
  <c r="B11" i="31"/>
  <c r="A11" i="31"/>
  <c r="F33" i="18" l="1"/>
  <c r="F67" i="18" s="1"/>
  <c r="F97" i="18" s="1"/>
  <c r="F121" i="27"/>
  <c r="F122" i="27"/>
  <c r="F134" i="25"/>
  <c r="F102" i="25"/>
  <c r="F97" i="24"/>
  <c r="F96" i="24"/>
  <c r="F18" i="31" s="1"/>
  <c r="F120" i="22"/>
  <c r="F42" i="22"/>
  <c r="F168" i="21"/>
  <c r="F83" i="21"/>
  <c r="F169" i="21"/>
  <c r="F157" i="20"/>
  <c r="F156" i="20"/>
  <c r="F77" i="20"/>
  <c r="F37" i="19"/>
  <c r="F75" i="19" s="1"/>
  <c r="F96" i="19" s="1"/>
  <c r="C85" i="26"/>
  <c r="F40" i="26"/>
  <c r="F84" i="26" s="1"/>
  <c r="B158" i="20"/>
  <c r="B85" i="26"/>
  <c r="F121" i="22"/>
  <c r="F137" i="25"/>
  <c r="F170" i="21"/>
  <c r="A85" i="26"/>
  <c r="B100" i="24"/>
  <c r="B111" i="23"/>
  <c r="E111" i="23"/>
  <c r="E100" i="24"/>
  <c r="A100" i="24"/>
  <c r="A111" i="23"/>
  <c r="A121" i="22"/>
  <c r="A137" i="25"/>
  <c r="F158" i="20"/>
  <c r="C111" i="23"/>
  <c r="C100" i="24"/>
  <c r="B121" i="22"/>
  <c r="B137" i="25"/>
  <c r="C121" i="22"/>
  <c r="C137" i="25"/>
  <c r="C158" i="20"/>
  <c r="A170" i="21"/>
  <c r="F165" i="18" l="1"/>
  <c r="F164" i="18"/>
  <c r="F144" i="27"/>
  <c r="F61" i="27" s="1"/>
  <c r="F145" i="27"/>
  <c r="F133" i="25"/>
  <c r="F132" i="25"/>
  <c r="F19" i="31" s="1"/>
  <c r="F60" i="22"/>
  <c r="F119" i="22"/>
  <c r="F129" i="21"/>
  <c r="F167" i="21"/>
  <c r="F119" i="20"/>
  <c r="F155" i="20"/>
  <c r="F158" i="19"/>
  <c r="F157" i="19"/>
  <c r="F156" i="19"/>
  <c r="F134" i="19"/>
  <c r="F163" i="18"/>
  <c r="F132" i="18"/>
  <c r="F83" i="26"/>
  <c r="F111" i="23"/>
  <c r="F100" i="24"/>
  <c r="F167" i="27" l="1"/>
  <c r="F20" i="31" s="1"/>
  <c r="F93" i="22"/>
  <c r="F118" i="22"/>
  <c r="F166" i="21"/>
  <c r="F165" i="21"/>
  <c r="F15" i="31" s="1"/>
  <c r="F153" i="20"/>
  <c r="F14" i="31" s="1"/>
  <c r="F154" i="20"/>
  <c r="F155" i="19"/>
  <c r="F154" i="19"/>
  <c r="F13" i="31" s="1"/>
  <c r="F162" i="18"/>
  <c r="F161" i="18"/>
  <c r="F12" i="31" s="1"/>
  <c r="F117" i="22" l="1"/>
  <c r="F116" i="22"/>
  <c r="F16" i="31" s="1"/>
</calcChain>
</file>

<file path=xl/sharedStrings.xml><?xml version="1.0" encoding="utf-8"?>
<sst xmlns="http://schemas.openxmlformats.org/spreadsheetml/2006/main" count="7600" uniqueCount="279">
  <si>
    <t>Activity</t>
  </si>
  <si>
    <t>reference product</t>
  </si>
  <si>
    <t>location</t>
  </si>
  <si>
    <t>amount</t>
  </si>
  <si>
    <t>unit</t>
  </si>
  <si>
    <t>kilogram</t>
  </si>
  <si>
    <t>comment</t>
  </si>
  <si>
    <t>n/a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</si>
  <si>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</si>
  <si>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</si>
  <si>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</si>
  <si>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</si>
  <si>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</si>
  <si>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</si>
  <si>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</si>
  <si>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</si>
  <si>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</si>
  <si>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</si>
  <si>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</si>
  <si>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</si>
  <si>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market for diesel, burned in building machine</t>
  </si>
  <si>
    <t>diesel, burned in building machine</t>
  </si>
  <si>
    <t>GLO</t>
  </si>
  <si>
    <t>megajoule</t>
  </si>
  <si>
    <t>ecoinvent 3.10 cutoff</t>
  </si>
  <si>
    <t>technosphere</t>
  </si>
  <si>
    <t>market group for electricity, medium voltage</t>
  </si>
  <si>
    <t>electricity, medium voltage</t>
  </si>
  <si>
    <t>kilowatt hour</t>
  </si>
  <si>
    <t>RoW</t>
  </si>
  <si>
    <t>market for chemical, inorganic</t>
  </si>
  <si>
    <t>chemical, inorganic</t>
  </si>
  <si>
    <t>market for sodium hydroxide, without water, in 50% solution state</t>
  </si>
  <si>
    <t>sodium hydroxide, without water, in 50% solution state</t>
  </si>
  <si>
    <t>market for steel, low-alloyed</t>
  </si>
  <si>
    <t>steel, low-alloyed</t>
  </si>
  <si>
    <t>market for inert waste, for final disposal</t>
  </si>
  <si>
    <t>inert waste, for final disposal</t>
  </si>
  <si>
    <t>market for hazardous waste, for incineration</t>
  </si>
  <si>
    <t>hazardous waste, for incineration</t>
  </si>
  <si>
    <t>Occupation, mineral extraction site</t>
  </si>
  <si>
    <t>square meter-year</t>
  </si>
  <si>
    <t>biosphere3</t>
  </si>
  <si>
    <t>biosphere</t>
  </si>
  <si>
    <t>natural resource::land</t>
  </si>
  <si>
    <t>square meter</t>
  </si>
  <si>
    <t>Transformation, to mineral extraction site</t>
  </si>
  <si>
    <t>natural resource::in ground</t>
  </si>
  <si>
    <t>Water, unspecified natural origin</t>
  </si>
  <si>
    <t>cubic meter</t>
  </si>
  <si>
    <t>AU</t>
  </si>
  <si>
    <t>market for electricity, medium voltage</t>
  </si>
  <si>
    <t>market for non-sulfidic overburden, off-site</t>
  </si>
  <si>
    <t>non-sulfidic overburden, off-site</t>
  </si>
  <si>
    <t>CN</t>
  </si>
  <si>
    <t>market for light fuel oil</t>
  </si>
  <si>
    <t>light fuel oil</t>
  </si>
  <si>
    <t>market for natural gas, high pressure</t>
  </si>
  <si>
    <t>natural gas, high pressure</t>
  </si>
  <si>
    <t>market for hard coal</t>
  </si>
  <si>
    <t>hard coal</t>
  </si>
  <si>
    <t>(1,1,2,1,1)</t>
  </si>
  <si>
    <t>Sulfur dioxide</t>
  </si>
  <si>
    <t>air</t>
  </si>
  <si>
    <t>Particulate Matter, &gt; 2.5 um and &lt; 10um</t>
  </si>
  <si>
    <t>market for nitrogen, liquid</t>
  </si>
  <si>
    <t>nitrogen, liquid</t>
  </si>
  <si>
    <t>market for steam, in chemical industry</t>
  </si>
  <si>
    <t>steam, in chemical industry</t>
  </si>
  <si>
    <t>market for hazardous waste, for underground deposit</t>
  </si>
  <si>
    <t>hazardous waste, for underground deposit</t>
  </si>
  <si>
    <t>market for municipal solid waste</t>
  </si>
  <si>
    <t>municipal solid waste</t>
  </si>
  <si>
    <t>Nitrogen oxides</t>
  </si>
  <si>
    <t>market for pig iron</t>
  </si>
  <si>
    <t>pig iron</t>
  </si>
  <si>
    <t>scrap steel</t>
  </si>
  <si>
    <t>market for lime, packed</t>
  </si>
  <si>
    <t>lime, packed</t>
  </si>
  <si>
    <t>market for argon, liquid</t>
  </si>
  <si>
    <t>argon, liquid</t>
  </si>
  <si>
    <t>iron scrap, sorted, pressed</t>
  </si>
  <si>
    <t>(1,1,1,1,1)</t>
  </si>
  <si>
    <t>Carbon dioxide, fossil</t>
  </si>
  <si>
    <t>Carbon monoxide, fossil</t>
  </si>
  <si>
    <t>market for coke</t>
  </si>
  <si>
    <t>coke</t>
  </si>
  <si>
    <t>Methane, fossil</t>
  </si>
  <si>
    <t>Europe without Switzerland</t>
  </si>
  <si>
    <t>RER</t>
  </si>
  <si>
    <t>(2,1,3,1,2)</t>
  </si>
  <si>
    <t>VOC, volatile organic compounds</t>
  </si>
  <si>
    <t>Hydrochloric acid</t>
  </si>
  <si>
    <t>Hydrogen fluoride</t>
  </si>
  <si>
    <t>PAH, polycyclic aromatic hydrocarbons</t>
  </si>
  <si>
    <t>COD, Chemical Oxygen Demand</t>
  </si>
  <si>
    <t>water</t>
  </si>
  <si>
    <t>Suspended solids, unspecified</t>
  </si>
  <si>
    <t>Benzo(a)pyrene</t>
  </si>
  <si>
    <t>Particulate Matter, &lt; 2.5 um</t>
  </si>
  <si>
    <t>Hydrocarbons, unspecified</t>
  </si>
  <si>
    <t>Phosphate</t>
  </si>
  <si>
    <t>Sulfur oxides</t>
  </si>
  <si>
    <t>market for graphite</t>
  </si>
  <si>
    <t>graphite</t>
  </si>
  <si>
    <t>ton kilometer</t>
  </si>
  <si>
    <t>Fluoride</t>
  </si>
  <si>
    <t>Mercury II</t>
  </si>
  <si>
    <t>Bauxite</t>
  </si>
  <si>
    <t>South America</t>
  </si>
  <si>
    <t>market for heavy fuel oil</t>
  </si>
  <si>
    <t>heavy fuel oil</t>
  </si>
  <si>
    <t>(1,4,2,1,1)</t>
  </si>
  <si>
    <t>market for electricity, medium voltage, aluminium industry</t>
  </si>
  <si>
    <t>electricity, medium voltage, aluminium industry</t>
  </si>
  <si>
    <t>IAI Area, South America</t>
  </si>
  <si>
    <t>(1,5,2,1,1)</t>
  </si>
  <si>
    <t>Transformation, from forest, unspecified</t>
  </si>
  <si>
    <t>Water</t>
  </si>
  <si>
    <t>[P] Alumina production</t>
  </si>
  <si>
    <t>Alumina</t>
  </si>
  <si>
    <t>market for transport, freight, sea, container ship</t>
  </si>
  <si>
    <t>transport, freight, sea, container ship</t>
  </si>
  <si>
    <t>market for transport, freight, lorry &gt;32 metric ton, EURO5</t>
  </si>
  <si>
    <t>transport, freight, lorry &gt;32 metric ton, EURO5</t>
  </si>
  <si>
    <t>market for transport, freight train</t>
  </si>
  <si>
    <t>transport, freight train</t>
  </si>
  <si>
    <t>(1,2,2,1,1)</t>
  </si>
  <si>
    <t>market for hard coal briquettes</t>
  </si>
  <si>
    <t>hard coal briquettes</t>
  </si>
  <si>
    <t>market for redmud from bauxite digestion</t>
  </si>
  <si>
    <t>redmud from bauxite digestion</t>
  </si>
  <si>
    <t>Sulfur hexafluoride</t>
  </si>
  <si>
    <t>[P] Anode/Paste production</t>
  </si>
  <si>
    <t>Anode/Paste</t>
  </si>
  <si>
    <t>market for petroleum coke</t>
  </si>
  <si>
    <t>petroleum coke</t>
  </si>
  <si>
    <t>market for pitch</t>
  </si>
  <si>
    <t>pitch</t>
  </si>
  <si>
    <t>market for refractory, high aluminium oxide, packed</t>
  </si>
  <si>
    <t>refractory, high aluminium oxide, packed</t>
  </si>
  <si>
    <t>(1,3,2,1,1)</t>
  </si>
  <si>
    <t>market for refractory spent pot liner from Al electrolysis</t>
  </si>
  <si>
    <t>refractory spent pot liner from Al electrolysis</t>
  </si>
  <si>
    <t>treatment of scrap steel, inert material landfill</t>
  </si>
  <si>
    <t>market for spent pot liner from Al electrolysis, carbon fraction</t>
  </si>
  <si>
    <t>spent pot liner from Al electrolysis, carbon fraction</t>
  </si>
  <si>
    <t>[R] Electrolysis</t>
  </si>
  <si>
    <t>Liquid aluminium (Al)</t>
  </si>
  <si>
    <t>market for cathode, for aluminium electrolysis</t>
  </si>
  <si>
    <t>cathode, for aluminium electrolysis</t>
  </si>
  <si>
    <t>market for aluminium fluoride</t>
  </si>
  <si>
    <t>aluminium fluoride</t>
  </si>
  <si>
    <t>market for fly ash and scrubber sludge</t>
  </si>
  <si>
    <t>fly ash and scrubber sludge</t>
  </si>
  <si>
    <t>Tetrafluoromethane</t>
  </si>
  <si>
    <t>Hexafluoroethane</t>
  </si>
  <si>
    <t>[R] Casting</t>
  </si>
  <si>
    <t>Al ingot</t>
  </si>
  <si>
    <t>market for chlorine, gaseous</t>
  </si>
  <si>
    <t>chlorine, gaseous</t>
  </si>
  <si>
    <t>market for electricity, medium voltage, renewable energy products</t>
  </si>
  <si>
    <t>electricity, medium voltage, renewable energy products</t>
  </si>
  <si>
    <t>CH</t>
  </si>
  <si>
    <t>market for dross from Al electrolysis</t>
  </si>
  <si>
    <t>dross from Al electrolysis</t>
  </si>
  <si>
    <t>Bauxite mining and Al ingot production in South America</t>
  </si>
  <si>
    <t>Oceania</t>
  </si>
  <si>
    <t>Water, salt, ocean</t>
  </si>
  <si>
    <t>natural resource::in water</t>
  </si>
  <si>
    <t>water::in ground</t>
  </si>
  <si>
    <t>water::ocean</t>
  </si>
  <si>
    <t>Bauxite mining and Al ingot production in Oceania</t>
  </si>
  <si>
    <t>North America</t>
  </si>
  <si>
    <t>RNA</t>
  </si>
  <si>
    <t>treatment of refractory spent pot liner from Al electrolysis, residual material landfill</t>
  </si>
  <si>
    <t>market for filter dust from Al electrolysis</t>
  </si>
  <si>
    <t>filter dust from Al electrolysis</t>
  </si>
  <si>
    <t>Dioxins, measured as 2,3,7,8-tetrachlorodibenzo-p-dioxin</t>
  </si>
  <si>
    <t>Al ingot production in North America</t>
  </si>
  <si>
    <t>Europe</t>
  </si>
  <si>
    <t>market group for natural gas, high pressure</t>
  </si>
  <si>
    <t>Transformation, from pasture, man made</t>
  </si>
  <si>
    <t>market for transport, freight, lorry &gt;32 metric ton, EURO6</t>
  </si>
  <si>
    <t>transport, freight, lorry &gt;32 metric ton, EURO6</t>
  </si>
  <si>
    <t>market for inert waste</t>
  </si>
  <si>
    <t>inert waste</t>
  </si>
  <si>
    <t>market for chlorine, liquid</t>
  </si>
  <si>
    <t>chlorine, liquid</t>
  </si>
  <si>
    <t>Al ingot production in Europe</t>
  </si>
  <si>
    <t>Russia and Rest-of-Europe</t>
  </si>
  <si>
    <t>RoE</t>
  </si>
  <si>
    <t>Al ingot production in Russia and rest-of-Europe</t>
  </si>
  <si>
    <t>Gulf Cooperation Council (GCC) countries</t>
  </si>
  <si>
    <t>IAI Area, Gulf Cooperation Council</t>
  </si>
  <si>
    <t>Al ingot production in Gulf Cooperation Council (GCC) countries</t>
  </si>
  <si>
    <t>Africa</t>
  </si>
  <si>
    <t>IAI Area, Africa</t>
  </si>
  <si>
    <t>Al ingot production in Africa</t>
  </si>
  <si>
    <t>Rest-of-Asia</t>
  </si>
  <si>
    <t>RAS</t>
  </si>
  <si>
    <t>Al ingot production in rest-of-Asia</t>
  </si>
  <si>
    <t>[P] Alumina production - Global</t>
  </si>
  <si>
    <t>market for soda ash, dense</t>
  </si>
  <si>
    <t>soda ash, dense</t>
  </si>
  <si>
    <t>market for calcium carbide, technical grade</t>
  </si>
  <si>
    <t>calcium carbide, technical grade</t>
  </si>
  <si>
    <t>(1,5,5,1,1)</t>
  </si>
  <si>
    <t>market for cryolite</t>
  </si>
  <si>
    <t>cryolite</t>
  </si>
  <si>
    <t>market for magnesium sulfate</t>
  </si>
  <si>
    <t>magnesium sulfate</t>
  </si>
  <si>
    <t>market for calcium chloride</t>
  </si>
  <si>
    <t>calcium chloride</t>
  </si>
  <si>
    <t>market for asbestos, chrysotile type</t>
  </si>
  <si>
    <t>asbestos, chrysotile type</t>
  </si>
  <si>
    <t>market for kerosene</t>
  </si>
  <si>
    <t>kerosene</t>
  </si>
  <si>
    <t>market for packaging film, low density polyethylene</t>
  </si>
  <si>
    <t>packaging film, low density polyethylene</t>
  </si>
  <si>
    <t>Aluminium III</t>
  </si>
  <si>
    <t>Calcining</t>
  </si>
  <si>
    <t>Calcined coke</t>
  </si>
  <si>
    <t>(2,5,3,1,1)</t>
  </si>
  <si>
    <t>Roasting</t>
  </si>
  <si>
    <t>Green-pressing</t>
  </si>
  <si>
    <t>market for mastic asphalt</t>
  </si>
  <si>
    <t>mastic asphalt</t>
  </si>
  <si>
    <t>Anode fabrication</t>
  </si>
  <si>
    <t>Carbon anode</t>
  </si>
  <si>
    <t>Bauxite mining and Al ingot production in China</t>
  </si>
  <si>
    <t>Aluminium (Al) scraps</t>
  </si>
  <si>
    <t>Al scraps</t>
  </si>
  <si>
    <t>Empty activity representing the Al scraps input in the recycling process (following the "cut-off" modelling approach)</t>
  </si>
  <si>
    <t>[P+R] Al scraps recycling</t>
  </si>
  <si>
    <t>(2,5,5,5,4)</t>
  </si>
  <si>
    <t>market for petroleum</t>
  </si>
  <si>
    <t>petroleum</t>
  </si>
  <si>
    <t>Chlorine</t>
  </si>
  <si>
    <t>Al production in China through Al scraps recycling</t>
  </si>
  <si>
    <t>[P+R] Aluminium (Al) scraps recycling</t>
  </si>
  <si>
    <t>Coal, hard</t>
  </si>
  <si>
    <t>Energy, potential (in hydropower reservoir), converted</t>
  </si>
  <si>
    <t>Energy, kinetic (in wind), converted</t>
  </si>
  <si>
    <t>natural resource::in air</t>
  </si>
  <si>
    <t>Aluminium</t>
  </si>
  <si>
    <t>Fluorine</t>
  </si>
  <si>
    <t>Nitric oxide</t>
  </si>
  <si>
    <t>NMVOC, non-methane volatile organic compounds</t>
  </si>
  <si>
    <t>BOD5, Biological Oxygen Demand</t>
  </si>
  <si>
    <t>Ammonia</t>
  </si>
  <si>
    <t>Al production in North America through Al scraps recycling</t>
  </si>
  <si>
    <t>(1.0,2.0,3.0,1.0,1.0)</t>
  </si>
  <si>
    <t>treatment of inert waste, inert material landfill</t>
  </si>
  <si>
    <t>treatment of metal scrap, mixed, for recycling, unsorted, sorting</t>
  </si>
  <si>
    <t>Water, cooling, unspecified natural origin</t>
  </si>
  <si>
    <t>Al production in Europe through Al scraps recycling</t>
  </si>
  <si>
    <t>Aluminium (Al) global market</t>
  </si>
  <si>
    <t>[M+C] Bauxite mining - Global</t>
  </si>
  <si>
    <t>Global alumina production</t>
  </si>
  <si>
    <t>[M+C] Bauxite mining</t>
  </si>
  <si>
    <t>skip</t>
  </si>
  <si>
    <t>Sheet</t>
  </si>
  <si>
    <t>Corresponding route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</si>
  <si>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Aluminium (Al)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</si>
  <si>
    <t>Al global market</t>
  </si>
  <si>
    <t>Al_Market_GLO</t>
  </si>
  <si>
    <t>PR1_Al_SAM</t>
  </si>
  <si>
    <t>PR2_Al_OCA</t>
  </si>
  <si>
    <t>PR3_Al_NAM</t>
  </si>
  <si>
    <t>PR4_Al_EUR</t>
  </si>
  <si>
    <t>PR5_Al_ROE</t>
  </si>
  <si>
    <t>PR6_Al_GCC</t>
  </si>
  <si>
    <t>PR7_Al_AFR</t>
  </si>
  <si>
    <t>PR8_Al_OAS</t>
  </si>
  <si>
    <t>PR9_Al_CN</t>
  </si>
  <si>
    <t>PR10_Al_CN_Recycling</t>
  </si>
  <si>
    <t>PR11_Al_NAM_Recycling</t>
  </si>
  <si>
    <t>PR12_Al_EUR_Recycling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</si>
</sst>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left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4" xfId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6" xfId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0" xfId="1" applyBorder="1" applyAlignment="1">
      <alignment horizontal="left" vertical="center"/>
    </xf>
    <xf numFmtId="0" fontId="0" fillId="0" borderId="0" xfId="0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51"/>
  <sheetViews>
    <sheetView showGridLines="0" tabSelected="1" topLeftCell="A21" workbookViewId="0">
      <selection activeCell="G50" sqref="G50"/>
    </sheetView>
  </sheetViews>
  <sheetFormatPr baseColWidth="10" defaultRowHeight="15" x14ac:dyDescent="0.25"/>
  <cols>
    <col min="1" max="1" width="1.85546875" customWidth="1"/>
    <col min="2" max="2" width="31.85546875" bestFit="1" customWidth="1"/>
  </cols>
  <sheetData>
    <row r="1" spans="1:17" ht="15.75" thickBot="1" x14ac:dyDescent="0.3">
      <c r="A1" t="s">
        <v>261</v>
      </c>
    </row>
    <row r="2" spans="1:17" ht="15" customHeight="1" x14ac:dyDescent="0.25">
      <c r="B2" s="16" t="s">
        <v>264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 x14ac:dyDescent="0.25"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1"/>
    </row>
    <row r="4" spans="1:17" x14ac:dyDescent="0.25"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</row>
    <row r="5" spans="1:17" x14ac:dyDescent="0.25"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1"/>
    </row>
    <row r="6" spans="1:17" x14ac:dyDescent="0.25"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1"/>
    </row>
    <row r="7" spans="1:17" x14ac:dyDescent="0.25"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1"/>
    </row>
    <row r="8" spans="1:17" x14ac:dyDescent="0.25"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1"/>
    </row>
    <row r="9" spans="1:17" x14ac:dyDescent="0.25"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1"/>
    </row>
    <row r="10" spans="1:17" x14ac:dyDescent="0.25"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1"/>
    </row>
    <row r="11" spans="1:17" x14ac:dyDescent="0.2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1"/>
    </row>
    <row r="12" spans="1:17" x14ac:dyDescent="0.25"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1"/>
    </row>
    <row r="13" spans="1:17" x14ac:dyDescent="0.25"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1"/>
    </row>
    <row r="14" spans="1:17" x14ac:dyDescent="0.25"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1"/>
    </row>
    <row r="15" spans="1:17" x14ac:dyDescent="0.25"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1"/>
    </row>
    <row r="16" spans="1:17" x14ac:dyDescent="0.25"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1"/>
    </row>
    <row r="17" spans="2:17" x14ac:dyDescent="0.25"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1"/>
    </row>
    <row r="18" spans="2:17" x14ac:dyDescent="0.25"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1"/>
    </row>
    <row r="19" spans="2:17" x14ac:dyDescent="0.25">
      <c r="B19" s="19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1"/>
    </row>
    <row r="20" spans="2:17" x14ac:dyDescent="0.25"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1"/>
    </row>
    <row r="21" spans="2:17" x14ac:dyDescent="0.25"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1"/>
    </row>
    <row r="22" spans="2:17" x14ac:dyDescent="0.25">
      <c r="B22" s="19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1"/>
    </row>
    <row r="23" spans="2:17" x14ac:dyDescent="0.25"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1"/>
    </row>
    <row r="24" spans="2:17" ht="15" customHeight="1" x14ac:dyDescent="0.25">
      <c r="B24" s="19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1"/>
    </row>
    <row r="25" spans="2:17" x14ac:dyDescent="0.25">
      <c r="B25" s="19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1"/>
    </row>
    <row r="26" spans="2:17" x14ac:dyDescent="0.25">
      <c r="B26" s="19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1"/>
    </row>
    <row r="27" spans="2:17" x14ac:dyDescent="0.25"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1"/>
    </row>
    <row r="28" spans="2:17" x14ac:dyDescent="0.25"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1"/>
    </row>
    <row r="29" spans="2:17" x14ac:dyDescent="0.25">
      <c r="B29" s="19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1"/>
    </row>
    <row r="30" spans="2:17" x14ac:dyDescent="0.25">
      <c r="B30" s="19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1"/>
    </row>
    <row r="31" spans="2:17" ht="15.75" thickBot="1" x14ac:dyDescent="0.3">
      <c r="B31" s="22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4"/>
    </row>
    <row r="32" spans="2:17" ht="15.75" thickBot="1" x14ac:dyDescent="0.3"/>
    <row r="33" spans="2:10" x14ac:dyDescent="0.25">
      <c r="B33" s="25" t="s">
        <v>262</v>
      </c>
      <c r="C33" s="26" t="s">
        <v>263</v>
      </c>
      <c r="D33" s="27"/>
      <c r="E33" s="27"/>
      <c r="F33" s="27"/>
      <c r="G33" s="27"/>
      <c r="H33" s="28"/>
      <c r="I33" s="37"/>
      <c r="J33" s="37"/>
    </row>
    <row r="34" spans="2:10" x14ac:dyDescent="0.25">
      <c r="B34" s="29" t="s">
        <v>266</v>
      </c>
      <c r="C34" s="11" t="s">
        <v>265</v>
      </c>
      <c r="D34" s="37"/>
      <c r="E34" s="37"/>
      <c r="F34" s="37"/>
      <c r="G34" s="37"/>
      <c r="H34" s="31"/>
      <c r="I34" s="37"/>
      <c r="J34" s="37"/>
    </row>
    <row r="35" spans="2:10" x14ac:dyDescent="0.25">
      <c r="B35" s="29" t="s">
        <v>267</v>
      </c>
      <c r="C35" s="11" t="s">
        <v>166</v>
      </c>
      <c r="D35" s="37"/>
      <c r="E35" s="37"/>
      <c r="F35" s="37"/>
      <c r="G35" s="37"/>
      <c r="H35" s="31"/>
      <c r="I35" s="37"/>
      <c r="J35" s="37"/>
    </row>
    <row r="36" spans="2:10" x14ac:dyDescent="0.25">
      <c r="B36" s="29" t="s">
        <v>268</v>
      </c>
      <c r="C36" s="11" t="s">
        <v>172</v>
      </c>
      <c r="D36" s="37"/>
      <c r="E36" s="37"/>
      <c r="F36" s="37"/>
      <c r="G36" s="37"/>
      <c r="H36" s="31"/>
      <c r="I36" s="37"/>
      <c r="J36" s="37"/>
    </row>
    <row r="37" spans="2:10" x14ac:dyDescent="0.25">
      <c r="B37" s="29" t="s">
        <v>269</v>
      </c>
      <c r="C37" s="11" t="s">
        <v>179</v>
      </c>
      <c r="D37" s="37"/>
      <c r="E37" s="37"/>
      <c r="F37" s="37"/>
      <c r="G37" s="37"/>
      <c r="H37" s="31"/>
      <c r="I37" s="37"/>
      <c r="J37" s="37"/>
    </row>
    <row r="38" spans="2:10" x14ac:dyDescent="0.25">
      <c r="B38" s="29" t="s">
        <v>270</v>
      </c>
      <c r="C38" s="11" t="s">
        <v>189</v>
      </c>
      <c r="D38" s="37"/>
      <c r="E38" s="37"/>
      <c r="F38" s="37"/>
      <c r="G38" s="37"/>
      <c r="H38" s="31"/>
      <c r="I38" s="37"/>
      <c r="J38" s="37"/>
    </row>
    <row r="39" spans="2:10" x14ac:dyDescent="0.25">
      <c r="B39" s="29" t="s">
        <v>271</v>
      </c>
      <c r="C39" s="11" t="s">
        <v>192</v>
      </c>
      <c r="D39" s="37"/>
      <c r="E39" s="37"/>
      <c r="F39" s="37"/>
      <c r="G39" s="37"/>
      <c r="H39" s="31"/>
      <c r="I39" s="37"/>
      <c r="J39" s="37"/>
    </row>
    <row r="40" spans="2:10" x14ac:dyDescent="0.25">
      <c r="B40" s="29" t="s">
        <v>272</v>
      </c>
      <c r="C40" s="11" t="s">
        <v>195</v>
      </c>
      <c r="D40" s="37"/>
      <c r="E40" s="37"/>
      <c r="F40" s="37"/>
      <c r="G40" s="37"/>
      <c r="H40" s="31"/>
      <c r="I40" s="37"/>
      <c r="J40" s="37"/>
    </row>
    <row r="41" spans="2:10" x14ac:dyDescent="0.25">
      <c r="B41" s="29" t="s">
        <v>273</v>
      </c>
      <c r="C41" s="11" t="s">
        <v>198</v>
      </c>
      <c r="D41" s="37"/>
      <c r="E41" s="37"/>
      <c r="F41" s="37"/>
      <c r="G41" s="37"/>
      <c r="H41" s="31"/>
      <c r="I41" s="37"/>
      <c r="J41" s="37"/>
    </row>
    <row r="42" spans="2:10" x14ac:dyDescent="0.25">
      <c r="B42" s="29" t="s">
        <v>274</v>
      </c>
      <c r="C42" s="11" t="s">
        <v>201</v>
      </c>
      <c r="D42" s="37"/>
      <c r="E42" s="37"/>
      <c r="F42" s="37"/>
      <c r="G42" s="37"/>
      <c r="H42" s="31"/>
      <c r="I42" s="37"/>
      <c r="J42" s="37"/>
    </row>
    <row r="43" spans="2:10" x14ac:dyDescent="0.25">
      <c r="B43" s="29" t="s">
        <v>275</v>
      </c>
      <c r="C43" s="11" t="s">
        <v>230</v>
      </c>
      <c r="D43" s="37"/>
      <c r="E43" s="37"/>
      <c r="F43" s="37"/>
      <c r="G43" s="37"/>
      <c r="H43" s="31"/>
      <c r="I43" s="37"/>
      <c r="J43" s="37"/>
    </row>
    <row r="44" spans="2:10" x14ac:dyDescent="0.25">
      <c r="B44" s="29" t="s">
        <v>276</v>
      </c>
      <c r="C44" s="11" t="s">
        <v>239</v>
      </c>
      <c r="D44" s="37"/>
      <c r="E44" s="37"/>
      <c r="F44" s="37"/>
      <c r="G44" s="37"/>
      <c r="H44" s="31"/>
      <c r="I44" s="37"/>
      <c r="J44" s="37"/>
    </row>
    <row r="45" spans="2:10" x14ac:dyDescent="0.25">
      <c r="B45" s="29" t="s">
        <v>277</v>
      </c>
      <c r="C45" s="11" t="s">
        <v>251</v>
      </c>
      <c r="D45" s="37"/>
      <c r="E45" s="37"/>
      <c r="F45" s="37"/>
      <c r="G45" s="37"/>
      <c r="H45" s="31"/>
      <c r="I45" s="37"/>
      <c r="J45" s="37"/>
    </row>
    <row r="46" spans="2:10" ht="15.75" thickBot="1" x14ac:dyDescent="0.3">
      <c r="B46" s="32" t="s">
        <v>278</v>
      </c>
      <c r="C46" s="33" t="s">
        <v>256</v>
      </c>
      <c r="D46" s="34"/>
      <c r="E46" s="34"/>
      <c r="F46" s="34"/>
      <c r="G46" s="34"/>
      <c r="H46" s="35"/>
      <c r="I46" s="37"/>
      <c r="J46" s="37"/>
    </row>
    <row r="47" spans="2:10" x14ac:dyDescent="0.25">
      <c r="B47" s="36"/>
      <c r="C47" s="11"/>
      <c r="D47" s="37"/>
      <c r="E47" s="37"/>
      <c r="F47" s="37"/>
      <c r="G47" s="37"/>
      <c r="H47" s="37"/>
      <c r="I47" s="37"/>
      <c r="J47" s="37"/>
    </row>
    <row r="48" spans="2:10" x14ac:dyDescent="0.25">
      <c r="B48" s="36"/>
      <c r="C48" s="4"/>
      <c r="D48" s="30"/>
      <c r="E48" s="30"/>
      <c r="F48" s="30"/>
      <c r="G48" s="30"/>
      <c r="H48" s="30"/>
      <c r="I48" s="30"/>
      <c r="J48" s="30"/>
    </row>
    <row r="49" spans="2:10" x14ac:dyDescent="0.25">
      <c r="B49" s="36"/>
      <c r="C49" s="4"/>
      <c r="D49" s="30"/>
      <c r="E49" s="30"/>
      <c r="F49" s="30"/>
      <c r="G49" s="30"/>
      <c r="H49" s="30"/>
      <c r="I49" s="30"/>
      <c r="J49" s="30"/>
    </row>
    <row r="50" spans="2:10" x14ac:dyDescent="0.25">
      <c r="B50" s="36"/>
      <c r="C50" s="4"/>
      <c r="D50" s="30"/>
      <c r="E50" s="30"/>
      <c r="F50" s="30"/>
      <c r="G50" s="30"/>
      <c r="H50" s="30"/>
      <c r="I50" s="30"/>
      <c r="J50" s="30"/>
    </row>
    <row r="51" spans="2:10" x14ac:dyDescent="0.25">
      <c r="B51" s="36"/>
      <c r="C51" s="4"/>
      <c r="D51" s="30"/>
      <c r="E51" s="30"/>
      <c r="F51" s="30"/>
      <c r="G51" s="30"/>
      <c r="H51" s="30"/>
      <c r="I51" s="30"/>
      <c r="J51" s="30"/>
    </row>
  </sheetData>
  <mergeCells count="1">
    <mergeCell ref="B2:Q31"/>
  </mergeCells>
  <hyperlinks>
    <hyperlink ref="B34" location="Al_Market_GLO!A1" display="Al_Market_GLO" xr:uid="{C2641D10-A0BE-4996-B51D-2E2EDEDAEA22}"/>
    <hyperlink ref="B35" location="PR1_Al_SAM!A1" display="PR1_Al_SAM" xr:uid="{83F36E57-2527-453D-8272-2BEB85F9C921}"/>
    <hyperlink ref="B36" location="PR2_Al_OCA!A1" display="PR2_Al_OCA" xr:uid="{429D9443-060C-44D9-83A2-D313067B93A4}"/>
    <hyperlink ref="B37" location="PR3_Al_NAM!A1" display="PR3_Al_NAM" xr:uid="{36B31AFD-6A21-49A4-A854-52275F1439F5}"/>
    <hyperlink ref="B38" location="PR4_Al_EUR!A1" display="PR4_Al_EUR" xr:uid="{DE297B6E-3D10-42C7-A779-5579C485E177}"/>
    <hyperlink ref="B39" location="PR5_Al_ROE!A1" display="PR5_Al_ROE" xr:uid="{98FC522E-9642-409A-82CB-F79C6FC98182}"/>
    <hyperlink ref="B40" location="PR6_Al_GCC!A1" display="PR6_Al_GCC" xr:uid="{BE0E3779-99C8-4979-BBFB-8D07288FB9FA}"/>
    <hyperlink ref="B41" location="PR7_Al_AFR!A1" display="PR7_Al_AFR" xr:uid="{480DF4CF-F7CD-45F5-A99F-9172F3762ED7}"/>
    <hyperlink ref="B42" location="PR8_Al_OAS!A1" display="PR8_Al_OAS" xr:uid="{59FF21A2-776D-4F30-8F7D-A621F4742511}"/>
    <hyperlink ref="B43" location="PR9_Al_CN!A1" display="PR9_Al_CN" xr:uid="{5259B124-42D6-4E34-8057-0F41F163CE48}"/>
    <hyperlink ref="B44" location="PR10_Al_CN_Recycling!A1" display="PR10_Al_CN_Recycling" xr:uid="{EDE5A533-6B66-4415-A29D-719BF677846C}"/>
    <hyperlink ref="B45" location="PR11_Al_NAM_Recycling!A1" display="PR11_Al_NAM_Recycling" xr:uid="{FDABCFB0-8AEA-4D82-9C00-07EAFF2A0566}"/>
    <hyperlink ref="B46" location="PR12_Al_EUR_Recycling!A1" display="PR12_Al_EUR_Recycling" xr:uid="{B4EA8BA6-78AC-4061-9E93-93247985AD1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CF3D1-2FF5-4C88-AE83-0B2E3483FD4C}">
  <sheetPr>
    <tabColor theme="8" tint="0.39997558519241921"/>
  </sheetPr>
  <dimension ref="A1:N23"/>
  <sheetViews>
    <sheetView workbookViewId="0">
      <selection activeCell="A12" sqref="A12:A23"/>
    </sheetView>
  </sheetViews>
  <sheetFormatPr baseColWidth="10" defaultRowHeight="15" x14ac:dyDescent="0.25"/>
  <cols>
    <col min="1" max="1" width="58.140625" bestFit="1" customWidth="1"/>
    <col min="2" max="2" width="27.5703125" bestFit="1" customWidth="1"/>
    <col min="3" max="3" width="38" bestFit="1" customWidth="1"/>
    <col min="4" max="4" width="7.85546875" bestFit="1" customWidth="1"/>
    <col min="5" max="5" width="8.7109375" bestFit="1" customWidth="1"/>
    <col min="6" max="6" width="10.85546875" bestFit="1" customWidth="1"/>
    <col min="7" max="7" width="13.28515625" bestFit="1" customWidth="1"/>
    <col min="8" max="8" width="10.140625" bestFit="1" customWidth="1"/>
    <col min="9" max="9" width="15.5703125" bestFit="1" customWidth="1"/>
    <col min="10" max="10" width="9" bestFit="1" customWidth="1"/>
    <col min="11" max="11" width="3.5703125" bestFit="1" customWidth="1"/>
    <col min="12" max="12" width="5.42578125" bestFit="1" customWidth="1"/>
    <col min="13" max="13" width="9.5703125" bestFit="1" customWidth="1"/>
    <col min="14" max="14" width="9.85546875" bestFit="1" customWidth="1"/>
  </cols>
  <sheetData>
    <row r="1" spans="1:14" x14ac:dyDescent="0.25">
      <c r="A1" t="s">
        <v>10</v>
      </c>
      <c r="B1" s="1" t="s">
        <v>245</v>
      </c>
    </row>
    <row r="2" spans="1:14" s="2" customFormat="1" x14ac:dyDescent="0.25"/>
    <row r="3" spans="1:14" s="4" customFormat="1" x14ac:dyDescent="0.25">
      <c r="A3" s="3" t="s">
        <v>0</v>
      </c>
      <c r="B3" s="3" t="s">
        <v>257</v>
      </c>
    </row>
    <row r="4" spans="1:14" s="4" customFormat="1" x14ac:dyDescent="0.25">
      <c r="A4" s="5" t="s">
        <v>1</v>
      </c>
      <c r="B4" s="4" t="s">
        <v>158</v>
      </c>
    </row>
    <row r="5" spans="1:14" s="4" customFormat="1" x14ac:dyDescent="0.25">
      <c r="A5" s="5" t="s">
        <v>2</v>
      </c>
      <c r="B5" s="4" t="s">
        <v>22</v>
      </c>
    </row>
    <row r="6" spans="1:14" s="4" customFormat="1" x14ac:dyDescent="0.25">
      <c r="A6" s="5" t="s">
        <v>3</v>
      </c>
      <c r="B6" s="4">
        <v>1</v>
      </c>
    </row>
    <row r="7" spans="1:14" s="4" customFormat="1" x14ac:dyDescent="0.25">
      <c r="A7" s="5" t="s">
        <v>4</v>
      </c>
      <c r="B7" s="4" t="s">
        <v>5</v>
      </c>
    </row>
    <row r="8" spans="1:14" s="4" customFormat="1" x14ac:dyDescent="0.25">
      <c r="A8" s="5" t="s">
        <v>6</v>
      </c>
      <c r="B8" s="4" t="s">
        <v>7</v>
      </c>
    </row>
    <row r="9" spans="1:14" s="4" customFormat="1" x14ac:dyDescent="0.25">
      <c r="A9" s="5" t="s">
        <v>8</v>
      </c>
    </row>
    <row r="10" spans="1:14" s="4" customFormat="1" x14ac:dyDescent="0.25">
      <c r="A10" s="3" t="s">
        <v>9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10</v>
      </c>
      <c r="G10" s="3" t="s">
        <v>11</v>
      </c>
      <c r="H10" s="3" t="s">
        <v>12</v>
      </c>
      <c r="I10" s="3" t="s">
        <v>13</v>
      </c>
      <c r="J10" s="3" t="s">
        <v>14</v>
      </c>
      <c r="K10" s="3" t="s">
        <v>15</v>
      </c>
      <c r="L10" s="3" t="s">
        <v>16</v>
      </c>
      <c r="M10" s="3" t="s">
        <v>17</v>
      </c>
      <c r="N10" s="3" t="s">
        <v>18</v>
      </c>
    </row>
    <row r="11" spans="1:14" s="4" customFormat="1" x14ac:dyDescent="0.25">
      <c r="A11" s="4" t="str">
        <f>B3</f>
        <v>Aluminium (Al) global market</v>
      </c>
      <c r="B11" s="4" t="str">
        <f>B4</f>
        <v>Al ingot</v>
      </c>
      <c r="C11" s="4" t="str">
        <f>B5</f>
        <v>GLO</v>
      </c>
      <c r="D11" s="4">
        <v>1</v>
      </c>
      <c r="E11" s="4" t="str">
        <f>B7</f>
        <v>kilogram</v>
      </c>
      <c r="F11" s="6" t="str">
        <f>B1</f>
        <v>Aluminium</v>
      </c>
      <c r="G11" s="4" t="s">
        <v>19</v>
      </c>
    </row>
    <row r="12" spans="1:14" s="4" customFormat="1" x14ac:dyDescent="0.25">
      <c r="A12" s="4" t="str">
        <f>PR1_Al_SAM!A161</f>
        <v>Bauxite mining and Al ingot production in South America</v>
      </c>
      <c r="B12" s="4" t="str">
        <f>PR1_Al_SAM!B161</f>
        <v>Al ingot</v>
      </c>
      <c r="C12" s="4" t="str">
        <f>PR1_Al_SAM!C161</f>
        <v>South America</v>
      </c>
      <c r="D12" s="4">
        <v>1.5211462145983732E-2</v>
      </c>
      <c r="E12" s="4" t="str">
        <f>PR1_Al_SAM!E161</f>
        <v>kilogram</v>
      </c>
      <c r="F12" s="6" t="str">
        <f>PR1_Al_SAM!F161</f>
        <v>Aluminium</v>
      </c>
      <c r="G12" s="4" t="s">
        <v>25</v>
      </c>
    </row>
    <row r="13" spans="1:14" s="4" customFormat="1" x14ac:dyDescent="0.25">
      <c r="A13" s="4" t="str">
        <f>PR2_Al_OCA!A154</f>
        <v>Bauxite mining and Al ingot production in Oceania</v>
      </c>
      <c r="B13" s="4" t="str">
        <f>PR2_Al_OCA!B154</f>
        <v>Al ingot</v>
      </c>
      <c r="C13" s="4" t="str">
        <f>PR2_Al_OCA!C154</f>
        <v>Oceania</v>
      </c>
      <c r="D13" s="4">
        <v>2.669993629642076E-2</v>
      </c>
      <c r="E13" s="4" t="str">
        <f>PR2_Al_OCA!E154</f>
        <v>kilogram</v>
      </c>
      <c r="F13" s="6" t="str">
        <f>PR2_Al_OCA!F154</f>
        <v>Aluminium</v>
      </c>
      <c r="G13" s="4" t="s">
        <v>25</v>
      </c>
    </row>
    <row r="14" spans="1:14" s="4" customFormat="1" x14ac:dyDescent="0.25">
      <c r="A14" s="4" t="str">
        <f>PR3_Al_NAM!A153</f>
        <v>Al ingot production in North America</v>
      </c>
      <c r="B14" s="4" t="str">
        <f>PR3_Al_NAM!B153</f>
        <v>Al ingot</v>
      </c>
      <c r="C14" s="4" t="str">
        <f>PR3_Al_NAM!C153</f>
        <v>North America</v>
      </c>
      <c r="D14" s="4">
        <v>5.4886289441809802E-2</v>
      </c>
      <c r="E14" s="4" t="str">
        <f>PR3_Al_NAM!E153</f>
        <v>kilogram</v>
      </c>
      <c r="F14" s="6" t="str">
        <f>PR3_Al_NAM!F153</f>
        <v>Aluminium</v>
      </c>
      <c r="G14" s="4" t="s">
        <v>25</v>
      </c>
    </row>
    <row r="15" spans="1:14" s="4" customFormat="1" x14ac:dyDescent="0.25">
      <c r="A15" s="4" t="str">
        <f>PR4_Al_EUR!A165</f>
        <v>Al ingot production in Europe</v>
      </c>
      <c r="B15" s="4" t="str">
        <f>PR4_Al_EUR!B165</f>
        <v>Al ingot</v>
      </c>
      <c r="C15" s="4" t="str">
        <f>PR4_Al_EUR!C165</f>
        <v>Europe</v>
      </c>
      <c r="D15" s="4">
        <v>5.1455028117555923E-2</v>
      </c>
      <c r="E15" s="4" t="str">
        <f>PR4_Al_EUR!E165</f>
        <v>kilogram</v>
      </c>
      <c r="F15" s="6" t="str">
        <f>PR4_Al_EUR!F165</f>
        <v>Aluminium</v>
      </c>
      <c r="G15" s="4" t="s">
        <v>25</v>
      </c>
    </row>
    <row r="16" spans="1:14" s="4" customFormat="1" x14ac:dyDescent="0.25">
      <c r="A16" s="4" t="str">
        <f>PR5_Al_ROE!A116</f>
        <v>Al ingot production in Russia and rest-of-Europe</v>
      </c>
      <c r="B16" s="4" t="str">
        <f>PR5_Al_ROE!B116</f>
        <v>Al ingot</v>
      </c>
      <c r="C16" s="4" t="str">
        <f>PR5_Al_ROE!C116</f>
        <v>Russia and Rest-of-Europe</v>
      </c>
      <c r="D16" s="4">
        <v>6.1429301926520595E-2</v>
      </c>
      <c r="E16" s="4" t="str">
        <f>PR5_Al_ROE!E116</f>
        <v>kilogram</v>
      </c>
      <c r="F16" s="6" t="str">
        <f>PR5_Al_ROE!F116</f>
        <v>Aluminium</v>
      </c>
      <c r="G16" s="4" t="s">
        <v>25</v>
      </c>
    </row>
    <row r="17" spans="1:7" s="4" customFormat="1" x14ac:dyDescent="0.25">
      <c r="A17" s="4" t="str">
        <f>PR6_Al_GCC!A107</f>
        <v>Al ingot production in Gulf Cooperation Council (GCC) countries</v>
      </c>
      <c r="B17" s="4" t="str">
        <f>PR6_Al_GCC!B107</f>
        <v>Al ingot</v>
      </c>
      <c r="C17" s="4" t="str">
        <f>PR6_Al_GCC!C107</f>
        <v>Gulf Cooperation Council (GCC) countries</v>
      </c>
      <c r="D17" s="4">
        <v>7.8543933309033809E-2</v>
      </c>
      <c r="E17" s="4" t="str">
        <f>PR6_Al_GCC!E107</f>
        <v>kilogram</v>
      </c>
      <c r="F17" s="6" t="str">
        <f>PR6_Al_GCC!F107</f>
        <v>Aluminium</v>
      </c>
      <c r="G17" s="4" t="s">
        <v>25</v>
      </c>
    </row>
    <row r="18" spans="1:7" s="4" customFormat="1" x14ac:dyDescent="0.25">
      <c r="A18" s="4" t="str">
        <f>PR7_Al_AFR!A96</f>
        <v>Al ingot production in Africa</v>
      </c>
      <c r="B18" s="4" t="str">
        <f>PR7_Al_AFR!B96</f>
        <v>Al ingot</v>
      </c>
      <c r="C18" s="4" t="str">
        <f>PR7_Al_AFR!C96</f>
        <v>Africa</v>
      </c>
      <c r="D18" s="4">
        <v>2.3727102598484213E-2</v>
      </c>
      <c r="E18" s="4" t="str">
        <f>PR7_Al_AFR!E96</f>
        <v>kilogram</v>
      </c>
      <c r="F18" s="6" t="str">
        <f>PR7_Al_AFR!F96</f>
        <v>Aluminium</v>
      </c>
      <c r="G18" s="4" t="s">
        <v>25</v>
      </c>
    </row>
    <row r="19" spans="1:7" s="4" customFormat="1" x14ac:dyDescent="0.25">
      <c r="A19" s="4" t="str">
        <f>PR8_Al_OAS!A132</f>
        <v>Al ingot production in rest-of-Asia</v>
      </c>
      <c r="B19" s="4" t="str">
        <f>PR8_Al_OAS!B132</f>
        <v>Al ingot</v>
      </c>
      <c r="C19" s="4" t="str">
        <f>PR8_Al_OAS!C132</f>
        <v>Rest-of-Asia</v>
      </c>
      <c r="D19" s="4">
        <v>7.5821151043633989E-2</v>
      </c>
      <c r="E19" s="4" t="str">
        <f>PR8_Al_OAS!E132</f>
        <v>kilogram</v>
      </c>
      <c r="F19" s="6" t="str">
        <f>PR8_Al_OAS!F132</f>
        <v>Aluminium</v>
      </c>
      <c r="G19" s="4" t="s">
        <v>25</v>
      </c>
    </row>
    <row r="20" spans="1:7" s="4" customFormat="1" x14ac:dyDescent="0.25">
      <c r="A20" s="4" t="str">
        <f>PR9_Al_CN!A167</f>
        <v>Bauxite mining and Al ingot production in China</v>
      </c>
      <c r="B20" s="4" t="str">
        <f>PR9_Al_CN!B167</f>
        <v>Al ingot</v>
      </c>
      <c r="C20" s="4" t="str">
        <f>PR9_Al_CN!C167</f>
        <v>CN</v>
      </c>
      <c r="D20" s="4">
        <v>0.49725505709176948</v>
      </c>
      <c r="E20" s="4" t="str">
        <f>PR9_Al_CN!E167</f>
        <v>kilogram</v>
      </c>
      <c r="F20" s="6" t="str">
        <f>PR9_Al_CN!F167</f>
        <v>Aluminium</v>
      </c>
      <c r="G20" s="4" t="s">
        <v>25</v>
      </c>
    </row>
    <row r="21" spans="1:7" s="4" customFormat="1" x14ac:dyDescent="0.25">
      <c r="A21" s="4" t="str">
        <f>PR10_Al_CN_Recycling!A40</f>
        <v>Al production in China through Al scraps recycling</v>
      </c>
      <c r="B21" s="4" t="str">
        <f>PR10_Al_CN_Recycling!B40</f>
        <v>Al ingot</v>
      </c>
      <c r="C21" s="4" t="str">
        <f>PR10_Al_CN_Recycling!C40</f>
        <v>CN</v>
      </c>
      <c r="D21" s="4">
        <v>9.471524896986086E-2</v>
      </c>
      <c r="E21" s="4" t="str">
        <f>PR10_Al_CN_Recycling!E40</f>
        <v>kilogram</v>
      </c>
      <c r="F21" s="6" t="str">
        <f>PR10_Al_CN_Recycling!F40</f>
        <v>Aluminium</v>
      </c>
      <c r="G21" s="4" t="s">
        <v>25</v>
      </c>
    </row>
    <row r="22" spans="1:7" s="4" customFormat="1" x14ac:dyDescent="0.25">
      <c r="A22" s="4" t="str">
        <f>PR11_Al_NAM_Recycling!A44</f>
        <v>Al production in North America through Al scraps recycling</v>
      </c>
      <c r="B22" s="4" t="str">
        <f>PR11_Al_NAM_Recycling!B44</f>
        <v>Al ingot</v>
      </c>
      <c r="C22" s="4" t="str">
        <f>PR11_Al_NAM_Recycling!C44</f>
        <v>North America</v>
      </c>
      <c r="D22" s="4">
        <v>1.0454531322249485E-2</v>
      </c>
      <c r="E22" s="4" t="str">
        <f>PR11_Al_NAM_Recycling!E44</f>
        <v>kilogram</v>
      </c>
      <c r="F22" s="6" t="str">
        <f>PR11_Al_NAM_Recycling!F44</f>
        <v>Aluminium</v>
      </c>
      <c r="G22" s="4" t="s">
        <v>25</v>
      </c>
    </row>
    <row r="23" spans="1:7" s="4" customFormat="1" x14ac:dyDescent="0.25">
      <c r="A23" s="4" t="str">
        <f>PR12_Al_EUR_Recycling!A51</f>
        <v>Al production in Europe through Al scraps recycling</v>
      </c>
      <c r="B23" s="4" t="str">
        <f>PR12_Al_EUR_Recycling!B51</f>
        <v>Al ingot</v>
      </c>
      <c r="C23" s="4" t="str">
        <f>PR12_Al_EUR_Recycling!C51</f>
        <v>Europe</v>
      </c>
      <c r="D23" s="4">
        <v>9.8009577366773206E-3</v>
      </c>
      <c r="E23" s="4" t="str">
        <f>PR12_Al_EUR_Recycling!E51</f>
        <v>kilogram</v>
      </c>
      <c r="F23" s="6" t="str">
        <f>PR12_Al_EUR_Recycling!F51</f>
        <v>Aluminium</v>
      </c>
      <c r="G23" s="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8" tint="0.39997558519241921"/>
  </sheetPr>
  <dimension ref="A1:N85"/>
  <sheetViews>
    <sheetView workbookViewId="0">
      <selection activeCell="D75" sqref="D75"/>
    </sheetView>
  </sheetViews>
  <sheetFormatPr baseColWidth="10" defaultColWidth="8.7109375" defaultRowHeight="15" x14ac:dyDescent="0.25"/>
  <cols>
    <col min="1" max="1" width="61.5703125" style="4" bestFit="1" customWidth="1"/>
    <col min="2" max="2" width="51.5703125" style="4" bestFit="1" customWidth="1"/>
    <col min="3" max="3" width="8.140625" style="4" bestFit="1" customWidth="1"/>
    <col min="4" max="4" width="12.7109375" style="4" bestFit="1" customWidth="1"/>
    <col min="5" max="5" width="17.5703125" style="4" bestFit="1" customWidth="1"/>
    <col min="6" max="6" width="19.7109375" style="4" bestFit="1" customWidth="1"/>
    <col min="7" max="7" width="13.28515625" style="4" bestFit="1" customWidth="1"/>
    <col min="8" max="8" width="25.28515625" style="4" bestFit="1" customWidth="1"/>
    <col min="9" max="9" width="15.5703125" style="4" bestFit="1" customWidth="1"/>
    <col min="10" max="10" width="9.7109375" style="4" bestFit="1" customWidth="1"/>
    <col min="11" max="11" width="3.5703125" style="4" bestFit="1" customWidth="1"/>
    <col min="12" max="12" width="5.42578125" style="4" bestFit="1" customWidth="1"/>
    <col min="13" max="13" width="9.5703125" style="4" bestFit="1" customWidth="1"/>
    <col min="14" max="14" width="9.85546875" style="4" bestFit="1" customWidth="1"/>
    <col min="15" max="16384" width="8.7109375" style="4"/>
  </cols>
  <sheetData>
    <row r="1" spans="1:14" x14ac:dyDescent="0.25">
      <c r="A1" s="7" t="s">
        <v>0</v>
      </c>
      <c r="B1" s="3" t="s">
        <v>258</v>
      </c>
    </row>
    <row r="2" spans="1:14" x14ac:dyDescent="0.25">
      <c r="A2" s="5" t="s">
        <v>1</v>
      </c>
      <c r="B2" s="4" t="s">
        <v>108</v>
      </c>
    </row>
    <row r="3" spans="1:14" x14ac:dyDescent="0.25">
      <c r="A3" s="5" t="s">
        <v>2</v>
      </c>
      <c r="B3" s="4" t="s">
        <v>22</v>
      </c>
    </row>
    <row r="4" spans="1:14" x14ac:dyDescent="0.25">
      <c r="A4" s="5" t="s">
        <v>3</v>
      </c>
      <c r="B4" s="4">
        <v>1</v>
      </c>
    </row>
    <row r="5" spans="1:14" x14ac:dyDescent="0.25">
      <c r="A5" s="5" t="s">
        <v>4</v>
      </c>
      <c r="B5" s="4" t="s">
        <v>5</v>
      </c>
    </row>
    <row r="6" spans="1:14" x14ac:dyDescent="0.25">
      <c r="A6" s="5" t="s">
        <v>6</v>
      </c>
      <c r="B6" s="4" t="s">
        <v>7</v>
      </c>
    </row>
    <row r="7" spans="1:14" x14ac:dyDescent="0.25">
      <c r="A7" s="5" t="s">
        <v>8</v>
      </c>
    </row>
    <row r="8" spans="1:14" x14ac:dyDescent="0.25">
      <c r="A8" s="7" t="s">
        <v>9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10</v>
      </c>
      <c r="G8" s="7" t="s">
        <v>11</v>
      </c>
      <c r="H8" s="7" t="s">
        <v>12</v>
      </c>
      <c r="I8" s="7" t="s">
        <v>13</v>
      </c>
      <c r="J8" s="7" t="s">
        <v>14</v>
      </c>
      <c r="K8" s="7" t="s">
        <v>15</v>
      </c>
      <c r="L8" s="7" t="s">
        <v>16</v>
      </c>
      <c r="M8" s="7" t="s">
        <v>17</v>
      </c>
      <c r="N8" s="7" t="s">
        <v>18</v>
      </c>
    </row>
    <row r="9" spans="1:14" x14ac:dyDescent="0.25">
      <c r="A9" s="4" t="str">
        <f>B1</f>
        <v>[M+C] Bauxite mining - Global</v>
      </c>
      <c r="B9" s="4" t="str">
        <f>B2</f>
        <v>Bauxite</v>
      </c>
      <c r="C9" s="4" t="str">
        <f>B3</f>
        <v>GLO</v>
      </c>
      <c r="D9" s="4">
        <v>1</v>
      </c>
      <c r="E9" s="4" t="s">
        <v>5</v>
      </c>
      <c r="F9" s="6" t="str">
        <f>Al_Market_GLO!B1</f>
        <v>Aluminium</v>
      </c>
      <c r="G9" s="4" t="s">
        <v>19</v>
      </c>
    </row>
    <row r="10" spans="1:14" x14ac:dyDescent="0.25">
      <c r="A10" s="4" t="s">
        <v>110</v>
      </c>
      <c r="B10" s="4" t="s">
        <v>111</v>
      </c>
      <c r="C10" s="4" t="s">
        <v>29</v>
      </c>
      <c r="D10" s="4">
        <v>1.3648749147428431E-4</v>
      </c>
      <c r="E10" s="4" t="s">
        <v>5</v>
      </c>
      <c r="F10" s="4" t="s">
        <v>24</v>
      </c>
      <c r="G10" s="4" t="s">
        <v>25</v>
      </c>
      <c r="J10" s="4" t="s">
        <v>112</v>
      </c>
    </row>
    <row r="11" spans="1:14" x14ac:dyDescent="0.25">
      <c r="A11" s="4" t="s">
        <v>20</v>
      </c>
      <c r="B11" s="4" t="s">
        <v>21</v>
      </c>
      <c r="C11" s="4" t="s">
        <v>22</v>
      </c>
      <c r="D11" s="4">
        <v>7.9353335612399101E-2</v>
      </c>
      <c r="E11" s="4" t="s">
        <v>23</v>
      </c>
      <c r="F11" s="4" t="s">
        <v>24</v>
      </c>
      <c r="G11" s="4" t="s">
        <v>25</v>
      </c>
      <c r="J11" s="4" t="s">
        <v>112</v>
      </c>
    </row>
    <row r="12" spans="1:14" x14ac:dyDescent="0.25">
      <c r="A12" s="4" t="s">
        <v>181</v>
      </c>
      <c r="B12" s="4" t="s">
        <v>58</v>
      </c>
      <c r="C12" s="4" t="s">
        <v>22</v>
      </c>
      <c r="D12" s="4">
        <v>2.7084315798700988E-5</v>
      </c>
      <c r="E12" s="4" t="s">
        <v>49</v>
      </c>
      <c r="F12" s="4" t="s">
        <v>24</v>
      </c>
      <c r="G12" s="4" t="s">
        <v>25</v>
      </c>
      <c r="J12" s="4" t="s">
        <v>112</v>
      </c>
    </row>
    <row r="13" spans="1:14" x14ac:dyDescent="0.25">
      <c r="A13" s="4" t="s">
        <v>128</v>
      </c>
      <c r="B13" s="4" t="s">
        <v>129</v>
      </c>
      <c r="C13" s="4" t="s">
        <v>29</v>
      </c>
      <c r="D13" s="4">
        <v>2.1927162486316001E-2</v>
      </c>
      <c r="E13" s="4" t="s">
        <v>23</v>
      </c>
      <c r="F13" s="4" t="s">
        <v>24</v>
      </c>
      <c r="G13" s="4" t="s">
        <v>25</v>
      </c>
      <c r="J13" s="4" t="s">
        <v>112</v>
      </c>
    </row>
    <row r="14" spans="1:14" x14ac:dyDescent="0.25">
      <c r="A14" s="4" t="s">
        <v>26</v>
      </c>
      <c r="B14" s="4" t="s">
        <v>27</v>
      </c>
      <c r="C14" s="4" t="s">
        <v>22</v>
      </c>
      <c r="D14" s="4">
        <v>6.3808964268231971E-3</v>
      </c>
      <c r="E14" s="4" t="s">
        <v>28</v>
      </c>
      <c r="F14" s="4" t="s">
        <v>24</v>
      </c>
      <c r="G14" s="4" t="s">
        <v>25</v>
      </c>
      <c r="J14" s="4" t="s">
        <v>112</v>
      </c>
    </row>
    <row r="15" spans="1:14" x14ac:dyDescent="0.25">
      <c r="A15" s="4" t="s">
        <v>161</v>
      </c>
      <c r="B15" s="4" t="s">
        <v>162</v>
      </c>
      <c r="C15" s="4" t="s">
        <v>163</v>
      </c>
      <c r="D15" s="4">
        <v>1.769913181946622E-6</v>
      </c>
      <c r="E15" s="4" t="s">
        <v>28</v>
      </c>
      <c r="F15" s="4" t="s">
        <v>24</v>
      </c>
      <c r="G15" s="4" t="s">
        <v>25</v>
      </c>
      <c r="J15" s="4" t="s">
        <v>112</v>
      </c>
    </row>
    <row r="16" spans="1:14" x14ac:dyDescent="0.25">
      <c r="A16" s="4" t="s">
        <v>36</v>
      </c>
      <c r="B16" s="4" t="s">
        <v>37</v>
      </c>
      <c r="C16" s="4" t="s">
        <v>29</v>
      </c>
      <c r="D16" s="4">
        <v>-6.2589072809349309E-5</v>
      </c>
      <c r="E16" s="4" t="s">
        <v>5</v>
      </c>
      <c r="F16" s="4" t="s">
        <v>24</v>
      </c>
      <c r="G16" s="4" t="s">
        <v>25</v>
      </c>
      <c r="J16" s="4" t="s">
        <v>112</v>
      </c>
    </row>
    <row r="17" spans="1:10" x14ac:dyDescent="0.25">
      <c r="A17" s="4" t="s">
        <v>52</v>
      </c>
      <c r="B17" s="4" t="s">
        <v>53</v>
      </c>
      <c r="C17" s="4" t="s">
        <v>22</v>
      </c>
      <c r="D17" s="4">
        <v>-0.37627302202772372</v>
      </c>
      <c r="E17" s="4" t="s">
        <v>5</v>
      </c>
      <c r="F17" s="4" t="s">
        <v>24</v>
      </c>
      <c r="G17" s="4" t="s">
        <v>25</v>
      </c>
      <c r="J17" s="4" t="s">
        <v>112</v>
      </c>
    </row>
    <row r="18" spans="1:10" x14ac:dyDescent="0.25">
      <c r="A18" s="4" t="s">
        <v>38</v>
      </c>
      <c r="B18" s="4" t="s">
        <v>39</v>
      </c>
      <c r="C18" s="4" t="s">
        <v>29</v>
      </c>
      <c r="D18" s="4">
        <v>-3.6413434280447912E-5</v>
      </c>
      <c r="E18" s="4" t="s">
        <v>5</v>
      </c>
      <c r="F18" s="4" t="s">
        <v>24</v>
      </c>
      <c r="G18" s="4" t="s">
        <v>25</v>
      </c>
      <c r="J18" s="4" t="s">
        <v>112</v>
      </c>
    </row>
    <row r="19" spans="1:10" x14ac:dyDescent="0.25">
      <c r="A19" s="4" t="s">
        <v>48</v>
      </c>
      <c r="D19" s="4">
        <v>4.6917402991510147E-4</v>
      </c>
      <c r="E19" s="4" t="s">
        <v>49</v>
      </c>
      <c r="F19" s="4" t="s">
        <v>42</v>
      </c>
      <c r="G19" s="4" t="s">
        <v>43</v>
      </c>
      <c r="H19" s="4" t="s">
        <v>47</v>
      </c>
      <c r="J19" s="4" t="s">
        <v>112</v>
      </c>
    </row>
    <row r="20" spans="1:10" x14ac:dyDescent="0.25">
      <c r="A20" s="4" t="s">
        <v>168</v>
      </c>
      <c r="D20" s="4">
        <v>2.507869653275659E-4</v>
      </c>
      <c r="E20" s="4" t="s">
        <v>49</v>
      </c>
      <c r="F20" s="4" t="s">
        <v>42</v>
      </c>
      <c r="G20" s="4" t="s">
        <v>43</v>
      </c>
      <c r="H20" s="4" t="s">
        <v>169</v>
      </c>
      <c r="J20" s="4" t="s">
        <v>112</v>
      </c>
    </row>
    <row r="21" spans="1:10" x14ac:dyDescent="0.25">
      <c r="A21" s="4" t="s">
        <v>48</v>
      </c>
      <c r="D21" s="4">
        <v>6.642159420481255E-4</v>
      </c>
      <c r="E21" s="4" t="s">
        <v>49</v>
      </c>
      <c r="F21" s="4" t="s">
        <v>42</v>
      </c>
      <c r="G21" s="4" t="s">
        <v>43</v>
      </c>
      <c r="H21" s="4" t="s">
        <v>47</v>
      </c>
      <c r="J21" s="4" t="s">
        <v>112</v>
      </c>
    </row>
    <row r="22" spans="1:10" x14ac:dyDescent="0.25">
      <c r="A22" s="4" t="s">
        <v>168</v>
      </c>
      <c r="D22" s="4">
        <v>1.241090431634267E-5</v>
      </c>
      <c r="E22" s="4" t="s">
        <v>49</v>
      </c>
      <c r="F22" s="4" t="s">
        <v>42</v>
      </c>
      <c r="G22" s="4" t="s">
        <v>43</v>
      </c>
      <c r="H22" s="4" t="s">
        <v>169</v>
      </c>
      <c r="J22" s="4" t="s">
        <v>112</v>
      </c>
    </row>
    <row r="23" spans="1:10" x14ac:dyDescent="0.25">
      <c r="A23" s="4" t="s">
        <v>117</v>
      </c>
      <c r="D23" s="4">
        <v>3.4245318531863289E-4</v>
      </c>
      <c r="E23" s="4" t="s">
        <v>45</v>
      </c>
      <c r="F23" s="4" t="s">
        <v>42</v>
      </c>
      <c r="G23" s="4" t="s">
        <v>43</v>
      </c>
      <c r="H23" s="4" t="s">
        <v>44</v>
      </c>
      <c r="J23" s="4" t="s">
        <v>112</v>
      </c>
    </row>
    <row r="24" spans="1:10" x14ac:dyDescent="0.25">
      <c r="A24" s="4" t="s">
        <v>46</v>
      </c>
      <c r="D24" s="4">
        <v>3.4245318531863289E-4</v>
      </c>
      <c r="E24" s="4" t="s">
        <v>45</v>
      </c>
      <c r="F24" s="4" t="s">
        <v>42</v>
      </c>
      <c r="G24" s="4" t="s">
        <v>43</v>
      </c>
      <c r="H24" s="4" t="s">
        <v>44</v>
      </c>
      <c r="J24" s="4" t="s">
        <v>112</v>
      </c>
    </row>
    <row r="25" spans="1:10" x14ac:dyDescent="0.25">
      <c r="A25" s="4" t="s">
        <v>40</v>
      </c>
      <c r="D25" s="4">
        <v>7.9250892613427251E-11</v>
      </c>
      <c r="E25" s="4" t="s">
        <v>41</v>
      </c>
      <c r="F25" s="4" t="s">
        <v>42</v>
      </c>
      <c r="G25" s="4" t="s">
        <v>43</v>
      </c>
      <c r="H25" s="4" t="s">
        <v>44</v>
      </c>
      <c r="J25" s="4" t="s">
        <v>116</v>
      </c>
    </row>
    <row r="26" spans="1:10" x14ac:dyDescent="0.25">
      <c r="A26" s="4" t="s">
        <v>64</v>
      </c>
      <c r="D26" s="4">
        <v>1.7555273886385301E-4</v>
      </c>
      <c r="E26" s="4" t="s">
        <v>5</v>
      </c>
      <c r="F26" s="4" t="s">
        <v>42</v>
      </c>
      <c r="G26" s="4" t="s">
        <v>43</v>
      </c>
      <c r="H26" s="4" t="s">
        <v>63</v>
      </c>
      <c r="J26" s="4" t="s">
        <v>112</v>
      </c>
    </row>
    <row r="27" spans="1:10" x14ac:dyDescent="0.25">
      <c r="A27" s="4" t="s">
        <v>62</v>
      </c>
      <c r="D27" s="4">
        <v>1.310848650653181E-7</v>
      </c>
      <c r="E27" s="4" t="s">
        <v>5</v>
      </c>
      <c r="F27" s="4" t="s">
        <v>42</v>
      </c>
      <c r="G27" s="4" t="s">
        <v>43</v>
      </c>
      <c r="H27" s="4" t="s">
        <v>63</v>
      </c>
      <c r="J27" s="4" t="s">
        <v>116</v>
      </c>
    </row>
    <row r="28" spans="1:10" x14ac:dyDescent="0.25">
      <c r="A28" s="4" t="s">
        <v>73</v>
      </c>
      <c r="D28" s="4">
        <v>6.1064825949619147E-5</v>
      </c>
      <c r="E28" s="4" t="s">
        <v>5</v>
      </c>
      <c r="F28" s="4" t="s">
        <v>42</v>
      </c>
      <c r="G28" s="4" t="s">
        <v>43</v>
      </c>
      <c r="H28" s="4" t="s">
        <v>63</v>
      </c>
      <c r="J28" s="4" t="s">
        <v>112</v>
      </c>
    </row>
    <row r="29" spans="1:10" x14ac:dyDescent="0.25">
      <c r="A29" s="4" t="s">
        <v>118</v>
      </c>
      <c r="D29" s="4">
        <v>8.018378015942651E-5</v>
      </c>
      <c r="E29" s="4" t="s">
        <v>49</v>
      </c>
      <c r="F29" s="4" t="s">
        <v>42</v>
      </c>
      <c r="G29" s="4" t="s">
        <v>43</v>
      </c>
      <c r="H29" s="4" t="s">
        <v>96</v>
      </c>
      <c r="J29" s="4" t="s">
        <v>112</v>
      </c>
    </row>
    <row r="30" spans="1:10" x14ac:dyDescent="0.25">
      <c r="A30" s="4" t="s">
        <v>118</v>
      </c>
      <c r="D30" s="4">
        <v>2.383760610112233E-4</v>
      </c>
      <c r="E30" s="4" t="s">
        <v>49</v>
      </c>
      <c r="F30" s="4" t="s">
        <v>42</v>
      </c>
      <c r="G30" s="4" t="s">
        <v>43</v>
      </c>
      <c r="H30" s="4" t="s">
        <v>171</v>
      </c>
      <c r="J30" s="4" t="s">
        <v>112</v>
      </c>
    </row>
    <row r="31" spans="1:10" s="8" customFormat="1" x14ac:dyDescent="0.25"/>
    <row r="32" spans="1:10" x14ac:dyDescent="0.25">
      <c r="A32" s="7" t="s">
        <v>0</v>
      </c>
      <c r="B32" s="7" t="s">
        <v>202</v>
      </c>
    </row>
    <row r="33" spans="1:14" x14ac:dyDescent="0.25">
      <c r="A33" s="5" t="s">
        <v>1</v>
      </c>
      <c r="B33" s="4" t="s">
        <v>120</v>
      </c>
    </row>
    <row r="34" spans="1:14" x14ac:dyDescent="0.25">
      <c r="A34" s="5" t="s">
        <v>2</v>
      </c>
      <c r="B34" s="4" t="s">
        <v>22</v>
      </c>
    </row>
    <row r="35" spans="1:14" x14ac:dyDescent="0.25">
      <c r="A35" s="5" t="s">
        <v>3</v>
      </c>
      <c r="B35" s="4">
        <v>1</v>
      </c>
    </row>
    <row r="36" spans="1:14" x14ac:dyDescent="0.25">
      <c r="A36" s="5" t="s">
        <v>4</v>
      </c>
      <c r="B36" s="4" t="s">
        <v>5</v>
      </c>
    </row>
    <row r="37" spans="1:14" x14ac:dyDescent="0.25">
      <c r="A37" s="5" t="s">
        <v>6</v>
      </c>
      <c r="B37" s="4" t="s">
        <v>7</v>
      </c>
    </row>
    <row r="38" spans="1:14" x14ac:dyDescent="0.25">
      <c r="A38" s="5" t="s">
        <v>8</v>
      </c>
    </row>
    <row r="39" spans="1:14" x14ac:dyDescent="0.25">
      <c r="A39" s="7" t="s">
        <v>9</v>
      </c>
      <c r="B39" s="7" t="s">
        <v>1</v>
      </c>
      <c r="C39" s="7" t="s">
        <v>2</v>
      </c>
      <c r="D39" s="7" t="s">
        <v>3</v>
      </c>
      <c r="E39" s="7" t="s">
        <v>4</v>
      </c>
      <c r="F39" s="7" t="s">
        <v>10</v>
      </c>
      <c r="G39" s="7" t="s">
        <v>11</v>
      </c>
      <c r="H39" s="7" t="s">
        <v>12</v>
      </c>
      <c r="I39" s="7" t="s">
        <v>13</v>
      </c>
      <c r="J39" s="7" t="s">
        <v>14</v>
      </c>
      <c r="K39" s="7" t="s">
        <v>15</v>
      </c>
      <c r="L39" s="7" t="s">
        <v>16</v>
      </c>
      <c r="M39" s="7" t="s">
        <v>17</v>
      </c>
      <c r="N39" s="7" t="s">
        <v>18</v>
      </c>
    </row>
    <row r="40" spans="1:14" x14ac:dyDescent="0.25">
      <c r="A40" s="4" t="str">
        <f>B32</f>
        <v>[P] Alumina production - Global</v>
      </c>
      <c r="B40" s="4" t="str">
        <f>B33</f>
        <v>Alumina</v>
      </c>
      <c r="C40" s="4" t="str">
        <f>B34</f>
        <v>GLO</v>
      </c>
      <c r="D40" s="4">
        <v>1</v>
      </c>
      <c r="E40" s="4" t="s">
        <v>5</v>
      </c>
      <c r="F40" s="6" t="str">
        <f>F9</f>
        <v>Aluminium</v>
      </c>
      <c r="G40" s="4" t="s">
        <v>19</v>
      </c>
    </row>
    <row r="41" spans="1:14" x14ac:dyDescent="0.25">
      <c r="A41" s="4" t="s">
        <v>121</v>
      </c>
      <c r="B41" s="4" t="s">
        <v>122</v>
      </c>
      <c r="C41" s="4" t="s">
        <v>22</v>
      </c>
      <c r="D41" s="4">
        <v>4.3053046747418602</v>
      </c>
      <c r="E41" s="4" t="s">
        <v>105</v>
      </c>
      <c r="F41" s="4" t="s">
        <v>24</v>
      </c>
      <c r="G41" s="4" t="s">
        <v>25</v>
      </c>
      <c r="J41" s="4" t="s">
        <v>112</v>
      </c>
    </row>
    <row r="42" spans="1:14" x14ac:dyDescent="0.25">
      <c r="A42" s="4" t="s">
        <v>123</v>
      </c>
      <c r="B42" s="4" t="s">
        <v>124</v>
      </c>
      <c r="C42" s="4" t="s">
        <v>29</v>
      </c>
      <c r="D42" s="4">
        <v>2.1915306492245299E-2</v>
      </c>
      <c r="E42" s="4" t="s">
        <v>105</v>
      </c>
      <c r="F42" s="4" t="s">
        <v>24</v>
      </c>
      <c r="G42" s="4" t="s">
        <v>25</v>
      </c>
      <c r="J42" s="4" t="s">
        <v>112</v>
      </c>
    </row>
    <row r="43" spans="1:14" x14ac:dyDescent="0.25">
      <c r="A43" s="4" t="s">
        <v>125</v>
      </c>
      <c r="B43" s="4" t="s">
        <v>126</v>
      </c>
      <c r="C43" s="4" t="s">
        <v>29</v>
      </c>
      <c r="D43" s="4">
        <v>0.56577779212081003</v>
      </c>
      <c r="E43" s="4" t="s">
        <v>105</v>
      </c>
      <c r="F43" s="4" t="s">
        <v>24</v>
      </c>
      <c r="G43" s="4" t="s">
        <v>25</v>
      </c>
      <c r="J43" s="4" t="s">
        <v>112</v>
      </c>
    </row>
    <row r="44" spans="1:14" x14ac:dyDescent="0.25">
      <c r="A44" s="4" t="s">
        <v>32</v>
      </c>
      <c r="B44" s="4" t="s">
        <v>33</v>
      </c>
      <c r="C44" s="4" t="s">
        <v>29</v>
      </c>
      <c r="D44" s="4">
        <v>8.1031946474072691E-2</v>
      </c>
      <c r="E44" s="4" t="s">
        <v>5</v>
      </c>
      <c r="F44" s="4" t="s">
        <v>24</v>
      </c>
      <c r="G44" s="4" t="s">
        <v>25</v>
      </c>
      <c r="J44" s="4" t="s">
        <v>112</v>
      </c>
    </row>
    <row r="45" spans="1:14" x14ac:dyDescent="0.25">
      <c r="A45" s="4" t="s">
        <v>77</v>
      </c>
      <c r="B45" s="4" t="s">
        <v>78</v>
      </c>
      <c r="C45" s="4" t="s">
        <v>29</v>
      </c>
      <c r="D45" s="4">
        <v>5.22979738962773E-2</v>
      </c>
      <c r="E45" s="4" t="s">
        <v>5</v>
      </c>
      <c r="F45" s="4" t="s">
        <v>24</v>
      </c>
      <c r="G45" s="4" t="s">
        <v>25</v>
      </c>
      <c r="J45" s="4" t="s">
        <v>112</v>
      </c>
    </row>
    <row r="46" spans="1:14" x14ac:dyDescent="0.25">
      <c r="A46" s="4" t="s">
        <v>110</v>
      </c>
      <c r="B46" s="4" t="s">
        <v>111</v>
      </c>
      <c r="C46" s="4" t="s">
        <v>29</v>
      </c>
      <c r="D46" s="4">
        <v>2.004843315136802E-2</v>
      </c>
      <c r="E46" s="4" t="s">
        <v>5</v>
      </c>
      <c r="F46" s="4" t="s">
        <v>24</v>
      </c>
      <c r="G46" s="4" t="s">
        <v>25</v>
      </c>
      <c r="J46" s="4" t="s">
        <v>127</v>
      </c>
    </row>
    <row r="47" spans="1:14" x14ac:dyDescent="0.25">
      <c r="A47" s="4" t="s">
        <v>20</v>
      </c>
      <c r="B47" s="4" t="s">
        <v>21</v>
      </c>
      <c r="C47" s="4" t="s">
        <v>22</v>
      </c>
      <c r="D47" s="4">
        <v>7.0123389135446816E-3</v>
      </c>
      <c r="E47" s="4" t="s">
        <v>23</v>
      </c>
      <c r="F47" s="4" t="s">
        <v>24</v>
      </c>
      <c r="G47" s="4" t="s">
        <v>25</v>
      </c>
      <c r="J47" s="4" t="s">
        <v>127</v>
      </c>
    </row>
    <row r="48" spans="1:14" x14ac:dyDescent="0.25">
      <c r="A48" s="4" t="s">
        <v>181</v>
      </c>
      <c r="B48" s="4" t="s">
        <v>58</v>
      </c>
      <c r="C48" s="4" t="s">
        <v>22</v>
      </c>
      <c r="D48" s="4">
        <v>6.1031736264540018E-2</v>
      </c>
      <c r="E48" s="4" t="s">
        <v>49</v>
      </c>
      <c r="F48" s="4" t="s">
        <v>24</v>
      </c>
      <c r="G48" s="4" t="s">
        <v>25</v>
      </c>
      <c r="J48" s="4" t="s">
        <v>127</v>
      </c>
    </row>
    <row r="49" spans="1:10" x14ac:dyDescent="0.25">
      <c r="A49" s="4" t="s">
        <v>128</v>
      </c>
      <c r="B49" s="4" t="s">
        <v>129</v>
      </c>
      <c r="C49" s="4" t="s">
        <v>29</v>
      </c>
      <c r="D49" s="4">
        <v>6.414449580583149</v>
      </c>
      <c r="E49" s="4" t="s">
        <v>23</v>
      </c>
      <c r="F49" s="4" t="s">
        <v>24</v>
      </c>
      <c r="G49" s="4" t="s">
        <v>25</v>
      </c>
      <c r="J49" s="4" t="s">
        <v>127</v>
      </c>
    </row>
    <row r="50" spans="1:10" x14ac:dyDescent="0.25">
      <c r="A50" s="4" t="s">
        <v>26</v>
      </c>
      <c r="B50" s="4" t="s">
        <v>27</v>
      </c>
      <c r="C50" s="4" t="s">
        <v>22</v>
      </c>
      <c r="D50" s="4">
        <v>0.15190868097888061</v>
      </c>
      <c r="E50" s="4" t="s">
        <v>28</v>
      </c>
      <c r="F50" s="4" t="s">
        <v>24</v>
      </c>
      <c r="G50" s="4" t="s">
        <v>25</v>
      </c>
      <c r="J50" s="4" t="s">
        <v>127</v>
      </c>
    </row>
    <row r="51" spans="1:10" x14ac:dyDescent="0.25">
      <c r="A51" s="4" t="s">
        <v>161</v>
      </c>
      <c r="B51" s="4" t="s">
        <v>162</v>
      </c>
      <c r="C51" s="4" t="s">
        <v>163</v>
      </c>
      <c r="D51" s="4">
        <v>4.6739884382477503E-2</v>
      </c>
      <c r="E51" s="4" t="s">
        <v>28</v>
      </c>
      <c r="F51" s="4" t="s">
        <v>24</v>
      </c>
      <c r="G51" s="4" t="s">
        <v>25</v>
      </c>
      <c r="J51" s="4" t="s">
        <v>127</v>
      </c>
    </row>
    <row r="52" spans="1:10" x14ac:dyDescent="0.25">
      <c r="A52" s="4" t="s">
        <v>130</v>
      </c>
      <c r="B52" s="4" t="s">
        <v>131</v>
      </c>
      <c r="C52" s="4" t="s">
        <v>29</v>
      </c>
      <c r="D52" s="4">
        <v>-1.18203863793662E-2</v>
      </c>
      <c r="E52" s="4" t="s">
        <v>5</v>
      </c>
      <c r="F52" s="4" t="s">
        <v>24</v>
      </c>
      <c r="G52" s="4" t="s">
        <v>25</v>
      </c>
      <c r="J52" s="4" t="s">
        <v>116</v>
      </c>
    </row>
    <row r="53" spans="1:10" x14ac:dyDescent="0.25">
      <c r="A53" s="4" t="s">
        <v>36</v>
      </c>
      <c r="B53" s="4" t="s">
        <v>37</v>
      </c>
      <c r="C53" s="4" t="s">
        <v>29</v>
      </c>
      <c r="D53" s="4">
        <v>-1.2385145467538749E-2</v>
      </c>
      <c r="E53" s="4" t="s">
        <v>5</v>
      </c>
      <c r="F53" s="4" t="s">
        <v>24</v>
      </c>
      <c r="G53" s="4" t="s">
        <v>25</v>
      </c>
      <c r="J53" s="4" t="s">
        <v>116</v>
      </c>
    </row>
    <row r="54" spans="1:10" x14ac:dyDescent="0.25">
      <c r="A54" s="4" t="s">
        <v>130</v>
      </c>
      <c r="B54" s="4" t="s">
        <v>131</v>
      </c>
      <c r="C54" s="4" t="s">
        <v>29</v>
      </c>
      <c r="D54" s="4">
        <v>-1.2195897813495</v>
      </c>
      <c r="E54" s="4" t="s">
        <v>5</v>
      </c>
      <c r="F54" s="4" t="s">
        <v>24</v>
      </c>
      <c r="G54" s="4" t="s">
        <v>25</v>
      </c>
      <c r="J54" s="4" t="s">
        <v>141</v>
      </c>
    </row>
    <row r="55" spans="1:10" x14ac:dyDescent="0.25">
      <c r="A55" s="4" t="s">
        <v>36</v>
      </c>
      <c r="B55" s="4" t="s">
        <v>37</v>
      </c>
      <c r="C55" s="4" t="s">
        <v>29</v>
      </c>
      <c r="D55" s="4">
        <v>-2.5291903017844591E-2</v>
      </c>
      <c r="E55" s="4" t="s">
        <v>5</v>
      </c>
      <c r="F55" s="4" t="s">
        <v>24</v>
      </c>
      <c r="G55" s="4" t="s">
        <v>25</v>
      </c>
      <c r="J55" s="4" t="s">
        <v>112</v>
      </c>
    </row>
    <row r="56" spans="1:10" x14ac:dyDescent="0.25">
      <c r="A56" s="4" t="s">
        <v>38</v>
      </c>
      <c r="B56" s="4" t="s">
        <v>39</v>
      </c>
      <c r="C56" s="4" t="s">
        <v>29</v>
      </c>
      <c r="D56" s="4">
        <v>-7.8523378364900795E-3</v>
      </c>
      <c r="E56" s="4" t="s">
        <v>5</v>
      </c>
      <c r="F56" s="4" t="s">
        <v>24</v>
      </c>
      <c r="G56" s="4" t="s">
        <v>25</v>
      </c>
      <c r="J56" s="4" t="s">
        <v>112</v>
      </c>
    </row>
    <row r="57" spans="1:10" x14ac:dyDescent="0.25">
      <c r="A57" s="4" t="s">
        <v>48</v>
      </c>
      <c r="D57" s="4">
        <v>4.8197941759792204E-3</v>
      </c>
      <c r="E57" s="4" t="s">
        <v>49</v>
      </c>
      <c r="F57" s="4" t="s">
        <v>42</v>
      </c>
      <c r="G57" s="4" t="s">
        <v>43</v>
      </c>
      <c r="H57" s="4" t="s">
        <v>47</v>
      </c>
      <c r="J57" s="4" t="s">
        <v>112</v>
      </c>
    </row>
    <row r="58" spans="1:10" x14ac:dyDescent="0.25">
      <c r="A58" s="4" t="s">
        <v>168</v>
      </c>
      <c r="D58" s="4">
        <v>2.0717014165892401E-3</v>
      </c>
      <c r="E58" s="4" t="s">
        <v>49</v>
      </c>
      <c r="F58" s="4" t="s">
        <v>42</v>
      </c>
      <c r="G58" s="4" t="s">
        <v>43</v>
      </c>
      <c r="H58" s="4" t="s">
        <v>169</v>
      </c>
      <c r="J58" s="4" t="s">
        <v>112</v>
      </c>
    </row>
    <row r="59" spans="1:10" x14ac:dyDescent="0.25">
      <c r="A59" s="4" t="s">
        <v>48</v>
      </c>
      <c r="D59" s="4">
        <v>2.8080992010031192E-3</v>
      </c>
      <c r="E59" s="4" t="s">
        <v>49</v>
      </c>
      <c r="F59" s="4" t="s">
        <v>42</v>
      </c>
      <c r="G59" s="4" t="s">
        <v>43</v>
      </c>
      <c r="H59" s="4" t="s">
        <v>47</v>
      </c>
      <c r="J59" s="4" t="s">
        <v>112</v>
      </c>
    </row>
    <row r="60" spans="1:10" x14ac:dyDescent="0.25">
      <c r="A60" s="4" t="s">
        <v>168</v>
      </c>
      <c r="D60" s="4">
        <v>9.2751651194070028E-5</v>
      </c>
      <c r="E60" s="4" t="s">
        <v>49</v>
      </c>
      <c r="F60" s="4" t="s">
        <v>42</v>
      </c>
      <c r="G60" s="4" t="s">
        <v>43</v>
      </c>
      <c r="H60" s="4" t="s">
        <v>169</v>
      </c>
      <c r="J60" s="4" t="s">
        <v>112</v>
      </c>
    </row>
    <row r="61" spans="1:10" x14ac:dyDescent="0.25">
      <c r="A61" s="4" t="s">
        <v>182</v>
      </c>
      <c r="D61" s="4">
        <v>1.0265534662978E-3</v>
      </c>
      <c r="E61" s="4" t="s">
        <v>45</v>
      </c>
      <c r="F61" s="4" t="s">
        <v>42</v>
      </c>
      <c r="G61" s="4" t="s">
        <v>43</v>
      </c>
      <c r="H61" s="4" t="s">
        <v>44</v>
      </c>
      <c r="J61" s="4" t="s">
        <v>112</v>
      </c>
    </row>
    <row r="62" spans="1:10" x14ac:dyDescent="0.25">
      <c r="A62" s="4" t="s">
        <v>46</v>
      </c>
      <c r="D62" s="4">
        <v>1.0265534662978E-3</v>
      </c>
      <c r="E62" s="4" t="s">
        <v>45</v>
      </c>
      <c r="F62" s="4" t="s">
        <v>42</v>
      </c>
      <c r="G62" s="4" t="s">
        <v>43</v>
      </c>
      <c r="H62" s="4" t="s">
        <v>44</v>
      </c>
      <c r="J62" s="4" t="s">
        <v>112</v>
      </c>
    </row>
    <row r="63" spans="1:10" x14ac:dyDescent="0.25">
      <c r="A63" s="4" t="s">
        <v>40</v>
      </c>
      <c r="D63" s="4">
        <v>1.2262302689513869E-8</v>
      </c>
      <c r="E63" s="4" t="s">
        <v>41</v>
      </c>
      <c r="F63" s="4" t="s">
        <v>42</v>
      </c>
      <c r="G63" s="4" t="s">
        <v>43</v>
      </c>
      <c r="H63" s="4" t="s">
        <v>44</v>
      </c>
      <c r="J63" s="4" t="s">
        <v>112</v>
      </c>
    </row>
    <row r="64" spans="1:10" x14ac:dyDescent="0.25">
      <c r="A64" s="4" t="s">
        <v>64</v>
      </c>
      <c r="D64" s="4">
        <v>3.8294543339799001E-4</v>
      </c>
      <c r="E64" s="4" t="s">
        <v>5</v>
      </c>
      <c r="F64" s="4" t="s">
        <v>42</v>
      </c>
      <c r="G64" s="4" t="s">
        <v>43</v>
      </c>
      <c r="H64" s="4" t="s">
        <v>63</v>
      </c>
      <c r="J64" s="4" t="s">
        <v>112</v>
      </c>
    </row>
    <row r="65" spans="1:10" x14ac:dyDescent="0.25">
      <c r="A65" s="4" t="s">
        <v>62</v>
      </c>
      <c r="D65" s="4">
        <v>7.0839731607493005E-4</v>
      </c>
      <c r="E65" s="4" t="s">
        <v>5</v>
      </c>
      <c r="F65" s="4" t="s">
        <v>42</v>
      </c>
      <c r="G65" s="4" t="s">
        <v>43</v>
      </c>
      <c r="H65" s="4" t="s">
        <v>63</v>
      </c>
      <c r="J65" s="4" t="s">
        <v>112</v>
      </c>
    </row>
    <row r="66" spans="1:10" x14ac:dyDescent="0.25">
      <c r="A66" s="4" t="s">
        <v>73</v>
      </c>
      <c r="D66" s="4">
        <v>6.5657002436333837E-4</v>
      </c>
      <c r="E66" s="4" t="s">
        <v>5</v>
      </c>
      <c r="F66" s="4" t="s">
        <v>42</v>
      </c>
      <c r="G66" s="4" t="s">
        <v>43</v>
      </c>
      <c r="H66" s="4" t="s">
        <v>63</v>
      </c>
      <c r="J66" s="4" t="s">
        <v>112</v>
      </c>
    </row>
    <row r="67" spans="1:10" x14ac:dyDescent="0.25">
      <c r="A67" s="4" t="s">
        <v>107</v>
      </c>
      <c r="D67" s="4">
        <v>1.2330535900918001E-4</v>
      </c>
      <c r="E67" s="4" t="s">
        <v>5</v>
      </c>
      <c r="F67" s="4" t="s">
        <v>42</v>
      </c>
      <c r="G67" s="4" t="s">
        <v>43</v>
      </c>
      <c r="H67" s="4" t="s">
        <v>63</v>
      </c>
      <c r="J67" s="4" t="s">
        <v>116</v>
      </c>
    </row>
    <row r="68" spans="1:10" x14ac:dyDescent="0.25">
      <c r="A68" s="4" t="s">
        <v>132</v>
      </c>
      <c r="D68" s="4">
        <v>1.396552823487516E-8</v>
      </c>
      <c r="E68" s="4" t="s">
        <v>5</v>
      </c>
      <c r="F68" s="4" t="s">
        <v>42</v>
      </c>
      <c r="G68" s="4" t="s">
        <v>43</v>
      </c>
      <c r="H68" s="4" t="s">
        <v>63</v>
      </c>
      <c r="J68" s="4" t="s">
        <v>116</v>
      </c>
    </row>
    <row r="69" spans="1:10" x14ac:dyDescent="0.25">
      <c r="A69" s="4" t="s">
        <v>118</v>
      </c>
      <c r="D69" s="4">
        <v>2.2001108382404102E-3</v>
      </c>
      <c r="E69" s="4" t="s">
        <v>49</v>
      </c>
      <c r="F69" s="4" t="s">
        <v>42</v>
      </c>
      <c r="G69" s="4" t="s">
        <v>43</v>
      </c>
      <c r="H69" s="4" t="s">
        <v>96</v>
      </c>
      <c r="J69" s="4" t="s">
        <v>112</v>
      </c>
    </row>
    <row r="70" spans="1:10" x14ac:dyDescent="0.25">
      <c r="A70" s="4" t="s">
        <v>118</v>
      </c>
      <c r="D70" s="4">
        <v>1.9789497653951698E-3</v>
      </c>
      <c r="E70" s="4" t="s">
        <v>49</v>
      </c>
      <c r="F70" s="4" t="s">
        <v>42</v>
      </c>
      <c r="G70" s="4" t="s">
        <v>43</v>
      </c>
      <c r="H70" s="4" t="s">
        <v>171</v>
      </c>
      <c r="J70" s="4" t="s">
        <v>112</v>
      </c>
    </row>
    <row r="71" spans="1:10" x14ac:dyDescent="0.25">
      <c r="A71" s="4" t="s">
        <v>97</v>
      </c>
      <c r="D71" s="4">
        <v>7.6266345111033194E-5</v>
      </c>
      <c r="E71" s="4" t="s">
        <v>5</v>
      </c>
      <c r="F71" s="4" t="s">
        <v>42</v>
      </c>
      <c r="G71" s="4" t="s">
        <v>43</v>
      </c>
      <c r="H71" s="4" t="s">
        <v>96</v>
      </c>
      <c r="J71" s="4" t="s">
        <v>116</v>
      </c>
    </row>
    <row r="72" spans="1:10" x14ac:dyDescent="0.25">
      <c r="A72" s="4" t="s">
        <v>100</v>
      </c>
      <c r="D72" s="4">
        <v>8.1934934070469398E-4</v>
      </c>
      <c r="E72" s="4" t="s">
        <v>5</v>
      </c>
      <c r="F72" s="4" t="s">
        <v>42</v>
      </c>
      <c r="G72" s="4" t="s">
        <v>43</v>
      </c>
      <c r="H72" s="4" t="s">
        <v>96</v>
      </c>
      <c r="J72" s="4" t="s">
        <v>116</v>
      </c>
    </row>
    <row r="73" spans="1:10" x14ac:dyDescent="0.25">
      <c r="A73" s="4" t="s">
        <v>107</v>
      </c>
      <c r="D73" s="4">
        <v>1.3617369378379001E-7</v>
      </c>
      <c r="E73" s="4" t="s">
        <v>5</v>
      </c>
      <c r="F73" s="4" t="s">
        <v>42</v>
      </c>
      <c r="G73" s="4" t="s">
        <v>43</v>
      </c>
      <c r="H73" s="4" t="s">
        <v>96</v>
      </c>
      <c r="J73" s="4" t="s">
        <v>116</v>
      </c>
    </row>
    <row r="74" spans="1:10" s="9" customFormat="1" x14ac:dyDescent="0.25"/>
    <row r="75" spans="1:10" x14ac:dyDescent="0.25">
      <c r="A75" s="7" t="s">
        <v>0</v>
      </c>
      <c r="B75" s="7" t="s">
        <v>259</v>
      </c>
    </row>
    <row r="76" spans="1:10" x14ac:dyDescent="0.25">
      <c r="A76" s="5" t="s">
        <v>1</v>
      </c>
      <c r="B76" s="4" t="s">
        <v>120</v>
      </c>
    </row>
    <row r="77" spans="1:10" x14ac:dyDescent="0.25">
      <c r="A77" s="5" t="s">
        <v>2</v>
      </c>
      <c r="B77" s="4" t="s">
        <v>22</v>
      </c>
    </row>
    <row r="78" spans="1:10" x14ac:dyDescent="0.25">
      <c r="A78" s="5" t="s">
        <v>3</v>
      </c>
      <c r="B78" s="4">
        <v>1</v>
      </c>
    </row>
    <row r="79" spans="1:10" x14ac:dyDescent="0.25">
      <c r="A79" s="5" t="s">
        <v>4</v>
      </c>
      <c r="B79" s="4" t="s">
        <v>5</v>
      </c>
    </row>
    <row r="80" spans="1:10" x14ac:dyDescent="0.25">
      <c r="A80" s="5" t="s">
        <v>6</v>
      </c>
      <c r="B80" s="4" t="s">
        <v>7</v>
      </c>
    </row>
    <row r="81" spans="1:14" x14ac:dyDescent="0.25">
      <c r="A81" s="5" t="s">
        <v>8</v>
      </c>
    </row>
    <row r="82" spans="1:14" x14ac:dyDescent="0.25">
      <c r="A82" s="7" t="s">
        <v>9</v>
      </c>
      <c r="B82" s="7" t="s">
        <v>1</v>
      </c>
      <c r="C82" s="7" t="s">
        <v>2</v>
      </c>
      <c r="D82" s="7" t="s">
        <v>3</v>
      </c>
      <c r="E82" s="7" t="s">
        <v>4</v>
      </c>
      <c r="F82" s="7" t="s">
        <v>10</v>
      </c>
      <c r="G82" s="7" t="s">
        <v>11</v>
      </c>
      <c r="H82" s="7" t="s">
        <v>12</v>
      </c>
      <c r="I82" s="7" t="s">
        <v>13</v>
      </c>
      <c r="J82" s="7" t="s">
        <v>14</v>
      </c>
      <c r="K82" s="7" t="s">
        <v>15</v>
      </c>
      <c r="L82" s="7" t="s">
        <v>16</v>
      </c>
      <c r="M82" s="7" t="s">
        <v>17</v>
      </c>
      <c r="N82" s="7" t="s">
        <v>18</v>
      </c>
    </row>
    <row r="83" spans="1:14" x14ac:dyDescent="0.25">
      <c r="A83" s="4" t="str">
        <f>B75</f>
        <v>Global alumina production</v>
      </c>
      <c r="B83" s="4" t="str">
        <f>B76</f>
        <v>Alumina</v>
      </c>
      <c r="C83" s="4" t="str">
        <f>B77</f>
        <v>GLO</v>
      </c>
      <c r="D83" s="4">
        <v>1</v>
      </c>
      <c r="E83" s="4" t="str">
        <f>B79</f>
        <v>kilogram</v>
      </c>
      <c r="F83" s="6" t="str">
        <f>F40</f>
        <v>Aluminium</v>
      </c>
      <c r="G83" s="4" t="s">
        <v>19</v>
      </c>
    </row>
    <row r="84" spans="1:14" x14ac:dyDescent="0.25">
      <c r="A84" s="4" t="str">
        <f>A40</f>
        <v>[P] Alumina production - Global</v>
      </c>
      <c r="B84" s="4" t="str">
        <f>B40</f>
        <v>Alumina</v>
      </c>
      <c r="C84" s="4" t="str">
        <f>C40</f>
        <v>GLO</v>
      </c>
      <c r="D84" s="4">
        <v>1</v>
      </c>
      <c r="E84" s="4" t="str">
        <f>E40</f>
        <v>kilogram</v>
      </c>
      <c r="F84" s="6" t="str">
        <f>F40</f>
        <v>Aluminium</v>
      </c>
      <c r="G84" s="4" t="s">
        <v>25</v>
      </c>
    </row>
    <row r="85" spans="1:14" x14ac:dyDescent="0.25">
      <c r="A85" s="4" t="str">
        <f>A9</f>
        <v>[M+C] Bauxite mining - Global</v>
      </c>
      <c r="B85" s="4" t="str">
        <f t="shared" ref="B85:F85" si="0">B9</f>
        <v>Bauxite</v>
      </c>
      <c r="C85" s="4" t="str">
        <f t="shared" si="0"/>
        <v>GLO</v>
      </c>
      <c r="D85" s="4">
        <v>2.6852706398447501</v>
      </c>
      <c r="E85" s="4" t="str">
        <f t="shared" si="0"/>
        <v>kilogram</v>
      </c>
      <c r="F85" s="6" t="str">
        <f t="shared" si="0"/>
        <v>Aluminium</v>
      </c>
      <c r="G85" s="4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8" tint="0.39997558519241921"/>
  </sheetPr>
  <dimension ref="A1:N166"/>
  <sheetViews>
    <sheetView topLeftCell="A127" workbookViewId="0">
      <selection activeCell="B180" sqref="B180"/>
    </sheetView>
  </sheetViews>
  <sheetFormatPr baseColWidth="10" defaultColWidth="8.7109375" defaultRowHeight="15" x14ac:dyDescent="0.25"/>
  <cols>
    <col min="1" max="1" width="61.5703125" style="4" bestFit="1" customWidth="1"/>
    <col min="2" max="2" width="51.85546875" style="4" bestFit="1" customWidth="1"/>
    <col min="3" max="3" width="22.140625" style="4" bestFit="1" customWidth="1"/>
    <col min="4" max="4" width="12.7109375" style="4" bestFit="1" customWidth="1"/>
    <col min="5" max="5" width="17.5703125" style="4" bestFit="1" customWidth="1"/>
    <col min="6" max="6" width="19.7109375" style="4" bestFit="1" customWidth="1"/>
    <col min="7" max="7" width="13.28515625" style="4" bestFit="1" customWidth="1"/>
    <col min="8" max="8" width="25.28515625" style="4" bestFit="1" customWidth="1"/>
    <col min="9" max="9" width="15.5703125" style="4" bestFit="1" customWidth="1"/>
    <col min="10" max="10" width="9.7109375" style="4" bestFit="1" customWidth="1"/>
    <col min="11" max="11" width="3.5703125" style="4" bestFit="1" customWidth="1"/>
    <col min="12" max="12" width="5.42578125" style="4" bestFit="1" customWidth="1"/>
    <col min="13" max="13" width="9.5703125" style="4" bestFit="1" customWidth="1"/>
    <col min="14" max="14" width="9.85546875" style="4" bestFit="1" customWidth="1"/>
    <col min="15" max="16384" width="8.7109375" style="4"/>
  </cols>
  <sheetData>
    <row r="1" spans="1:14" x14ac:dyDescent="0.25">
      <c r="A1" s="7" t="s">
        <v>0</v>
      </c>
      <c r="B1" s="7" t="s">
        <v>260</v>
      </c>
    </row>
    <row r="2" spans="1:14" x14ac:dyDescent="0.25">
      <c r="A2" s="5" t="s">
        <v>1</v>
      </c>
      <c r="B2" s="4" t="s">
        <v>108</v>
      </c>
    </row>
    <row r="3" spans="1:14" x14ac:dyDescent="0.25">
      <c r="A3" s="5" t="s">
        <v>2</v>
      </c>
      <c r="B3" s="4" t="s">
        <v>109</v>
      </c>
    </row>
    <row r="4" spans="1:14" x14ac:dyDescent="0.25">
      <c r="A4" s="5" t="s">
        <v>3</v>
      </c>
      <c r="B4" s="4">
        <v>1</v>
      </c>
    </row>
    <row r="5" spans="1:14" x14ac:dyDescent="0.25">
      <c r="A5" s="5" t="s">
        <v>4</v>
      </c>
      <c r="B5" s="4" t="s">
        <v>5</v>
      </c>
    </row>
    <row r="6" spans="1:14" x14ac:dyDescent="0.25">
      <c r="A6" s="5" t="s">
        <v>6</v>
      </c>
      <c r="B6" s="4" t="s">
        <v>7</v>
      </c>
    </row>
    <row r="7" spans="1:14" x14ac:dyDescent="0.25">
      <c r="A7" s="5" t="s">
        <v>8</v>
      </c>
    </row>
    <row r="8" spans="1:14" x14ac:dyDescent="0.25">
      <c r="A8" s="7" t="s">
        <v>9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10</v>
      </c>
      <c r="G8" s="7" t="s">
        <v>11</v>
      </c>
      <c r="H8" s="7" t="s">
        <v>12</v>
      </c>
      <c r="I8" s="7" t="s">
        <v>13</v>
      </c>
      <c r="J8" s="7" t="s">
        <v>14</v>
      </c>
      <c r="K8" s="7" t="s">
        <v>15</v>
      </c>
      <c r="L8" s="7" t="s">
        <v>16</v>
      </c>
      <c r="M8" s="7" t="s">
        <v>17</v>
      </c>
      <c r="N8" s="7" t="s">
        <v>18</v>
      </c>
    </row>
    <row r="9" spans="1:14" x14ac:dyDescent="0.25">
      <c r="A9" s="4" t="str">
        <f>B1</f>
        <v>[M+C] Bauxite mining</v>
      </c>
      <c r="B9" s="4" t="str">
        <f>B2</f>
        <v>Bauxite</v>
      </c>
      <c r="C9" s="4" t="str">
        <f>B3</f>
        <v>South America</v>
      </c>
      <c r="D9" s="4">
        <v>1</v>
      </c>
      <c r="E9" s="4" t="s">
        <v>5</v>
      </c>
      <c r="F9" s="6" t="str">
        <f>Al_Market_GLO!B1</f>
        <v>Aluminium</v>
      </c>
      <c r="G9" s="4" t="s">
        <v>19</v>
      </c>
    </row>
    <row r="10" spans="1:14" x14ac:dyDescent="0.25">
      <c r="A10" s="4" t="s">
        <v>110</v>
      </c>
      <c r="B10" s="4" t="s">
        <v>111</v>
      </c>
      <c r="C10" s="4" t="s">
        <v>29</v>
      </c>
      <c r="D10" s="4">
        <v>4.7314293223340708E-4</v>
      </c>
      <c r="E10" s="4" t="s">
        <v>5</v>
      </c>
      <c r="F10" s="4" t="s">
        <v>24</v>
      </c>
      <c r="G10" s="4" t="s">
        <v>25</v>
      </c>
      <c r="J10" s="4" t="s">
        <v>112</v>
      </c>
    </row>
    <row r="11" spans="1:14" x14ac:dyDescent="0.25">
      <c r="A11" s="4" t="s">
        <v>20</v>
      </c>
      <c r="B11" s="4" t="s">
        <v>21</v>
      </c>
      <c r="C11" s="4" t="s">
        <v>22</v>
      </c>
      <c r="D11" s="4">
        <v>0.16483149117658999</v>
      </c>
      <c r="E11" s="4" t="s">
        <v>23</v>
      </c>
      <c r="F11" s="4" t="s">
        <v>24</v>
      </c>
      <c r="G11" s="4" t="s">
        <v>25</v>
      </c>
      <c r="J11" s="4" t="s">
        <v>112</v>
      </c>
    </row>
    <row r="12" spans="1:14" x14ac:dyDescent="0.25">
      <c r="A12" s="4" t="s">
        <v>113</v>
      </c>
      <c r="B12" s="4" t="s">
        <v>114</v>
      </c>
      <c r="C12" s="4" t="s">
        <v>115</v>
      </c>
      <c r="D12" s="4">
        <v>1.063754238583067E-3</v>
      </c>
      <c r="E12" s="4" t="s">
        <v>28</v>
      </c>
      <c r="F12" s="4" t="s">
        <v>24</v>
      </c>
      <c r="G12" s="4" t="s">
        <v>25</v>
      </c>
      <c r="J12" s="4" t="s">
        <v>112</v>
      </c>
    </row>
    <row r="13" spans="1:14" x14ac:dyDescent="0.25">
      <c r="A13" s="4" t="s">
        <v>36</v>
      </c>
      <c r="B13" s="4" t="s">
        <v>37</v>
      </c>
      <c r="C13" s="4" t="s">
        <v>29</v>
      </c>
      <c r="D13" s="4">
        <v>-1.3643674538561901E-4</v>
      </c>
      <c r="E13" s="4" t="s">
        <v>5</v>
      </c>
      <c r="F13" s="4" t="s">
        <v>24</v>
      </c>
      <c r="G13" s="4" t="s">
        <v>25</v>
      </c>
      <c r="J13" s="4" t="s">
        <v>116</v>
      </c>
    </row>
    <row r="14" spans="1:14" x14ac:dyDescent="0.25">
      <c r="A14" s="4" t="s">
        <v>52</v>
      </c>
      <c r="B14" s="4" t="s">
        <v>53</v>
      </c>
      <c r="C14" s="4" t="s">
        <v>22</v>
      </c>
      <c r="D14" s="4">
        <v>-6.9631168520592592E-3</v>
      </c>
      <c r="E14" s="4" t="s">
        <v>5</v>
      </c>
      <c r="F14" s="4" t="s">
        <v>24</v>
      </c>
      <c r="G14" s="4" t="s">
        <v>25</v>
      </c>
      <c r="J14" s="4" t="s">
        <v>116</v>
      </c>
    </row>
    <row r="15" spans="1:14" x14ac:dyDescent="0.25">
      <c r="A15" s="4" t="s">
        <v>38</v>
      </c>
      <c r="B15" s="4" t="s">
        <v>39</v>
      </c>
      <c r="C15" s="4" t="s">
        <v>29</v>
      </c>
      <c r="D15" s="4">
        <v>-3.13795623393767E-8</v>
      </c>
      <c r="E15" s="4" t="s">
        <v>5</v>
      </c>
      <c r="F15" s="4" t="s">
        <v>24</v>
      </c>
      <c r="G15" s="4" t="s">
        <v>25</v>
      </c>
      <c r="J15" s="4" t="s">
        <v>116</v>
      </c>
    </row>
    <row r="16" spans="1:14" x14ac:dyDescent="0.25">
      <c r="A16" s="4" t="s">
        <v>48</v>
      </c>
      <c r="D16" s="4">
        <v>1.0353373592948E-3</v>
      </c>
      <c r="E16" s="4" t="s">
        <v>49</v>
      </c>
      <c r="F16" s="4" t="s">
        <v>42</v>
      </c>
      <c r="G16" s="4" t="s">
        <v>43</v>
      </c>
      <c r="H16" s="4" t="s">
        <v>47</v>
      </c>
      <c r="J16" s="4" t="s">
        <v>112</v>
      </c>
    </row>
    <row r="17" spans="1:14" x14ac:dyDescent="0.25">
      <c r="A17" s="4" t="s">
        <v>117</v>
      </c>
      <c r="D17" s="4">
        <v>5.1350460011288747E-4</v>
      </c>
      <c r="E17" s="4" t="s">
        <v>45</v>
      </c>
      <c r="F17" s="4" t="s">
        <v>42</v>
      </c>
      <c r="G17" s="4" t="s">
        <v>43</v>
      </c>
      <c r="H17" s="4" t="s">
        <v>44</v>
      </c>
      <c r="J17" s="4" t="s">
        <v>116</v>
      </c>
    </row>
    <row r="18" spans="1:14" x14ac:dyDescent="0.25">
      <c r="A18" s="4" t="s">
        <v>46</v>
      </c>
      <c r="D18" s="4">
        <v>5.1350460011288747E-4</v>
      </c>
      <c r="E18" s="4" t="s">
        <v>45</v>
      </c>
      <c r="F18" s="4" t="s">
        <v>42</v>
      </c>
      <c r="G18" s="4" t="s">
        <v>43</v>
      </c>
      <c r="H18" s="4" t="s">
        <v>44</v>
      </c>
      <c r="J18" s="4" t="s">
        <v>116</v>
      </c>
    </row>
    <row r="19" spans="1:14" x14ac:dyDescent="0.25">
      <c r="A19" s="4" t="s">
        <v>40</v>
      </c>
      <c r="D19" s="4">
        <v>7.1195152749371915E-10</v>
      </c>
      <c r="E19" s="4" t="s">
        <v>41</v>
      </c>
      <c r="F19" s="4" t="s">
        <v>42</v>
      </c>
      <c r="G19" s="4" t="s">
        <v>43</v>
      </c>
      <c r="H19" s="4" t="s">
        <v>44</v>
      </c>
      <c r="J19" s="4" t="s">
        <v>116</v>
      </c>
    </row>
    <row r="20" spans="1:14" x14ac:dyDescent="0.25">
      <c r="A20" s="4" t="s">
        <v>64</v>
      </c>
      <c r="D20" s="4">
        <v>6.9504200400213497E-7</v>
      </c>
      <c r="E20" s="4" t="s">
        <v>5</v>
      </c>
      <c r="F20" s="4" t="s">
        <v>42</v>
      </c>
      <c r="G20" s="4" t="s">
        <v>43</v>
      </c>
      <c r="H20" s="4" t="s">
        <v>63</v>
      </c>
      <c r="J20" s="4" t="s">
        <v>116</v>
      </c>
    </row>
    <row r="21" spans="1:14" x14ac:dyDescent="0.25">
      <c r="A21" s="4" t="s">
        <v>62</v>
      </c>
      <c r="D21" s="4">
        <v>6.1187458471982823E-7</v>
      </c>
      <c r="E21" s="4" t="s">
        <v>5</v>
      </c>
      <c r="F21" s="4" t="s">
        <v>42</v>
      </c>
      <c r="G21" s="4" t="s">
        <v>43</v>
      </c>
      <c r="H21" s="4" t="s">
        <v>63</v>
      </c>
      <c r="J21" s="4" t="s">
        <v>116</v>
      </c>
    </row>
    <row r="22" spans="1:14" x14ac:dyDescent="0.25">
      <c r="A22" s="4" t="s">
        <v>73</v>
      </c>
      <c r="D22" s="4">
        <v>1.0297042041037031E-4</v>
      </c>
      <c r="E22" s="4" t="s">
        <v>5</v>
      </c>
      <c r="F22" s="4" t="s">
        <v>42</v>
      </c>
      <c r="G22" s="4" t="s">
        <v>43</v>
      </c>
      <c r="H22" s="4" t="s">
        <v>63</v>
      </c>
      <c r="J22" s="4" t="s">
        <v>116</v>
      </c>
    </row>
    <row r="23" spans="1:14" x14ac:dyDescent="0.25">
      <c r="A23" s="4" t="s">
        <v>118</v>
      </c>
      <c r="D23" s="4">
        <v>3.1550451534564201E-4</v>
      </c>
      <c r="E23" s="4" t="s">
        <v>49</v>
      </c>
      <c r="F23" s="4" t="s">
        <v>42</v>
      </c>
      <c r="G23" s="4" t="s">
        <v>43</v>
      </c>
      <c r="H23" s="4" t="s">
        <v>96</v>
      </c>
      <c r="J23" s="4" t="s">
        <v>116</v>
      </c>
    </row>
    <row r="24" spans="1:14" s="8" customFormat="1" x14ac:dyDescent="0.25"/>
    <row r="25" spans="1:14" x14ac:dyDescent="0.25">
      <c r="A25" s="7" t="s">
        <v>0</v>
      </c>
      <c r="B25" s="7" t="s">
        <v>119</v>
      </c>
    </row>
    <row r="26" spans="1:14" x14ac:dyDescent="0.25">
      <c r="A26" s="5" t="s">
        <v>1</v>
      </c>
      <c r="B26" s="4" t="s">
        <v>120</v>
      </c>
    </row>
    <row r="27" spans="1:14" x14ac:dyDescent="0.25">
      <c r="A27" s="5" t="s">
        <v>2</v>
      </c>
      <c r="B27" s="4" t="s">
        <v>109</v>
      </c>
    </row>
    <row r="28" spans="1:14" x14ac:dyDescent="0.25">
      <c r="A28" s="5" t="s">
        <v>3</v>
      </c>
      <c r="B28" s="4">
        <v>1</v>
      </c>
    </row>
    <row r="29" spans="1:14" x14ac:dyDescent="0.25">
      <c r="A29" s="5" t="s">
        <v>4</v>
      </c>
      <c r="B29" s="4" t="s">
        <v>5</v>
      </c>
    </row>
    <row r="30" spans="1:14" x14ac:dyDescent="0.25">
      <c r="A30" s="5" t="s">
        <v>6</v>
      </c>
      <c r="B30" s="4" t="s">
        <v>7</v>
      </c>
    </row>
    <row r="31" spans="1:14" x14ac:dyDescent="0.25">
      <c r="A31" s="5" t="s">
        <v>8</v>
      </c>
    </row>
    <row r="32" spans="1:14" x14ac:dyDescent="0.25">
      <c r="A32" s="7" t="s">
        <v>9</v>
      </c>
      <c r="B32" s="7" t="s">
        <v>1</v>
      </c>
      <c r="C32" s="7" t="s">
        <v>2</v>
      </c>
      <c r="D32" s="7" t="s">
        <v>3</v>
      </c>
      <c r="E32" s="7" t="s">
        <v>4</v>
      </c>
      <c r="F32" s="7" t="s">
        <v>10</v>
      </c>
      <c r="G32" s="7" t="s">
        <v>11</v>
      </c>
      <c r="H32" s="7" t="s">
        <v>12</v>
      </c>
      <c r="I32" s="7" t="s">
        <v>13</v>
      </c>
      <c r="J32" s="7" t="s">
        <v>14</v>
      </c>
      <c r="K32" s="7" t="s">
        <v>15</v>
      </c>
      <c r="L32" s="7" t="s">
        <v>16</v>
      </c>
      <c r="M32" s="7" t="s">
        <v>17</v>
      </c>
      <c r="N32" s="7" t="s">
        <v>18</v>
      </c>
    </row>
    <row r="33" spans="1:10" x14ac:dyDescent="0.25">
      <c r="A33" s="4" t="str">
        <f>B25</f>
        <v>[P] Alumina production</v>
      </c>
      <c r="B33" s="4" t="str">
        <f>B26</f>
        <v>Alumina</v>
      </c>
      <c r="C33" s="4" t="str">
        <f>B27</f>
        <v>South America</v>
      </c>
      <c r="D33" s="4">
        <v>1</v>
      </c>
      <c r="E33" s="4" t="s">
        <v>5</v>
      </c>
      <c r="F33" s="6" t="str">
        <f>F9</f>
        <v>Aluminium</v>
      </c>
      <c r="G33" s="4" t="s">
        <v>19</v>
      </c>
    </row>
    <row r="34" spans="1:10" x14ac:dyDescent="0.25">
      <c r="A34" s="4" t="s">
        <v>121</v>
      </c>
      <c r="B34" s="4" t="s">
        <v>122</v>
      </c>
      <c r="C34" s="4" t="s">
        <v>22</v>
      </c>
      <c r="D34" s="4">
        <v>2.90483633351454</v>
      </c>
      <c r="E34" s="4" t="s">
        <v>105</v>
      </c>
      <c r="F34" s="4" t="s">
        <v>24</v>
      </c>
      <c r="G34" s="4" t="s">
        <v>25</v>
      </c>
      <c r="J34" s="4" t="s">
        <v>112</v>
      </c>
    </row>
    <row r="35" spans="1:10" x14ac:dyDescent="0.25">
      <c r="A35" s="4" t="s">
        <v>123</v>
      </c>
      <c r="B35" s="4" t="s">
        <v>124</v>
      </c>
      <c r="C35" s="4" t="s">
        <v>29</v>
      </c>
      <c r="D35" s="4">
        <v>1.0340960462174E-2</v>
      </c>
      <c r="E35" s="4" t="s">
        <v>105</v>
      </c>
      <c r="F35" s="4" t="s">
        <v>24</v>
      </c>
      <c r="G35" s="4" t="s">
        <v>25</v>
      </c>
      <c r="J35" s="4" t="s">
        <v>112</v>
      </c>
    </row>
    <row r="36" spans="1:10" x14ac:dyDescent="0.25">
      <c r="A36" s="4" t="s">
        <v>125</v>
      </c>
      <c r="B36" s="4" t="s">
        <v>126</v>
      </c>
      <c r="C36" s="4" t="s">
        <v>29</v>
      </c>
      <c r="D36" s="4">
        <v>0.55962599999999996</v>
      </c>
      <c r="E36" s="4" t="s">
        <v>105</v>
      </c>
      <c r="F36" s="4" t="s">
        <v>24</v>
      </c>
      <c r="G36" s="4" t="s">
        <v>25</v>
      </c>
      <c r="J36" s="4" t="s">
        <v>112</v>
      </c>
    </row>
    <row r="37" spans="1:10" x14ac:dyDescent="0.25">
      <c r="A37" s="4" t="s">
        <v>32</v>
      </c>
      <c r="B37" s="4" t="s">
        <v>33</v>
      </c>
      <c r="C37" s="4" t="s">
        <v>29</v>
      </c>
      <c r="D37" s="4">
        <v>9.9147693390640196E-2</v>
      </c>
      <c r="E37" s="4" t="s">
        <v>5</v>
      </c>
      <c r="F37" s="4" t="s">
        <v>24</v>
      </c>
      <c r="G37" s="4" t="s">
        <v>25</v>
      </c>
      <c r="J37" s="4" t="s">
        <v>112</v>
      </c>
    </row>
    <row r="38" spans="1:10" x14ac:dyDescent="0.25">
      <c r="A38" s="4" t="s">
        <v>77</v>
      </c>
      <c r="B38" s="4" t="s">
        <v>78</v>
      </c>
      <c r="C38" s="4" t="s">
        <v>29</v>
      </c>
      <c r="D38" s="4">
        <v>1.41509702910796E-2</v>
      </c>
      <c r="E38" s="4" t="s">
        <v>5</v>
      </c>
      <c r="F38" s="4" t="s">
        <v>24</v>
      </c>
      <c r="G38" s="4" t="s">
        <v>25</v>
      </c>
      <c r="J38" s="4" t="s">
        <v>112</v>
      </c>
    </row>
    <row r="39" spans="1:10" x14ac:dyDescent="0.25">
      <c r="A39" s="4" t="s">
        <v>110</v>
      </c>
      <c r="B39" s="4" t="s">
        <v>111</v>
      </c>
      <c r="C39" s="4" t="s">
        <v>29</v>
      </c>
      <c r="D39" s="4">
        <v>0.10673362280851099</v>
      </c>
      <c r="E39" s="4" t="s">
        <v>5</v>
      </c>
      <c r="F39" s="4" t="s">
        <v>24</v>
      </c>
      <c r="G39" s="4" t="s">
        <v>25</v>
      </c>
      <c r="J39" s="4" t="s">
        <v>127</v>
      </c>
    </row>
    <row r="40" spans="1:10" x14ac:dyDescent="0.25">
      <c r="A40" s="4" t="s">
        <v>20</v>
      </c>
      <c r="B40" s="4" t="s">
        <v>21</v>
      </c>
      <c r="C40" s="4" t="s">
        <v>22</v>
      </c>
      <c r="D40" s="4">
        <v>5.372049399627047E-3</v>
      </c>
      <c r="E40" s="4" t="s">
        <v>23</v>
      </c>
      <c r="F40" s="4" t="s">
        <v>24</v>
      </c>
      <c r="G40" s="4" t="s">
        <v>25</v>
      </c>
      <c r="J40" s="4" t="s">
        <v>127</v>
      </c>
    </row>
    <row r="41" spans="1:10" x14ac:dyDescent="0.25">
      <c r="A41" s="4" t="s">
        <v>57</v>
      </c>
      <c r="B41" s="4" t="s">
        <v>58</v>
      </c>
      <c r="C41" s="4" t="s">
        <v>29</v>
      </c>
      <c r="D41" s="4">
        <v>1.519098699866595E-2</v>
      </c>
      <c r="E41" s="4" t="s">
        <v>49</v>
      </c>
      <c r="F41" s="4" t="s">
        <v>24</v>
      </c>
      <c r="G41" s="4" t="s">
        <v>25</v>
      </c>
      <c r="J41" s="4" t="s">
        <v>127</v>
      </c>
    </row>
    <row r="42" spans="1:10" x14ac:dyDescent="0.25">
      <c r="A42" s="4" t="s">
        <v>128</v>
      </c>
      <c r="B42" s="4" t="s">
        <v>129</v>
      </c>
      <c r="C42" s="4" t="s">
        <v>29</v>
      </c>
      <c r="D42" s="4">
        <v>2.90740077569248</v>
      </c>
      <c r="E42" s="4" t="s">
        <v>23</v>
      </c>
      <c r="F42" s="4" t="s">
        <v>24</v>
      </c>
      <c r="G42" s="4" t="s">
        <v>25</v>
      </c>
      <c r="J42" s="4" t="s">
        <v>127</v>
      </c>
    </row>
    <row r="43" spans="1:10" x14ac:dyDescent="0.25">
      <c r="A43" s="4" t="s">
        <v>113</v>
      </c>
      <c r="B43" s="4" t="s">
        <v>114</v>
      </c>
      <c r="C43" s="4" t="s">
        <v>115</v>
      </c>
      <c r="D43" s="4">
        <v>0.1109546820661689</v>
      </c>
      <c r="E43" s="4" t="s">
        <v>28</v>
      </c>
      <c r="F43" s="4" t="s">
        <v>24</v>
      </c>
      <c r="G43" s="4" t="s">
        <v>25</v>
      </c>
      <c r="J43" s="4" t="s">
        <v>127</v>
      </c>
    </row>
    <row r="44" spans="1:10" x14ac:dyDescent="0.25">
      <c r="A44" s="4" t="s">
        <v>130</v>
      </c>
      <c r="B44" s="4" t="s">
        <v>131</v>
      </c>
      <c r="C44" s="4" t="s">
        <v>29</v>
      </c>
      <c r="D44" s="4">
        <v>-2.5424966046044199E-4</v>
      </c>
      <c r="E44" s="4" t="s">
        <v>5</v>
      </c>
      <c r="F44" s="4" t="s">
        <v>24</v>
      </c>
      <c r="G44" s="4" t="s">
        <v>25</v>
      </c>
      <c r="J44" s="4" t="s">
        <v>127</v>
      </c>
    </row>
    <row r="45" spans="1:10" x14ac:dyDescent="0.25">
      <c r="A45" s="4" t="s">
        <v>130</v>
      </c>
      <c r="B45" s="4" t="s">
        <v>131</v>
      </c>
      <c r="C45" s="4" t="s">
        <v>29</v>
      </c>
      <c r="D45" s="4">
        <v>-0.8012864427291061</v>
      </c>
      <c r="E45" s="4" t="s">
        <v>5</v>
      </c>
      <c r="F45" s="4" t="s">
        <v>24</v>
      </c>
      <c r="G45" s="4" t="s">
        <v>25</v>
      </c>
      <c r="J45" s="4" t="s">
        <v>61</v>
      </c>
    </row>
    <row r="46" spans="1:10" x14ac:dyDescent="0.25">
      <c r="A46" s="4" t="s">
        <v>36</v>
      </c>
      <c r="B46" s="4" t="s">
        <v>37</v>
      </c>
      <c r="C46" s="4" t="s">
        <v>29</v>
      </c>
      <c r="D46" s="4">
        <v>-2.700142021583073E-2</v>
      </c>
      <c r="E46" s="4" t="s">
        <v>5</v>
      </c>
      <c r="F46" s="4" t="s">
        <v>24</v>
      </c>
      <c r="G46" s="4" t="s">
        <v>25</v>
      </c>
      <c r="J46" s="4" t="s">
        <v>112</v>
      </c>
    </row>
    <row r="47" spans="1:10" x14ac:dyDescent="0.25">
      <c r="A47" s="4" t="s">
        <v>38</v>
      </c>
      <c r="B47" s="4" t="s">
        <v>39</v>
      </c>
      <c r="C47" s="4" t="s">
        <v>29</v>
      </c>
      <c r="D47" s="4">
        <v>-8.5895894945164E-3</v>
      </c>
      <c r="E47" s="4" t="s">
        <v>5</v>
      </c>
      <c r="F47" s="4" t="s">
        <v>24</v>
      </c>
      <c r="G47" s="4" t="s">
        <v>25</v>
      </c>
      <c r="J47" s="4" t="s">
        <v>112</v>
      </c>
    </row>
    <row r="48" spans="1:10" x14ac:dyDescent="0.25">
      <c r="A48" s="4" t="s">
        <v>48</v>
      </c>
      <c r="D48" s="4">
        <v>2.7548617738159201E-3</v>
      </c>
      <c r="E48" s="4" t="s">
        <v>49</v>
      </c>
      <c r="F48" s="4" t="s">
        <v>42</v>
      </c>
      <c r="G48" s="4" t="s">
        <v>43</v>
      </c>
      <c r="H48" s="4" t="s">
        <v>47</v>
      </c>
      <c r="J48" s="4" t="s">
        <v>112</v>
      </c>
    </row>
    <row r="49" spans="1:10" x14ac:dyDescent="0.25">
      <c r="A49" s="4" t="s">
        <v>117</v>
      </c>
      <c r="D49" s="4">
        <v>7.5048440882110907E-4</v>
      </c>
      <c r="E49" s="4" t="s">
        <v>45</v>
      </c>
      <c r="F49" s="4" t="s">
        <v>42</v>
      </c>
      <c r="G49" s="4" t="s">
        <v>43</v>
      </c>
      <c r="H49" s="4" t="s">
        <v>44</v>
      </c>
      <c r="J49" s="4" t="s">
        <v>61</v>
      </c>
    </row>
    <row r="50" spans="1:10" x14ac:dyDescent="0.25">
      <c r="A50" s="4" t="s">
        <v>46</v>
      </c>
      <c r="D50" s="4">
        <v>7.5048440882110907E-4</v>
      </c>
      <c r="E50" s="4" t="s">
        <v>45</v>
      </c>
      <c r="F50" s="4" t="s">
        <v>42</v>
      </c>
      <c r="G50" s="4" t="s">
        <v>43</v>
      </c>
      <c r="H50" s="4" t="s">
        <v>44</v>
      </c>
      <c r="J50" s="4" t="s">
        <v>61</v>
      </c>
    </row>
    <row r="51" spans="1:10" x14ac:dyDescent="0.25">
      <c r="A51" s="4" t="s">
        <v>40</v>
      </c>
      <c r="D51" s="4">
        <v>3.0739634683811781E-9</v>
      </c>
      <c r="E51" s="4" t="s">
        <v>41</v>
      </c>
      <c r="F51" s="4" t="s">
        <v>42</v>
      </c>
      <c r="G51" s="4" t="s">
        <v>43</v>
      </c>
      <c r="H51" s="4" t="s">
        <v>44</v>
      </c>
      <c r="J51" s="4" t="s">
        <v>61</v>
      </c>
    </row>
    <row r="52" spans="1:10" x14ac:dyDescent="0.25">
      <c r="A52" s="4" t="s">
        <v>64</v>
      </c>
      <c r="D52" s="4">
        <v>1.15812539493979E-4</v>
      </c>
      <c r="E52" s="4" t="s">
        <v>5</v>
      </c>
      <c r="F52" s="4" t="s">
        <v>42</v>
      </c>
      <c r="G52" s="4" t="s">
        <v>43</v>
      </c>
      <c r="H52" s="4" t="s">
        <v>63</v>
      </c>
      <c r="J52" s="4" t="s">
        <v>112</v>
      </c>
    </row>
    <row r="53" spans="1:10" x14ac:dyDescent="0.25">
      <c r="A53" s="4" t="s">
        <v>62</v>
      </c>
      <c r="D53" s="4">
        <v>1.8251591758872781E-3</v>
      </c>
      <c r="E53" s="4" t="s">
        <v>5</v>
      </c>
      <c r="F53" s="4" t="s">
        <v>42</v>
      </c>
      <c r="G53" s="4" t="s">
        <v>43</v>
      </c>
      <c r="H53" s="4" t="s">
        <v>63</v>
      </c>
      <c r="J53" s="4" t="s">
        <v>112</v>
      </c>
    </row>
    <row r="54" spans="1:10" x14ac:dyDescent="0.25">
      <c r="A54" s="4" t="s">
        <v>73</v>
      </c>
      <c r="D54" s="4">
        <v>1.010093496944384E-3</v>
      </c>
      <c r="E54" s="4" t="s">
        <v>5</v>
      </c>
      <c r="F54" s="4" t="s">
        <v>42</v>
      </c>
      <c r="G54" s="4" t="s">
        <v>43</v>
      </c>
      <c r="H54" s="4" t="s">
        <v>63</v>
      </c>
      <c r="J54" s="4" t="s">
        <v>112</v>
      </c>
    </row>
    <row r="55" spans="1:10" x14ac:dyDescent="0.25">
      <c r="A55" s="4" t="s">
        <v>107</v>
      </c>
      <c r="D55" s="4">
        <v>1.2009762671894001E-7</v>
      </c>
      <c r="E55" s="4" t="s">
        <v>5</v>
      </c>
      <c r="F55" s="4" t="s">
        <v>42</v>
      </c>
      <c r="G55" s="4" t="s">
        <v>43</v>
      </c>
      <c r="H55" s="4" t="s">
        <v>63</v>
      </c>
      <c r="J55" s="4" t="s">
        <v>112</v>
      </c>
    </row>
    <row r="56" spans="1:10" x14ac:dyDescent="0.25">
      <c r="A56" s="4" t="s">
        <v>132</v>
      </c>
      <c r="D56" s="4">
        <v>3.9947757879233368E-9</v>
      </c>
      <c r="E56" s="4" t="s">
        <v>5</v>
      </c>
      <c r="F56" s="4" t="s">
        <v>42</v>
      </c>
      <c r="G56" s="4" t="s">
        <v>43</v>
      </c>
      <c r="H56" s="4" t="s">
        <v>63</v>
      </c>
      <c r="J56" s="4" t="s">
        <v>112</v>
      </c>
    </row>
    <row r="57" spans="1:10" x14ac:dyDescent="0.25">
      <c r="A57" s="4" t="s">
        <v>118</v>
      </c>
      <c r="D57" s="4">
        <v>9.4483929189683401E-4</v>
      </c>
      <c r="E57" s="4" t="s">
        <v>49</v>
      </c>
      <c r="F57" s="4" t="s">
        <v>42</v>
      </c>
      <c r="G57" s="4" t="s">
        <v>43</v>
      </c>
      <c r="H57" s="4" t="s">
        <v>96</v>
      </c>
      <c r="J57" s="4" t="s">
        <v>112</v>
      </c>
    </row>
    <row r="58" spans="1:10" s="8" customFormat="1" x14ac:dyDescent="0.25"/>
    <row r="59" spans="1:10" x14ac:dyDescent="0.25">
      <c r="A59" s="7" t="s">
        <v>0</v>
      </c>
      <c r="B59" s="7" t="s">
        <v>133</v>
      </c>
    </row>
    <row r="60" spans="1:10" x14ac:dyDescent="0.25">
      <c r="A60" s="5" t="s">
        <v>1</v>
      </c>
      <c r="B60" s="4" t="s">
        <v>134</v>
      </c>
    </row>
    <row r="61" spans="1:10" x14ac:dyDescent="0.25">
      <c r="A61" s="5" t="s">
        <v>2</v>
      </c>
      <c r="B61" s="4" t="s">
        <v>109</v>
      </c>
    </row>
    <row r="62" spans="1:10" x14ac:dyDescent="0.25">
      <c r="A62" s="5" t="s">
        <v>3</v>
      </c>
      <c r="B62" s="4">
        <v>1</v>
      </c>
    </row>
    <row r="63" spans="1:10" x14ac:dyDescent="0.25">
      <c r="A63" s="5" t="s">
        <v>4</v>
      </c>
      <c r="B63" s="4" t="s">
        <v>5</v>
      </c>
    </row>
    <row r="64" spans="1:10" x14ac:dyDescent="0.25">
      <c r="A64" s="5" t="s">
        <v>6</v>
      </c>
      <c r="B64" s="4" t="s">
        <v>7</v>
      </c>
    </row>
    <row r="65" spans="1:14" x14ac:dyDescent="0.25">
      <c r="A65" s="5" t="s">
        <v>8</v>
      </c>
    </row>
    <row r="66" spans="1:14" x14ac:dyDescent="0.25">
      <c r="A66" s="7" t="s">
        <v>9</v>
      </c>
      <c r="B66" s="7" t="s">
        <v>1</v>
      </c>
      <c r="C66" s="7" t="s">
        <v>2</v>
      </c>
      <c r="D66" s="7" t="s">
        <v>3</v>
      </c>
      <c r="E66" s="7" t="s">
        <v>4</v>
      </c>
      <c r="F66" s="7" t="s">
        <v>10</v>
      </c>
      <c r="G66" s="7" t="s">
        <v>11</v>
      </c>
      <c r="H66" s="7" t="s">
        <v>12</v>
      </c>
      <c r="I66" s="7" t="s">
        <v>13</v>
      </c>
      <c r="J66" s="7" t="s">
        <v>14</v>
      </c>
      <c r="K66" s="7" t="s">
        <v>15</v>
      </c>
      <c r="L66" s="7" t="s">
        <v>16</v>
      </c>
      <c r="M66" s="7" t="s">
        <v>17</v>
      </c>
      <c r="N66" s="7" t="s">
        <v>18</v>
      </c>
    </row>
    <row r="67" spans="1:14" x14ac:dyDescent="0.25">
      <c r="A67" s="4" t="str">
        <f>B59</f>
        <v>[P] Anode/Paste production</v>
      </c>
      <c r="B67" s="4" t="str">
        <f>B60</f>
        <v>Anode/Paste</v>
      </c>
      <c r="C67" s="4" t="str">
        <f>B61</f>
        <v>South America</v>
      </c>
      <c r="D67" s="4">
        <v>1</v>
      </c>
      <c r="E67" s="4" t="s">
        <v>5</v>
      </c>
      <c r="F67" s="6" t="str">
        <f>F33</f>
        <v>Aluminium</v>
      </c>
      <c r="G67" s="4" t="s">
        <v>19</v>
      </c>
    </row>
    <row r="68" spans="1:14" x14ac:dyDescent="0.25">
      <c r="A68" s="4" t="s">
        <v>135</v>
      </c>
      <c r="B68" s="4" t="s">
        <v>136</v>
      </c>
      <c r="C68" s="4" t="s">
        <v>22</v>
      </c>
      <c r="D68" s="4">
        <v>0.87142209810837001</v>
      </c>
      <c r="E68" s="4" t="s">
        <v>5</v>
      </c>
      <c r="F68" s="4" t="s">
        <v>24</v>
      </c>
      <c r="G68" s="4" t="s">
        <v>25</v>
      </c>
      <c r="J68" s="4" t="s">
        <v>61</v>
      </c>
    </row>
    <row r="69" spans="1:14" x14ac:dyDescent="0.25">
      <c r="A69" s="4" t="s">
        <v>137</v>
      </c>
      <c r="B69" s="4" t="s">
        <v>138</v>
      </c>
      <c r="C69" s="4" t="s">
        <v>29</v>
      </c>
      <c r="D69" s="4">
        <v>0.19116137062470581</v>
      </c>
      <c r="E69" s="4" t="s">
        <v>5</v>
      </c>
      <c r="F69" s="4" t="s">
        <v>24</v>
      </c>
      <c r="G69" s="4" t="s">
        <v>25</v>
      </c>
      <c r="J69" s="4" t="s">
        <v>61</v>
      </c>
    </row>
    <row r="70" spans="1:14" x14ac:dyDescent="0.25">
      <c r="A70" s="4" t="s">
        <v>139</v>
      </c>
      <c r="B70" s="4" t="s">
        <v>140</v>
      </c>
      <c r="C70" s="4" t="s">
        <v>22</v>
      </c>
      <c r="D70" s="4">
        <v>7.5141055808616874E-4</v>
      </c>
      <c r="E70" s="4" t="s">
        <v>5</v>
      </c>
      <c r="F70" s="4" t="s">
        <v>24</v>
      </c>
      <c r="G70" s="4" t="s">
        <v>25</v>
      </c>
      <c r="J70" s="4" t="s">
        <v>141</v>
      </c>
    </row>
    <row r="71" spans="1:14" x14ac:dyDescent="0.25">
      <c r="A71" s="4" t="s">
        <v>34</v>
      </c>
      <c r="B71" s="4" t="s">
        <v>35</v>
      </c>
      <c r="C71" s="4" t="s">
        <v>22</v>
      </c>
      <c r="D71" s="4">
        <v>9.3621694962177468E-4</v>
      </c>
      <c r="E71" s="4" t="s">
        <v>5</v>
      </c>
      <c r="F71" s="4" t="s">
        <v>24</v>
      </c>
      <c r="G71" s="4" t="s">
        <v>25</v>
      </c>
      <c r="J71" s="4" t="s">
        <v>141</v>
      </c>
    </row>
    <row r="72" spans="1:14" x14ac:dyDescent="0.25">
      <c r="A72" s="4" t="s">
        <v>110</v>
      </c>
      <c r="B72" s="4" t="s">
        <v>111</v>
      </c>
      <c r="C72" s="4" t="s">
        <v>29</v>
      </c>
      <c r="D72" s="4">
        <v>2.424668279665607E-2</v>
      </c>
      <c r="E72" s="4" t="s">
        <v>5</v>
      </c>
      <c r="F72" s="4" t="s">
        <v>24</v>
      </c>
      <c r="G72" s="4" t="s">
        <v>25</v>
      </c>
      <c r="J72" s="4" t="s">
        <v>61</v>
      </c>
    </row>
    <row r="73" spans="1:14" x14ac:dyDescent="0.25">
      <c r="A73" s="4" t="s">
        <v>57</v>
      </c>
      <c r="B73" s="4" t="s">
        <v>58</v>
      </c>
      <c r="C73" s="4" t="s">
        <v>29</v>
      </c>
      <c r="D73" s="4">
        <v>2.8462017341291751E-2</v>
      </c>
      <c r="E73" s="4" t="s">
        <v>49</v>
      </c>
      <c r="F73" s="4" t="s">
        <v>24</v>
      </c>
      <c r="G73" s="4" t="s">
        <v>25</v>
      </c>
      <c r="J73" s="4" t="s">
        <v>61</v>
      </c>
    </row>
    <row r="74" spans="1:14" x14ac:dyDescent="0.25">
      <c r="A74" s="4" t="s">
        <v>113</v>
      </c>
      <c r="B74" s="4" t="s">
        <v>114</v>
      </c>
      <c r="C74" s="4" t="s">
        <v>115</v>
      </c>
      <c r="D74" s="4">
        <v>0.1514436672117884</v>
      </c>
      <c r="E74" s="4" t="s">
        <v>28</v>
      </c>
      <c r="F74" s="4" t="s">
        <v>24</v>
      </c>
      <c r="G74" s="4" t="s">
        <v>25</v>
      </c>
      <c r="J74" s="4" t="s">
        <v>61</v>
      </c>
    </row>
    <row r="75" spans="1:14" x14ac:dyDescent="0.25">
      <c r="A75" s="4" t="s">
        <v>142</v>
      </c>
      <c r="B75" s="4" t="s">
        <v>143</v>
      </c>
      <c r="C75" s="4" t="s">
        <v>29</v>
      </c>
      <c r="D75" s="4">
        <v>-1.8987197532391641E-3</v>
      </c>
      <c r="E75" s="4" t="s">
        <v>5</v>
      </c>
      <c r="F75" s="4" t="s">
        <v>24</v>
      </c>
      <c r="G75" s="4" t="s">
        <v>25</v>
      </c>
      <c r="J75" s="4" t="s">
        <v>61</v>
      </c>
    </row>
    <row r="76" spans="1:14" x14ac:dyDescent="0.25">
      <c r="A76" s="4" t="s">
        <v>144</v>
      </c>
      <c r="B76" s="4" t="s">
        <v>76</v>
      </c>
      <c r="C76" s="4" t="s">
        <v>29</v>
      </c>
      <c r="D76" s="4">
        <v>-3.1958729238377491E-3</v>
      </c>
      <c r="E76" s="4" t="s">
        <v>5</v>
      </c>
      <c r="F76" s="4" t="s">
        <v>24</v>
      </c>
      <c r="G76" s="4" t="s">
        <v>25</v>
      </c>
      <c r="J76" s="4" t="s">
        <v>141</v>
      </c>
    </row>
    <row r="77" spans="1:14" x14ac:dyDescent="0.25">
      <c r="A77" s="4" t="s">
        <v>145</v>
      </c>
      <c r="B77" s="4" t="s">
        <v>146</v>
      </c>
      <c r="C77" s="4" t="s">
        <v>29</v>
      </c>
      <c r="D77" s="4">
        <v>-1.6255383891106E-2</v>
      </c>
      <c r="E77" s="4" t="s">
        <v>5</v>
      </c>
      <c r="F77" s="4" t="s">
        <v>24</v>
      </c>
      <c r="G77" s="4" t="s">
        <v>25</v>
      </c>
      <c r="J77" s="4" t="s">
        <v>61</v>
      </c>
    </row>
    <row r="78" spans="1:14" x14ac:dyDescent="0.25">
      <c r="A78" s="4" t="s">
        <v>142</v>
      </c>
      <c r="B78" s="4" t="s">
        <v>143</v>
      </c>
      <c r="C78" s="4" t="s">
        <v>29</v>
      </c>
      <c r="D78" s="4">
        <v>-5.790478699042379E-4</v>
      </c>
      <c r="E78" s="4" t="s">
        <v>5</v>
      </c>
      <c r="F78" s="4" t="s">
        <v>24</v>
      </c>
      <c r="G78" s="4" t="s">
        <v>25</v>
      </c>
      <c r="J78" s="4" t="s">
        <v>141</v>
      </c>
    </row>
    <row r="79" spans="1:14" x14ac:dyDescent="0.25">
      <c r="A79" s="4" t="s">
        <v>36</v>
      </c>
      <c r="B79" s="4" t="s">
        <v>37</v>
      </c>
      <c r="C79" s="4" t="s">
        <v>29</v>
      </c>
      <c r="D79" s="4">
        <v>-9.4411479442831365E-3</v>
      </c>
      <c r="E79" s="4" t="s">
        <v>5</v>
      </c>
      <c r="F79" s="4" t="s">
        <v>24</v>
      </c>
      <c r="G79" s="4" t="s">
        <v>25</v>
      </c>
      <c r="J79" s="4" t="s">
        <v>61</v>
      </c>
    </row>
    <row r="80" spans="1:14" x14ac:dyDescent="0.25">
      <c r="A80" s="4" t="s">
        <v>38</v>
      </c>
      <c r="B80" s="4" t="s">
        <v>39</v>
      </c>
      <c r="C80" s="4" t="s">
        <v>29</v>
      </c>
      <c r="D80" s="4">
        <v>-9.4411479442831365E-3</v>
      </c>
      <c r="E80" s="4" t="s">
        <v>5</v>
      </c>
      <c r="F80" s="4" t="s">
        <v>24</v>
      </c>
      <c r="G80" s="4" t="s">
        <v>25</v>
      </c>
      <c r="J80" s="4" t="s">
        <v>61</v>
      </c>
    </row>
    <row r="81" spans="1:14" x14ac:dyDescent="0.25">
      <c r="A81" s="4" t="s">
        <v>48</v>
      </c>
      <c r="D81" s="4">
        <v>6.489819096292691E-5</v>
      </c>
      <c r="E81" s="4" t="s">
        <v>49</v>
      </c>
      <c r="F81" s="4" t="s">
        <v>42</v>
      </c>
      <c r="G81" s="4" t="s">
        <v>43</v>
      </c>
      <c r="H81" s="4" t="s">
        <v>47</v>
      </c>
      <c r="J81" s="4" t="s">
        <v>116</v>
      </c>
    </row>
    <row r="82" spans="1:14" x14ac:dyDescent="0.25">
      <c r="A82" s="4" t="s">
        <v>64</v>
      </c>
      <c r="D82" s="4">
        <v>6.1615575698273774E-5</v>
      </c>
      <c r="E82" s="4" t="s">
        <v>5</v>
      </c>
      <c r="F82" s="4" t="s">
        <v>42</v>
      </c>
      <c r="G82" s="4" t="s">
        <v>43</v>
      </c>
      <c r="H82" s="4" t="s">
        <v>63</v>
      </c>
      <c r="J82" s="4" t="s">
        <v>61</v>
      </c>
    </row>
    <row r="83" spans="1:14" x14ac:dyDescent="0.25">
      <c r="A83" s="4" t="s">
        <v>62</v>
      </c>
      <c r="D83" s="4">
        <v>8.7723000044249446E-4</v>
      </c>
      <c r="E83" s="4" t="s">
        <v>5</v>
      </c>
      <c r="F83" s="4" t="s">
        <v>42</v>
      </c>
      <c r="G83" s="4" t="s">
        <v>43</v>
      </c>
      <c r="H83" s="4" t="s">
        <v>63</v>
      </c>
      <c r="J83" s="4" t="s">
        <v>61</v>
      </c>
    </row>
    <row r="84" spans="1:14" x14ac:dyDescent="0.25">
      <c r="A84" s="4" t="s">
        <v>73</v>
      </c>
      <c r="D84" s="4">
        <v>6.7357052570029847E-4</v>
      </c>
      <c r="E84" s="4" t="s">
        <v>5</v>
      </c>
      <c r="F84" s="4" t="s">
        <v>42</v>
      </c>
      <c r="G84" s="4" t="s">
        <v>43</v>
      </c>
      <c r="H84" s="4" t="s">
        <v>63</v>
      </c>
      <c r="J84" s="4" t="s">
        <v>141</v>
      </c>
    </row>
    <row r="85" spans="1:14" x14ac:dyDescent="0.25">
      <c r="A85" s="4" t="s">
        <v>64</v>
      </c>
      <c r="D85" s="4">
        <v>6.3821948336895346E-6</v>
      </c>
      <c r="E85" s="4" t="s">
        <v>5</v>
      </c>
      <c r="F85" s="4" t="s">
        <v>42</v>
      </c>
      <c r="G85" s="4" t="s">
        <v>43</v>
      </c>
      <c r="H85" s="4" t="s">
        <v>63</v>
      </c>
      <c r="J85" s="4" t="s">
        <v>61</v>
      </c>
    </row>
    <row r="86" spans="1:14" x14ac:dyDescent="0.25">
      <c r="A86" s="4" t="s">
        <v>93</v>
      </c>
      <c r="D86" s="4">
        <v>1.10234692038742E-5</v>
      </c>
      <c r="E86" s="4" t="s">
        <v>5</v>
      </c>
      <c r="F86" s="4" t="s">
        <v>42</v>
      </c>
      <c r="G86" s="4" t="s">
        <v>43</v>
      </c>
      <c r="H86" s="4" t="s">
        <v>63</v>
      </c>
      <c r="J86" s="4" t="s">
        <v>61</v>
      </c>
    </row>
    <row r="87" spans="1:14" x14ac:dyDescent="0.25">
      <c r="A87" s="4" t="s">
        <v>94</v>
      </c>
      <c r="D87" s="4">
        <v>2.5796318005543352E-6</v>
      </c>
      <c r="E87" s="4" t="s">
        <v>5</v>
      </c>
      <c r="F87" s="4" t="s">
        <v>42</v>
      </c>
      <c r="G87" s="4" t="s">
        <v>43</v>
      </c>
      <c r="H87" s="4" t="s">
        <v>63</v>
      </c>
      <c r="J87" s="4" t="s">
        <v>141</v>
      </c>
    </row>
    <row r="88" spans="1:14" s="8" customFormat="1" x14ac:dyDescent="0.25"/>
    <row r="89" spans="1:14" x14ac:dyDescent="0.25">
      <c r="A89" s="7" t="s">
        <v>0</v>
      </c>
      <c r="B89" s="7" t="s">
        <v>147</v>
      </c>
    </row>
    <row r="90" spans="1:14" x14ac:dyDescent="0.25">
      <c r="A90" s="5" t="s">
        <v>1</v>
      </c>
      <c r="B90" s="4" t="s">
        <v>148</v>
      </c>
    </row>
    <row r="91" spans="1:14" x14ac:dyDescent="0.25">
      <c r="A91" s="5" t="s">
        <v>2</v>
      </c>
      <c r="B91" s="4" t="s">
        <v>109</v>
      </c>
    </row>
    <row r="92" spans="1:14" x14ac:dyDescent="0.25">
      <c r="A92" s="5" t="s">
        <v>3</v>
      </c>
      <c r="B92" s="4">
        <v>1</v>
      </c>
    </row>
    <row r="93" spans="1:14" x14ac:dyDescent="0.25">
      <c r="A93" s="5" t="s">
        <v>4</v>
      </c>
      <c r="B93" s="4" t="s">
        <v>5</v>
      </c>
    </row>
    <row r="94" spans="1:14" x14ac:dyDescent="0.25">
      <c r="A94" s="5" t="s">
        <v>6</v>
      </c>
      <c r="B94" s="4" t="s">
        <v>7</v>
      </c>
    </row>
    <row r="95" spans="1:14" x14ac:dyDescent="0.25">
      <c r="A95" s="5" t="s">
        <v>8</v>
      </c>
    </row>
    <row r="96" spans="1:14" x14ac:dyDescent="0.25">
      <c r="A96" s="7" t="s">
        <v>9</v>
      </c>
      <c r="B96" s="7" t="s">
        <v>1</v>
      </c>
      <c r="C96" s="7" t="s">
        <v>2</v>
      </c>
      <c r="D96" s="7" t="s">
        <v>3</v>
      </c>
      <c r="E96" s="7" t="s">
        <v>4</v>
      </c>
      <c r="F96" s="7" t="s">
        <v>10</v>
      </c>
      <c r="G96" s="7" t="s">
        <v>11</v>
      </c>
      <c r="H96" s="7" t="s">
        <v>12</v>
      </c>
      <c r="I96" s="7" t="s">
        <v>13</v>
      </c>
      <c r="J96" s="7" t="s">
        <v>14</v>
      </c>
      <c r="K96" s="7" t="s">
        <v>15</v>
      </c>
      <c r="L96" s="7" t="s">
        <v>16</v>
      </c>
      <c r="M96" s="7" t="s">
        <v>17</v>
      </c>
      <c r="N96" s="7" t="s">
        <v>18</v>
      </c>
    </row>
    <row r="97" spans="1:10" x14ac:dyDescent="0.25">
      <c r="A97" s="4" t="str">
        <f>B89</f>
        <v>[R] Electrolysis</v>
      </c>
      <c r="B97" s="4" t="str">
        <f>B90</f>
        <v>Liquid aluminium (Al)</v>
      </c>
      <c r="C97" s="4" t="str">
        <f>B91</f>
        <v>South America</v>
      </c>
      <c r="D97" s="4">
        <v>1</v>
      </c>
      <c r="E97" s="4" t="s">
        <v>5</v>
      </c>
      <c r="F97" s="6" t="str">
        <f>F67</f>
        <v>Aluminium</v>
      </c>
      <c r="G97" s="4" t="s">
        <v>19</v>
      </c>
    </row>
    <row r="98" spans="1:10" x14ac:dyDescent="0.25">
      <c r="A98" s="4" t="s">
        <v>121</v>
      </c>
      <c r="B98" s="4" t="s">
        <v>122</v>
      </c>
      <c r="C98" s="4" t="s">
        <v>22</v>
      </c>
      <c r="D98" s="4">
        <v>8.4005372300862984</v>
      </c>
      <c r="E98" s="4" t="s">
        <v>105</v>
      </c>
      <c r="F98" s="4" t="s">
        <v>24</v>
      </c>
      <c r="G98" s="4" t="s">
        <v>25</v>
      </c>
      <c r="J98" s="4" t="s">
        <v>61</v>
      </c>
    </row>
    <row r="99" spans="1:10" x14ac:dyDescent="0.25">
      <c r="A99" s="4" t="s">
        <v>123</v>
      </c>
      <c r="B99" s="4" t="s">
        <v>124</v>
      </c>
      <c r="C99" s="4" t="s">
        <v>29</v>
      </c>
      <c r="D99" s="4">
        <v>2.071430604065718E-3</v>
      </c>
      <c r="E99" s="4" t="s">
        <v>105</v>
      </c>
      <c r="F99" s="4" t="s">
        <v>24</v>
      </c>
      <c r="G99" s="4" t="s">
        <v>25</v>
      </c>
      <c r="J99" s="4" t="s">
        <v>141</v>
      </c>
    </row>
    <row r="100" spans="1:10" x14ac:dyDescent="0.25">
      <c r="A100" s="4" t="s">
        <v>139</v>
      </c>
      <c r="B100" s="4" t="s">
        <v>140</v>
      </c>
      <c r="C100" s="4" t="s">
        <v>22</v>
      </c>
      <c r="D100" s="4">
        <v>6.426650421945442E-3</v>
      </c>
      <c r="E100" s="4" t="s">
        <v>5</v>
      </c>
      <c r="F100" s="4" t="s">
        <v>24</v>
      </c>
      <c r="G100" s="4" t="s">
        <v>25</v>
      </c>
      <c r="J100" s="4" t="s">
        <v>141</v>
      </c>
    </row>
    <row r="101" spans="1:10" x14ac:dyDescent="0.25">
      <c r="A101" s="4" t="s">
        <v>34</v>
      </c>
      <c r="B101" s="4" t="s">
        <v>35</v>
      </c>
      <c r="C101" s="4" t="s">
        <v>22</v>
      </c>
      <c r="D101" s="4">
        <v>5.9857803951599642E-3</v>
      </c>
      <c r="E101" s="4" t="s">
        <v>5</v>
      </c>
      <c r="F101" s="4" t="s">
        <v>24</v>
      </c>
      <c r="G101" s="4" t="s">
        <v>25</v>
      </c>
      <c r="J101" s="4" t="s">
        <v>141</v>
      </c>
    </row>
    <row r="102" spans="1:10" x14ac:dyDescent="0.25">
      <c r="A102" s="4" t="s">
        <v>149</v>
      </c>
      <c r="B102" s="4" t="s">
        <v>150</v>
      </c>
      <c r="C102" s="4" t="s">
        <v>22</v>
      </c>
      <c r="D102" s="4">
        <v>5.9807861619403839E-3</v>
      </c>
      <c r="E102" s="4" t="s">
        <v>5</v>
      </c>
      <c r="F102" s="4" t="s">
        <v>24</v>
      </c>
      <c r="G102" s="4" t="s">
        <v>25</v>
      </c>
      <c r="J102" s="4" t="s">
        <v>61</v>
      </c>
    </row>
    <row r="103" spans="1:10" x14ac:dyDescent="0.25">
      <c r="A103" s="4" t="s">
        <v>151</v>
      </c>
      <c r="B103" s="4" t="s">
        <v>152</v>
      </c>
      <c r="C103" s="4" t="s">
        <v>22</v>
      </c>
      <c r="D103" s="4">
        <v>2.0454727448487729E-2</v>
      </c>
      <c r="E103" s="4" t="s">
        <v>5</v>
      </c>
      <c r="F103" s="4" t="s">
        <v>24</v>
      </c>
      <c r="G103" s="4" t="s">
        <v>25</v>
      </c>
      <c r="J103" s="4" t="s">
        <v>61</v>
      </c>
    </row>
    <row r="104" spans="1:10" x14ac:dyDescent="0.25">
      <c r="A104" s="4" t="s">
        <v>113</v>
      </c>
      <c r="B104" s="4" t="s">
        <v>114</v>
      </c>
      <c r="C104" s="4" t="s">
        <v>115</v>
      </c>
      <c r="D104" s="4">
        <v>15.509720462374201</v>
      </c>
      <c r="E104" s="4" t="s">
        <v>28</v>
      </c>
      <c r="F104" s="4" t="s">
        <v>24</v>
      </c>
      <c r="G104" s="4" t="s">
        <v>25</v>
      </c>
      <c r="J104" s="4" t="s">
        <v>61</v>
      </c>
    </row>
    <row r="105" spans="1:10" x14ac:dyDescent="0.25">
      <c r="A105" s="4" t="s">
        <v>145</v>
      </c>
      <c r="B105" s="4" t="s">
        <v>146</v>
      </c>
      <c r="C105" s="4" t="s">
        <v>29</v>
      </c>
      <c r="D105" s="4">
        <v>-5.8496087104992767E-3</v>
      </c>
      <c r="E105" s="4" t="s">
        <v>5</v>
      </c>
      <c r="F105" s="4" t="s">
        <v>24</v>
      </c>
      <c r="G105" s="4" t="s">
        <v>25</v>
      </c>
      <c r="J105" s="4" t="s">
        <v>141</v>
      </c>
    </row>
    <row r="106" spans="1:10" x14ac:dyDescent="0.25">
      <c r="A106" s="4" t="s">
        <v>142</v>
      </c>
      <c r="B106" s="4" t="s">
        <v>143</v>
      </c>
      <c r="C106" s="4" t="s">
        <v>29</v>
      </c>
      <c r="D106" s="4">
        <v>-1.355013921764877E-2</v>
      </c>
      <c r="E106" s="4" t="s">
        <v>5</v>
      </c>
      <c r="F106" s="4" t="s">
        <v>24</v>
      </c>
      <c r="G106" s="4" t="s">
        <v>25</v>
      </c>
      <c r="J106" s="4" t="s">
        <v>141</v>
      </c>
    </row>
    <row r="107" spans="1:10" x14ac:dyDescent="0.25">
      <c r="A107" s="4" t="s">
        <v>142</v>
      </c>
      <c r="B107" s="4" t="s">
        <v>143</v>
      </c>
      <c r="C107" s="4" t="s">
        <v>29</v>
      </c>
      <c r="D107" s="4">
        <v>-4.561387993149776E-3</v>
      </c>
      <c r="E107" s="4" t="s">
        <v>5</v>
      </c>
      <c r="F107" s="4" t="s">
        <v>24</v>
      </c>
      <c r="G107" s="4" t="s">
        <v>25</v>
      </c>
      <c r="J107" s="4" t="s">
        <v>61</v>
      </c>
    </row>
    <row r="108" spans="1:10" x14ac:dyDescent="0.25">
      <c r="A108" s="4" t="s">
        <v>144</v>
      </c>
      <c r="B108" s="4" t="s">
        <v>76</v>
      </c>
      <c r="C108" s="4" t="s">
        <v>29</v>
      </c>
      <c r="D108" s="4">
        <v>-5.3534780938891474E-3</v>
      </c>
      <c r="E108" s="4" t="s">
        <v>5</v>
      </c>
      <c r="F108" s="4" t="s">
        <v>24</v>
      </c>
      <c r="G108" s="4" t="s">
        <v>25</v>
      </c>
      <c r="J108" s="4" t="s">
        <v>141</v>
      </c>
    </row>
    <row r="109" spans="1:10" x14ac:dyDescent="0.25">
      <c r="A109" s="4" t="s">
        <v>142</v>
      </c>
      <c r="B109" s="4" t="s">
        <v>143</v>
      </c>
      <c r="C109" s="4" t="s">
        <v>29</v>
      </c>
      <c r="D109" s="4">
        <v>-3.5205068345960273E-2</v>
      </c>
      <c r="E109" s="4" t="s">
        <v>5</v>
      </c>
      <c r="F109" s="4" t="s">
        <v>24</v>
      </c>
      <c r="G109" s="4" t="s">
        <v>25</v>
      </c>
      <c r="J109" s="4" t="s">
        <v>61</v>
      </c>
    </row>
    <row r="110" spans="1:10" x14ac:dyDescent="0.25">
      <c r="A110" s="4" t="s">
        <v>36</v>
      </c>
      <c r="B110" s="4" t="s">
        <v>37</v>
      </c>
      <c r="C110" s="4" t="s">
        <v>29</v>
      </c>
      <c r="D110" s="4">
        <v>-3.4330461197446482E-3</v>
      </c>
      <c r="E110" s="4" t="s">
        <v>5</v>
      </c>
      <c r="F110" s="4" t="s">
        <v>24</v>
      </c>
      <c r="G110" s="4" t="s">
        <v>25</v>
      </c>
      <c r="J110" s="4" t="s">
        <v>61</v>
      </c>
    </row>
    <row r="111" spans="1:10" x14ac:dyDescent="0.25">
      <c r="A111" s="4" t="s">
        <v>142</v>
      </c>
      <c r="B111" s="4" t="s">
        <v>143</v>
      </c>
      <c r="C111" s="4" t="s">
        <v>29</v>
      </c>
      <c r="D111" s="4">
        <v>-6.7620499995286174E-2</v>
      </c>
      <c r="E111" s="4" t="s">
        <v>5</v>
      </c>
      <c r="F111" s="4" t="s">
        <v>24</v>
      </c>
      <c r="G111" s="4" t="s">
        <v>25</v>
      </c>
      <c r="J111" s="4" t="s">
        <v>61</v>
      </c>
    </row>
    <row r="112" spans="1:10" x14ac:dyDescent="0.25">
      <c r="A112" s="4" t="s">
        <v>153</v>
      </c>
      <c r="B112" s="4" t="s">
        <v>154</v>
      </c>
      <c r="C112" s="4" t="s">
        <v>29</v>
      </c>
      <c r="D112" s="4">
        <v>-4.0542355719076894E-3</v>
      </c>
      <c r="E112" s="4" t="s">
        <v>5</v>
      </c>
      <c r="F112" s="4" t="s">
        <v>24</v>
      </c>
      <c r="G112" s="4" t="s">
        <v>25</v>
      </c>
      <c r="J112" s="4" t="s">
        <v>61</v>
      </c>
    </row>
    <row r="113" spans="1:10" x14ac:dyDescent="0.25">
      <c r="A113" s="4" t="s">
        <v>48</v>
      </c>
      <c r="D113" s="4">
        <v>1.3494422266019531E-3</v>
      </c>
      <c r="E113" s="4" t="s">
        <v>49</v>
      </c>
      <c r="F113" s="4" t="s">
        <v>42</v>
      </c>
      <c r="G113" s="4" t="s">
        <v>43</v>
      </c>
      <c r="H113" s="4" t="s">
        <v>47</v>
      </c>
      <c r="J113" s="4" t="s">
        <v>61</v>
      </c>
    </row>
    <row r="114" spans="1:10" x14ac:dyDescent="0.25">
      <c r="A114" s="4" t="s">
        <v>64</v>
      </c>
      <c r="D114" s="4">
        <v>1.9711344632849142E-3</v>
      </c>
      <c r="E114" s="4" t="s">
        <v>5</v>
      </c>
      <c r="F114" s="4" t="s">
        <v>42</v>
      </c>
      <c r="G114" s="4" t="s">
        <v>43</v>
      </c>
      <c r="H114" s="4" t="s">
        <v>63</v>
      </c>
      <c r="J114" s="4" t="s">
        <v>61</v>
      </c>
    </row>
    <row r="115" spans="1:10" x14ac:dyDescent="0.25">
      <c r="A115" s="4" t="s">
        <v>62</v>
      </c>
      <c r="D115" s="4">
        <v>1.105885371514078E-2</v>
      </c>
      <c r="E115" s="4" t="s">
        <v>5</v>
      </c>
      <c r="F115" s="4" t="s">
        <v>42</v>
      </c>
      <c r="G115" s="4" t="s">
        <v>43</v>
      </c>
      <c r="H115" s="4" t="s">
        <v>63</v>
      </c>
      <c r="J115" s="4" t="s">
        <v>141</v>
      </c>
    </row>
    <row r="116" spans="1:10" x14ac:dyDescent="0.25">
      <c r="A116" s="4" t="s">
        <v>132</v>
      </c>
      <c r="D116" s="4">
        <v>3.263529094221921E-6</v>
      </c>
      <c r="E116" s="4" t="s">
        <v>5</v>
      </c>
      <c r="F116" s="4" t="s">
        <v>42</v>
      </c>
      <c r="G116" s="4" t="s">
        <v>43</v>
      </c>
      <c r="H116" s="4" t="s">
        <v>63</v>
      </c>
      <c r="J116" s="4" t="s">
        <v>61</v>
      </c>
    </row>
    <row r="117" spans="1:10" x14ac:dyDescent="0.25">
      <c r="A117" s="4" t="s">
        <v>106</v>
      </c>
      <c r="D117" s="4">
        <v>3.1834193047434051E-4</v>
      </c>
      <c r="E117" s="4" t="s">
        <v>5</v>
      </c>
      <c r="F117" s="4" t="s">
        <v>42</v>
      </c>
      <c r="G117" s="4" t="s">
        <v>43</v>
      </c>
      <c r="H117" s="4" t="s">
        <v>63</v>
      </c>
      <c r="J117" s="4" t="s">
        <v>61</v>
      </c>
    </row>
    <row r="118" spans="1:10" x14ac:dyDescent="0.25">
      <c r="A118" s="4" t="s">
        <v>93</v>
      </c>
      <c r="D118" s="4">
        <v>4.5922475860268142E-4</v>
      </c>
      <c r="E118" s="4" t="s">
        <v>5</v>
      </c>
      <c r="F118" s="4" t="s">
        <v>42</v>
      </c>
      <c r="G118" s="4" t="s">
        <v>43</v>
      </c>
      <c r="H118" s="4" t="s">
        <v>63</v>
      </c>
      <c r="J118" s="4" t="s">
        <v>61</v>
      </c>
    </row>
    <row r="119" spans="1:10" x14ac:dyDescent="0.25">
      <c r="A119" s="4" t="s">
        <v>155</v>
      </c>
      <c r="D119" s="4">
        <v>4.6384768393952438E-5</v>
      </c>
      <c r="E119" s="4" t="s">
        <v>5</v>
      </c>
      <c r="F119" s="4" t="s">
        <v>42</v>
      </c>
      <c r="G119" s="4" t="s">
        <v>43</v>
      </c>
      <c r="H119" s="4" t="s">
        <v>63</v>
      </c>
      <c r="J119" s="4" t="s">
        <v>61</v>
      </c>
    </row>
    <row r="120" spans="1:10" x14ac:dyDescent="0.25">
      <c r="A120" s="4" t="s">
        <v>156</v>
      </c>
      <c r="D120" s="4">
        <v>2.8770545115330351E-6</v>
      </c>
      <c r="E120" s="4" t="s">
        <v>5</v>
      </c>
      <c r="F120" s="4" t="s">
        <v>42</v>
      </c>
      <c r="G120" s="4" t="s">
        <v>43</v>
      </c>
      <c r="H120" s="4" t="s">
        <v>63</v>
      </c>
      <c r="J120" s="4" t="s">
        <v>61</v>
      </c>
    </row>
    <row r="121" spans="1:10" x14ac:dyDescent="0.25">
      <c r="A121" s="4" t="s">
        <v>97</v>
      </c>
      <c r="D121" s="4">
        <v>4.5432628802453849E-7</v>
      </c>
      <c r="E121" s="4" t="s">
        <v>5</v>
      </c>
      <c r="F121" s="4" t="s">
        <v>42</v>
      </c>
      <c r="G121" s="4" t="s">
        <v>43</v>
      </c>
      <c r="H121" s="4" t="s">
        <v>96</v>
      </c>
      <c r="J121" s="4" t="s">
        <v>141</v>
      </c>
    </row>
    <row r="122" spans="1:10" x14ac:dyDescent="0.25">
      <c r="A122" s="4" t="s">
        <v>100</v>
      </c>
      <c r="D122" s="4">
        <v>8.1021521364376045E-6</v>
      </c>
      <c r="E122" s="4" t="s">
        <v>5</v>
      </c>
      <c r="F122" s="4" t="s">
        <v>42</v>
      </c>
      <c r="G122" s="4" t="s">
        <v>43</v>
      </c>
      <c r="H122" s="4" t="s">
        <v>96</v>
      </c>
      <c r="J122" s="4" t="s">
        <v>141</v>
      </c>
    </row>
    <row r="123" spans="1:10" s="8" customFormat="1" x14ac:dyDescent="0.25"/>
    <row r="124" spans="1:10" x14ac:dyDescent="0.25">
      <c r="A124" s="7" t="s">
        <v>0</v>
      </c>
      <c r="B124" s="7" t="s">
        <v>157</v>
      </c>
    </row>
    <row r="125" spans="1:10" x14ac:dyDescent="0.25">
      <c r="A125" s="5" t="s">
        <v>1</v>
      </c>
      <c r="B125" s="4" t="s">
        <v>158</v>
      </c>
    </row>
    <row r="126" spans="1:10" x14ac:dyDescent="0.25">
      <c r="A126" s="5" t="s">
        <v>2</v>
      </c>
      <c r="B126" s="4" t="s">
        <v>109</v>
      </c>
    </row>
    <row r="127" spans="1:10" x14ac:dyDescent="0.25">
      <c r="A127" s="5" t="s">
        <v>3</v>
      </c>
      <c r="B127" s="4">
        <v>1</v>
      </c>
    </row>
    <row r="128" spans="1:10" x14ac:dyDescent="0.25">
      <c r="A128" s="5" t="s">
        <v>4</v>
      </c>
      <c r="B128" s="4" t="s">
        <v>5</v>
      </c>
    </row>
    <row r="129" spans="1:14" x14ac:dyDescent="0.25">
      <c r="A129" s="5" t="s">
        <v>6</v>
      </c>
      <c r="B129" s="4" t="s">
        <v>7</v>
      </c>
    </row>
    <row r="130" spans="1:14" x14ac:dyDescent="0.25">
      <c r="A130" s="5" t="s">
        <v>8</v>
      </c>
    </row>
    <row r="131" spans="1:14" x14ac:dyDescent="0.25">
      <c r="A131" s="7" t="s">
        <v>9</v>
      </c>
      <c r="B131" s="7" t="s">
        <v>1</v>
      </c>
      <c r="C131" s="7" t="s">
        <v>2</v>
      </c>
      <c r="D131" s="7" t="s">
        <v>3</v>
      </c>
      <c r="E131" s="7" t="s">
        <v>4</v>
      </c>
      <c r="F131" s="7" t="s">
        <v>10</v>
      </c>
      <c r="G131" s="7" t="s">
        <v>11</v>
      </c>
      <c r="H131" s="7" t="s">
        <v>12</v>
      </c>
      <c r="I131" s="7" t="s">
        <v>13</v>
      </c>
      <c r="J131" s="7" t="s">
        <v>14</v>
      </c>
      <c r="K131" s="7" t="s">
        <v>15</v>
      </c>
      <c r="L131" s="7" t="s">
        <v>16</v>
      </c>
      <c r="M131" s="7" t="s">
        <v>17</v>
      </c>
      <c r="N131" s="7" t="s">
        <v>18</v>
      </c>
    </row>
    <row r="132" spans="1:14" x14ac:dyDescent="0.25">
      <c r="A132" s="4" t="str">
        <f>B124</f>
        <v>[R] Casting</v>
      </c>
      <c r="B132" s="4" t="str">
        <f>B125</f>
        <v>Al ingot</v>
      </c>
      <c r="C132" s="4" t="str">
        <f>B126</f>
        <v>South America</v>
      </c>
      <c r="D132" s="4">
        <v>1</v>
      </c>
      <c r="E132" s="4" t="s">
        <v>5</v>
      </c>
      <c r="F132" s="6" t="str">
        <f>F97</f>
        <v>Aluminium</v>
      </c>
      <c r="G132" s="4" t="s">
        <v>19</v>
      </c>
    </row>
    <row r="133" spans="1:14" x14ac:dyDescent="0.25">
      <c r="A133" s="4" t="s">
        <v>30</v>
      </c>
      <c r="B133" s="4" t="s">
        <v>31</v>
      </c>
      <c r="C133" s="4" t="s">
        <v>22</v>
      </c>
      <c r="D133" s="4">
        <v>3.068119061921204E-2</v>
      </c>
      <c r="E133" s="4" t="s">
        <v>5</v>
      </c>
      <c r="F133" s="4" t="s">
        <v>24</v>
      </c>
      <c r="G133" s="4" t="s">
        <v>25</v>
      </c>
      <c r="J133" s="4" t="s">
        <v>61</v>
      </c>
    </row>
    <row r="134" spans="1:14" x14ac:dyDescent="0.25">
      <c r="A134" s="4" t="s">
        <v>159</v>
      </c>
      <c r="B134" s="4" t="s">
        <v>160</v>
      </c>
      <c r="C134" s="4" t="s">
        <v>29</v>
      </c>
      <c r="D134" s="4">
        <v>9.4667875229167844E-6</v>
      </c>
      <c r="E134" s="4" t="s">
        <v>5</v>
      </c>
      <c r="F134" s="4" t="s">
        <v>24</v>
      </c>
      <c r="G134" s="4" t="s">
        <v>25</v>
      </c>
      <c r="J134" s="4" t="s">
        <v>61</v>
      </c>
    </row>
    <row r="135" spans="1:14" x14ac:dyDescent="0.25">
      <c r="A135" s="4" t="s">
        <v>79</v>
      </c>
      <c r="B135" s="4" t="s">
        <v>80</v>
      </c>
      <c r="C135" s="4" t="s">
        <v>29</v>
      </c>
      <c r="D135" s="4">
        <v>8.3735964416075575E-5</v>
      </c>
      <c r="E135" s="4" t="s">
        <v>5</v>
      </c>
      <c r="F135" s="4" t="s">
        <v>24</v>
      </c>
      <c r="G135" s="4" t="s">
        <v>25</v>
      </c>
      <c r="J135" s="4" t="s">
        <v>61</v>
      </c>
    </row>
    <row r="136" spans="1:14" x14ac:dyDescent="0.25">
      <c r="A136" s="4" t="s">
        <v>65</v>
      </c>
      <c r="B136" s="4" t="s">
        <v>66</v>
      </c>
      <c r="C136" s="4" t="s">
        <v>29</v>
      </c>
      <c r="D136" s="4">
        <v>1.9480406152601139E-7</v>
      </c>
      <c r="E136" s="4" t="s">
        <v>5</v>
      </c>
      <c r="F136" s="4" t="s">
        <v>24</v>
      </c>
      <c r="G136" s="4" t="s">
        <v>25</v>
      </c>
      <c r="J136" s="4" t="s">
        <v>127</v>
      </c>
    </row>
    <row r="137" spans="1:14" x14ac:dyDescent="0.25">
      <c r="A137" s="4" t="s">
        <v>20</v>
      </c>
      <c r="B137" s="4" t="s">
        <v>21</v>
      </c>
      <c r="C137" s="4" t="s">
        <v>22</v>
      </c>
      <c r="D137" s="4">
        <v>4.9207353133146744E-3</v>
      </c>
      <c r="E137" s="4" t="s">
        <v>23</v>
      </c>
      <c r="F137" s="4" t="s">
        <v>24</v>
      </c>
      <c r="G137" s="4" t="s">
        <v>25</v>
      </c>
      <c r="J137" s="4" t="s">
        <v>61</v>
      </c>
    </row>
    <row r="138" spans="1:14" x14ac:dyDescent="0.25">
      <c r="A138" s="4" t="s">
        <v>57</v>
      </c>
      <c r="B138" s="4" t="s">
        <v>58</v>
      </c>
      <c r="C138" s="4" t="s">
        <v>29</v>
      </c>
      <c r="D138" s="4">
        <v>2.426809192474752E-2</v>
      </c>
      <c r="E138" s="4" t="s">
        <v>49</v>
      </c>
      <c r="F138" s="4" t="s">
        <v>24</v>
      </c>
      <c r="G138" s="4" t="s">
        <v>25</v>
      </c>
      <c r="J138" s="4" t="s">
        <v>61</v>
      </c>
    </row>
    <row r="139" spans="1:14" x14ac:dyDescent="0.25">
      <c r="A139" s="4" t="s">
        <v>113</v>
      </c>
      <c r="B139" s="4" t="s">
        <v>114</v>
      </c>
      <c r="C139" s="4" t="s">
        <v>115</v>
      </c>
      <c r="D139" s="4">
        <v>0.11124321371697959</v>
      </c>
      <c r="E139" s="4" t="s">
        <v>28</v>
      </c>
      <c r="F139" s="4" t="s">
        <v>24</v>
      </c>
      <c r="G139" s="4" t="s">
        <v>25</v>
      </c>
      <c r="J139" s="4" t="s">
        <v>61</v>
      </c>
    </row>
    <row r="140" spans="1:14" x14ac:dyDescent="0.25">
      <c r="A140" s="4" t="s">
        <v>161</v>
      </c>
      <c r="B140" s="4" t="s">
        <v>162</v>
      </c>
      <c r="C140" s="4" t="s">
        <v>163</v>
      </c>
      <c r="D140" s="4">
        <v>1.0822009159636671E-2</v>
      </c>
      <c r="E140" s="4" t="s">
        <v>28</v>
      </c>
      <c r="F140" s="4" t="s">
        <v>24</v>
      </c>
      <c r="G140" s="4" t="s">
        <v>25</v>
      </c>
      <c r="J140" s="4" t="s">
        <v>61</v>
      </c>
    </row>
    <row r="141" spans="1:14" x14ac:dyDescent="0.25">
      <c r="A141" s="4" t="s">
        <v>142</v>
      </c>
      <c r="B141" s="4" t="s">
        <v>143</v>
      </c>
      <c r="C141" s="4" t="s">
        <v>29</v>
      </c>
      <c r="D141" s="4">
        <v>-1.0298574991549369E-3</v>
      </c>
      <c r="E141" s="4" t="s">
        <v>5</v>
      </c>
      <c r="F141" s="4" t="s">
        <v>24</v>
      </c>
      <c r="G141" s="4" t="s">
        <v>25</v>
      </c>
      <c r="J141" s="4" t="s">
        <v>141</v>
      </c>
    </row>
    <row r="142" spans="1:14" x14ac:dyDescent="0.25">
      <c r="A142" s="4" t="s">
        <v>164</v>
      </c>
      <c r="B142" s="4" t="s">
        <v>165</v>
      </c>
      <c r="C142" s="4" t="s">
        <v>29</v>
      </c>
      <c r="D142" s="4">
        <v>-1.1840259923635551E-2</v>
      </c>
      <c r="E142" s="4" t="s">
        <v>5</v>
      </c>
      <c r="F142" s="4" t="s">
        <v>24</v>
      </c>
      <c r="G142" s="4" t="s">
        <v>25</v>
      </c>
      <c r="J142" s="4" t="s">
        <v>61</v>
      </c>
    </row>
    <row r="143" spans="1:14" x14ac:dyDescent="0.25">
      <c r="A143" s="4" t="s">
        <v>142</v>
      </c>
      <c r="B143" s="4" t="s">
        <v>143</v>
      </c>
      <c r="C143" s="4" t="s">
        <v>29</v>
      </c>
      <c r="D143" s="4">
        <v>-9.2712587637001779E-5</v>
      </c>
      <c r="E143" s="4" t="s">
        <v>5</v>
      </c>
      <c r="F143" s="4" t="s">
        <v>24</v>
      </c>
      <c r="G143" s="4" t="s">
        <v>25</v>
      </c>
      <c r="J143" s="4" t="s">
        <v>141</v>
      </c>
    </row>
    <row r="144" spans="1:14" x14ac:dyDescent="0.25">
      <c r="A144" s="4" t="s">
        <v>36</v>
      </c>
      <c r="B144" s="4" t="s">
        <v>37</v>
      </c>
      <c r="C144" s="4" t="s">
        <v>29</v>
      </c>
      <c r="D144" s="4">
        <v>-6.4455922903548001E-3</v>
      </c>
      <c r="E144" s="4" t="s">
        <v>5</v>
      </c>
      <c r="F144" s="4" t="s">
        <v>24</v>
      </c>
      <c r="G144" s="4" t="s">
        <v>25</v>
      </c>
      <c r="J144" s="4" t="s">
        <v>127</v>
      </c>
    </row>
    <row r="145" spans="1:14" x14ac:dyDescent="0.25">
      <c r="A145" s="4" t="s">
        <v>38</v>
      </c>
      <c r="B145" s="4" t="s">
        <v>39</v>
      </c>
      <c r="C145" s="4" t="s">
        <v>29</v>
      </c>
      <c r="D145" s="4">
        <v>-6.4455922903548001E-3</v>
      </c>
      <c r="E145" s="4" t="s">
        <v>5</v>
      </c>
      <c r="F145" s="4" t="s">
        <v>24</v>
      </c>
      <c r="G145" s="4" t="s">
        <v>25</v>
      </c>
      <c r="J145" s="4" t="s">
        <v>127</v>
      </c>
    </row>
    <row r="146" spans="1:14" x14ac:dyDescent="0.25">
      <c r="A146" s="4" t="s">
        <v>48</v>
      </c>
      <c r="D146" s="4">
        <v>4.3455935982123E-3</v>
      </c>
      <c r="E146" s="4" t="s">
        <v>49</v>
      </c>
      <c r="F146" s="4" t="s">
        <v>42</v>
      </c>
      <c r="G146" s="4" t="s">
        <v>43</v>
      </c>
      <c r="H146" s="4" t="s">
        <v>47</v>
      </c>
      <c r="J146" s="4" t="s">
        <v>112</v>
      </c>
    </row>
    <row r="147" spans="1:14" x14ac:dyDescent="0.25">
      <c r="A147" s="4" t="s">
        <v>64</v>
      </c>
      <c r="D147" s="4">
        <v>1.916430431612656E-5</v>
      </c>
      <c r="E147" s="4" t="s">
        <v>5</v>
      </c>
      <c r="F147" s="4" t="s">
        <v>42</v>
      </c>
      <c r="G147" s="4" t="s">
        <v>43</v>
      </c>
      <c r="H147" s="4" t="s">
        <v>63</v>
      </c>
      <c r="J147" s="4" t="s">
        <v>61</v>
      </c>
    </row>
    <row r="148" spans="1:14" x14ac:dyDescent="0.25">
      <c r="A148" s="4" t="s">
        <v>62</v>
      </c>
      <c r="D148" s="4">
        <v>1.7519927800232498E-5</v>
      </c>
      <c r="E148" s="4" t="s">
        <v>5</v>
      </c>
      <c r="F148" s="4" t="s">
        <v>42</v>
      </c>
      <c r="G148" s="4" t="s">
        <v>43</v>
      </c>
      <c r="H148" s="4" t="s">
        <v>63</v>
      </c>
      <c r="J148" s="4" t="s">
        <v>61</v>
      </c>
    </row>
    <row r="149" spans="1:14" x14ac:dyDescent="0.25">
      <c r="A149" s="4" t="s">
        <v>73</v>
      </c>
      <c r="D149" s="4">
        <v>1.4586738905127231E-4</v>
      </c>
      <c r="E149" s="4" t="s">
        <v>5</v>
      </c>
      <c r="F149" s="4" t="s">
        <v>42</v>
      </c>
      <c r="G149" s="4" t="s">
        <v>43</v>
      </c>
      <c r="H149" s="4" t="s">
        <v>63</v>
      </c>
      <c r="J149" s="4" t="s">
        <v>61</v>
      </c>
    </row>
    <row r="150" spans="1:14" x14ac:dyDescent="0.25">
      <c r="A150" s="4" t="s">
        <v>92</v>
      </c>
      <c r="D150" s="4">
        <v>1.0032008713381691E-6</v>
      </c>
      <c r="E150" s="4" t="s">
        <v>5</v>
      </c>
      <c r="F150" s="4" t="s">
        <v>42</v>
      </c>
      <c r="G150" s="4" t="s">
        <v>43</v>
      </c>
      <c r="H150" s="4" t="s">
        <v>63</v>
      </c>
      <c r="J150" s="4" t="s">
        <v>127</v>
      </c>
    </row>
    <row r="151" spans="1:14" x14ac:dyDescent="0.25">
      <c r="A151" s="4" t="s">
        <v>118</v>
      </c>
      <c r="D151" s="4">
        <v>3.3139829609819941E-3</v>
      </c>
      <c r="E151" s="4" t="s">
        <v>49</v>
      </c>
      <c r="F151" s="4" t="s">
        <v>42</v>
      </c>
      <c r="G151" s="4" t="s">
        <v>43</v>
      </c>
      <c r="H151" s="4" t="s">
        <v>96</v>
      </c>
      <c r="J151" s="4" t="s">
        <v>112</v>
      </c>
    </row>
    <row r="152" spans="1:14" s="9" customFormat="1" ht="14.1" customHeight="1" x14ac:dyDescent="0.25"/>
    <row r="153" spans="1:14" x14ac:dyDescent="0.25">
      <c r="A153" s="7" t="s">
        <v>0</v>
      </c>
      <c r="B153" s="7" t="s">
        <v>166</v>
      </c>
    </row>
    <row r="154" spans="1:14" x14ac:dyDescent="0.25">
      <c r="A154" s="5" t="s">
        <v>1</v>
      </c>
      <c r="B154" s="4" t="s">
        <v>158</v>
      </c>
    </row>
    <row r="155" spans="1:14" x14ac:dyDescent="0.25">
      <c r="A155" s="5" t="s">
        <v>2</v>
      </c>
      <c r="B155" s="4" t="s">
        <v>109</v>
      </c>
    </row>
    <row r="156" spans="1:14" x14ac:dyDescent="0.25">
      <c r="A156" s="5" t="s">
        <v>3</v>
      </c>
      <c r="B156" s="4">
        <v>1</v>
      </c>
    </row>
    <row r="157" spans="1:14" x14ac:dyDescent="0.25">
      <c r="A157" s="5" t="s">
        <v>4</v>
      </c>
      <c r="B157" s="4" t="s">
        <v>5</v>
      </c>
    </row>
    <row r="158" spans="1:14" x14ac:dyDescent="0.25">
      <c r="A158" s="5" t="s">
        <v>6</v>
      </c>
      <c r="B158" s="4" t="s">
        <v>7</v>
      </c>
    </row>
    <row r="159" spans="1:14" x14ac:dyDescent="0.25">
      <c r="A159" s="5" t="s">
        <v>8</v>
      </c>
    </row>
    <row r="160" spans="1:14" x14ac:dyDescent="0.25">
      <c r="A160" s="7" t="s">
        <v>9</v>
      </c>
      <c r="B160" s="7" t="s">
        <v>1</v>
      </c>
      <c r="C160" s="7" t="s">
        <v>2</v>
      </c>
      <c r="D160" s="7" t="s">
        <v>3</v>
      </c>
      <c r="E160" s="7" t="s">
        <v>4</v>
      </c>
      <c r="F160" s="7" t="s">
        <v>10</v>
      </c>
      <c r="G160" s="7" t="s">
        <v>11</v>
      </c>
      <c r="H160" s="7" t="s">
        <v>12</v>
      </c>
      <c r="I160" s="7" t="s">
        <v>13</v>
      </c>
      <c r="J160" s="7" t="s">
        <v>14</v>
      </c>
      <c r="K160" s="7" t="s">
        <v>15</v>
      </c>
      <c r="L160" s="7" t="s">
        <v>16</v>
      </c>
      <c r="M160" s="7" t="s">
        <v>17</v>
      </c>
      <c r="N160" s="7" t="s">
        <v>18</v>
      </c>
    </row>
    <row r="161" spans="1:7" x14ac:dyDescent="0.25">
      <c r="A161" s="4" t="str">
        <f>B153</f>
        <v>Bauxite mining and Al ingot production in South America</v>
      </c>
      <c r="B161" s="4" t="str">
        <f>B154</f>
        <v>Al ingot</v>
      </c>
      <c r="C161" s="4" t="str">
        <f>B155</f>
        <v>South America</v>
      </c>
      <c r="D161" s="4">
        <v>1</v>
      </c>
      <c r="E161" s="4" t="s">
        <v>5</v>
      </c>
      <c r="F161" s="6" t="str">
        <f>F132</f>
        <v>Aluminium</v>
      </c>
      <c r="G161" s="4" t="s">
        <v>19</v>
      </c>
    </row>
    <row r="162" spans="1:7" x14ac:dyDescent="0.25">
      <c r="A162" s="4" t="str">
        <f>A132</f>
        <v>[R] Casting</v>
      </c>
      <c r="B162" s="4" t="str">
        <f>B132</f>
        <v>Al ingot</v>
      </c>
      <c r="C162" s="4" t="str">
        <f>C132</f>
        <v>South America</v>
      </c>
      <c r="D162" s="4">
        <v>1</v>
      </c>
      <c r="E162" s="4" t="str">
        <f>E132</f>
        <v>kilogram</v>
      </c>
      <c r="F162" s="6" t="str">
        <f>F132</f>
        <v>Aluminium</v>
      </c>
      <c r="G162" s="4" t="s">
        <v>25</v>
      </c>
    </row>
    <row r="163" spans="1:7" x14ac:dyDescent="0.25">
      <c r="A163" s="4" t="str">
        <f>A97</f>
        <v>[R] Electrolysis</v>
      </c>
      <c r="B163" s="4" t="str">
        <f t="shared" ref="B163:F163" si="0">B97</f>
        <v>Liquid aluminium (Al)</v>
      </c>
      <c r="C163" s="4" t="str">
        <f t="shared" si="0"/>
        <v>South America</v>
      </c>
      <c r="D163" s="4">
        <v>1</v>
      </c>
      <c r="E163" s="4" t="str">
        <f t="shared" si="0"/>
        <v>kilogram</v>
      </c>
      <c r="F163" s="6" t="str">
        <f t="shared" si="0"/>
        <v>Aluminium</v>
      </c>
      <c r="G163" s="4" t="s">
        <v>25</v>
      </c>
    </row>
    <row r="164" spans="1:7" x14ac:dyDescent="0.25">
      <c r="A164" s="4" t="str">
        <f>A67</f>
        <v>[P] Anode/Paste production</v>
      </c>
      <c r="B164" s="4" t="str">
        <f t="shared" ref="B164:F164" si="1">B67</f>
        <v>Anode/Paste</v>
      </c>
      <c r="C164" s="4" t="str">
        <f t="shared" si="1"/>
        <v>South America</v>
      </c>
      <c r="D164" s="4">
        <v>0.58183683070601322</v>
      </c>
      <c r="E164" s="4" t="str">
        <f t="shared" si="1"/>
        <v>kilogram</v>
      </c>
      <c r="F164" s="6" t="str">
        <f t="shared" si="1"/>
        <v>Aluminium</v>
      </c>
      <c r="G164" s="4" t="s">
        <v>25</v>
      </c>
    </row>
    <row r="165" spans="1:7" x14ac:dyDescent="0.25">
      <c r="A165" s="4" t="str">
        <f>A33</f>
        <v>[P] Alumina production</v>
      </c>
      <c r="B165" s="4" t="str">
        <f t="shared" ref="B165:F165" si="2">B33</f>
        <v>Alumina</v>
      </c>
      <c r="C165" s="4" t="str">
        <f t="shared" si="2"/>
        <v>South America</v>
      </c>
      <c r="D165" s="4">
        <v>1.9387863162491299</v>
      </c>
      <c r="E165" s="4" t="str">
        <f t="shared" si="2"/>
        <v>kilogram</v>
      </c>
      <c r="F165" s="6" t="str">
        <f t="shared" si="2"/>
        <v>Aluminium</v>
      </c>
      <c r="G165" s="4" t="s">
        <v>25</v>
      </c>
    </row>
    <row r="166" spans="1:7" x14ac:dyDescent="0.25">
      <c r="A166" s="4" t="str">
        <f>A9</f>
        <v>[M+C] Bauxite mining</v>
      </c>
      <c r="B166" s="4" t="str">
        <f t="shared" ref="B166:F166" si="3">B9</f>
        <v>Bauxite</v>
      </c>
      <c r="C166" s="4" t="str">
        <f t="shared" si="3"/>
        <v>South America</v>
      </c>
      <c r="D166" s="4">
        <v>4.8715542821203162</v>
      </c>
      <c r="E166" s="4" t="str">
        <f t="shared" si="3"/>
        <v>kilogram</v>
      </c>
      <c r="F166" s="6" t="str">
        <f t="shared" si="3"/>
        <v>Aluminium</v>
      </c>
      <c r="G166" s="4" t="s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8" tint="0.39997558519241921"/>
  </sheetPr>
  <dimension ref="A1:N159"/>
  <sheetViews>
    <sheetView topLeftCell="A133" zoomScaleNormal="100" workbookViewId="0">
      <selection activeCell="A135" sqref="A135:XFD135"/>
    </sheetView>
  </sheetViews>
  <sheetFormatPr baseColWidth="10" defaultColWidth="8.7109375" defaultRowHeight="15" x14ac:dyDescent="0.25"/>
  <cols>
    <col min="1" max="1" width="61.5703125" style="4" bestFit="1" customWidth="1"/>
    <col min="2" max="2" width="51.5703125" style="4" bestFit="1" customWidth="1"/>
    <col min="3" max="3" width="8.140625" style="4" bestFit="1" customWidth="1"/>
    <col min="4" max="4" width="12.7109375" style="4" bestFit="1" customWidth="1"/>
    <col min="5" max="5" width="17.5703125" style="4" bestFit="1" customWidth="1"/>
    <col min="6" max="6" width="19.7109375" style="4" bestFit="1" customWidth="1"/>
    <col min="7" max="7" width="13.28515625" style="4" bestFit="1" customWidth="1"/>
    <col min="8" max="8" width="25.28515625" style="4" bestFit="1" customWidth="1"/>
    <col min="9" max="9" width="15.5703125" style="4" bestFit="1" customWidth="1"/>
    <col min="10" max="10" width="9.7109375" style="4" bestFit="1" customWidth="1"/>
    <col min="11" max="11" width="3.5703125" style="4" bestFit="1" customWidth="1"/>
    <col min="12" max="12" width="5.42578125" style="4" bestFit="1" customWidth="1"/>
    <col min="13" max="13" width="9.5703125" style="4" bestFit="1" customWidth="1"/>
    <col min="14" max="14" width="9.85546875" style="4" bestFit="1" customWidth="1"/>
    <col min="15" max="16384" width="8.7109375" style="4"/>
  </cols>
  <sheetData>
    <row r="1" spans="1:14" x14ac:dyDescent="0.25">
      <c r="A1" s="7" t="s">
        <v>0</v>
      </c>
      <c r="B1" s="7" t="s">
        <v>260</v>
      </c>
    </row>
    <row r="2" spans="1:14" x14ac:dyDescent="0.25">
      <c r="A2" s="5" t="s">
        <v>1</v>
      </c>
      <c r="B2" s="4" t="s">
        <v>108</v>
      </c>
    </row>
    <row r="3" spans="1:14" x14ac:dyDescent="0.25">
      <c r="A3" s="5" t="s">
        <v>2</v>
      </c>
      <c r="B3" s="4" t="s">
        <v>167</v>
      </c>
    </row>
    <row r="4" spans="1:14" x14ac:dyDescent="0.25">
      <c r="A4" s="5" t="s">
        <v>3</v>
      </c>
      <c r="B4" s="4">
        <v>1</v>
      </c>
    </row>
    <row r="5" spans="1:14" x14ac:dyDescent="0.25">
      <c r="A5" s="5" t="s">
        <v>4</v>
      </c>
      <c r="B5" s="4" t="s">
        <v>5</v>
      </c>
    </row>
    <row r="6" spans="1:14" x14ac:dyDescent="0.25">
      <c r="A6" s="5" t="s">
        <v>6</v>
      </c>
      <c r="B6" s="4" t="s">
        <v>7</v>
      </c>
    </row>
    <row r="7" spans="1:14" x14ac:dyDescent="0.25">
      <c r="A7" s="5" t="s">
        <v>8</v>
      </c>
    </row>
    <row r="8" spans="1:14" x14ac:dyDescent="0.25">
      <c r="A8" s="7" t="s">
        <v>9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10</v>
      </c>
      <c r="G8" s="7" t="s">
        <v>11</v>
      </c>
      <c r="H8" s="7" t="s">
        <v>12</v>
      </c>
      <c r="I8" s="7" t="s">
        <v>13</v>
      </c>
      <c r="J8" s="7" t="s">
        <v>14</v>
      </c>
      <c r="K8" s="7" t="s">
        <v>15</v>
      </c>
      <c r="L8" s="7" t="s">
        <v>16</v>
      </c>
      <c r="M8" s="7" t="s">
        <v>17</v>
      </c>
      <c r="N8" s="7" t="s">
        <v>18</v>
      </c>
    </row>
    <row r="9" spans="1:14" x14ac:dyDescent="0.25">
      <c r="A9" s="4" t="str">
        <f>B1</f>
        <v>[M+C] Bauxite mining</v>
      </c>
      <c r="B9" s="4" t="str">
        <f>B2</f>
        <v>Bauxite</v>
      </c>
      <c r="C9" s="4" t="str">
        <f>B3</f>
        <v>Oceania</v>
      </c>
      <c r="D9" s="4">
        <v>1</v>
      </c>
      <c r="E9" s="4" t="s">
        <v>5</v>
      </c>
      <c r="F9" s="6" t="str">
        <f>Al_Market_GLO!B1</f>
        <v>Aluminium</v>
      </c>
      <c r="G9" s="4" t="s">
        <v>19</v>
      </c>
    </row>
    <row r="10" spans="1:14" x14ac:dyDescent="0.25">
      <c r="A10" s="4" t="s">
        <v>20</v>
      </c>
      <c r="B10" s="4" t="s">
        <v>21</v>
      </c>
      <c r="C10" s="4" t="s">
        <v>22</v>
      </c>
      <c r="D10" s="4">
        <v>6.3450369599654E-2</v>
      </c>
      <c r="E10" s="4" t="s">
        <v>23</v>
      </c>
      <c r="F10" s="4" t="s">
        <v>24</v>
      </c>
      <c r="G10" s="4" t="s">
        <v>25</v>
      </c>
      <c r="J10" s="4" t="s">
        <v>61</v>
      </c>
    </row>
    <row r="11" spans="1:14" x14ac:dyDescent="0.25">
      <c r="A11" s="4" t="s">
        <v>57</v>
      </c>
      <c r="B11" s="4" t="s">
        <v>58</v>
      </c>
      <c r="C11" s="4" t="s">
        <v>50</v>
      </c>
      <c r="D11" s="4">
        <v>2.5998296600668958E-6</v>
      </c>
      <c r="E11" s="4" t="s">
        <v>49</v>
      </c>
      <c r="F11" s="4" t="s">
        <v>24</v>
      </c>
      <c r="G11" s="4" t="s">
        <v>25</v>
      </c>
      <c r="J11" s="4" t="s">
        <v>141</v>
      </c>
    </row>
    <row r="12" spans="1:14" x14ac:dyDescent="0.25">
      <c r="A12" s="4" t="s">
        <v>59</v>
      </c>
      <c r="B12" s="4" t="s">
        <v>60</v>
      </c>
      <c r="C12" s="4" t="s">
        <v>50</v>
      </c>
      <c r="D12" s="4">
        <v>9.3132231647485137E-4</v>
      </c>
      <c r="E12" s="4" t="s">
        <v>5</v>
      </c>
      <c r="F12" s="4" t="s">
        <v>24</v>
      </c>
      <c r="G12" s="4" t="s">
        <v>25</v>
      </c>
      <c r="J12" s="4" t="s">
        <v>141</v>
      </c>
    </row>
    <row r="13" spans="1:14" x14ac:dyDescent="0.25">
      <c r="A13" s="4" t="s">
        <v>51</v>
      </c>
      <c r="B13" s="4" t="s">
        <v>27</v>
      </c>
      <c r="C13" s="4" t="s">
        <v>50</v>
      </c>
      <c r="D13" s="4">
        <v>2.4285424339895532E-3</v>
      </c>
      <c r="E13" s="4" t="s">
        <v>28</v>
      </c>
      <c r="F13" s="4" t="s">
        <v>24</v>
      </c>
      <c r="G13" s="4" t="s">
        <v>25</v>
      </c>
      <c r="J13" s="4" t="s">
        <v>127</v>
      </c>
    </row>
    <row r="14" spans="1:14" x14ac:dyDescent="0.25">
      <c r="A14" s="4" t="s">
        <v>161</v>
      </c>
      <c r="B14" s="4" t="s">
        <v>162</v>
      </c>
      <c r="C14" s="4" t="s">
        <v>163</v>
      </c>
      <c r="D14" s="4">
        <v>1.769913181946622E-6</v>
      </c>
      <c r="E14" s="4" t="s">
        <v>28</v>
      </c>
      <c r="F14" s="4" t="s">
        <v>24</v>
      </c>
      <c r="G14" s="4" t="s">
        <v>25</v>
      </c>
      <c r="J14" s="4" t="s">
        <v>112</v>
      </c>
    </row>
    <row r="15" spans="1:14" x14ac:dyDescent="0.25">
      <c r="A15" s="4" t="s">
        <v>36</v>
      </c>
      <c r="B15" s="4" t="s">
        <v>37</v>
      </c>
      <c r="C15" s="4" t="s">
        <v>29</v>
      </c>
      <c r="D15" s="4">
        <v>-5.3851187705027699E-5</v>
      </c>
      <c r="E15" s="4" t="s">
        <v>5</v>
      </c>
      <c r="F15" s="4" t="s">
        <v>24</v>
      </c>
      <c r="G15" s="4" t="s">
        <v>25</v>
      </c>
      <c r="J15" s="4" t="s">
        <v>127</v>
      </c>
    </row>
    <row r="16" spans="1:14" x14ac:dyDescent="0.25">
      <c r="A16" s="4" t="s">
        <v>52</v>
      </c>
      <c r="B16" s="4" t="s">
        <v>53</v>
      </c>
      <c r="C16" s="4" t="s">
        <v>22</v>
      </c>
      <c r="D16" s="4">
        <v>-6.0863169436771752E-2</v>
      </c>
      <c r="E16" s="4" t="s">
        <v>5</v>
      </c>
      <c r="F16" s="4" t="s">
        <v>24</v>
      </c>
      <c r="G16" s="4" t="s">
        <v>25</v>
      </c>
      <c r="J16" s="4" t="s">
        <v>127</v>
      </c>
    </row>
    <row r="17" spans="1:10" x14ac:dyDescent="0.25">
      <c r="A17" s="4" t="s">
        <v>38</v>
      </c>
      <c r="B17" s="4" t="s">
        <v>39</v>
      </c>
      <c r="C17" s="4" t="s">
        <v>29</v>
      </c>
      <c r="D17" s="4">
        <v>-1.7600897465124899E-8</v>
      </c>
      <c r="E17" s="4" t="s">
        <v>5</v>
      </c>
      <c r="F17" s="4" t="s">
        <v>24</v>
      </c>
      <c r="G17" s="4" t="s">
        <v>25</v>
      </c>
      <c r="J17" s="4" t="s">
        <v>127</v>
      </c>
    </row>
    <row r="18" spans="1:10" x14ac:dyDescent="0.25">
      <c r="A18" s="4" t="s">
        <v>48</v>
      </c>
      <c r="D18" s="4">
        <v>4.5279912990625799E-4</v>
      </c>
      <c r="E18" s="4" t="s">
        <v>49</v>
      </c>
      <c r="F18" s="4" t="s">
        <v>42</v>
      </c>
      <c r="G18" s="4" t="s">
        <v>43</v>
      </c>
      <c r="H18" s="4" t="s">
        <v>47</v>
      </c>
      <c r="J18" s="4" t="s">
        <v>61</v>
      </c>
    </row>
    <row r="19" spans="1:10" x14ac:dyDescent="0.25">
      <c r="A19" s="4" t="s">
        <v>168</v>
      </c>
      <c r="D19" s="4">
        <v>2.6184478452657099E-4</v>
      </c>
      <c r="E19" s="4" t="s">
        <v>49</v>
      </c>
      <c r="F19" s="4" t="s">
        <v>42</v>
      </c>
      <c r="G19" s="4" t="s">
        <v>43</v>
      </c>
      <c r="H19" s="4" t="s">
        <v>169</v>
      </c>
      <c r="J19" s="4" t="s">
        <v>61</v>
      </c>
    </row>
    <row r="20" spans="1:10" x14ac:dyDescent="0.25">
      <c r="A20" s="4" t="s">
        <v>117</v>
      </c>
      <c r="D20" s="4">
        <v>3.584727630518554E-4</v>
      </c>
      <c r="E20" s="4" t="s">
        <v>45</v>
      </c>
      <c r="F20" s="4" t="s">
        <v>42</v>
      </c>
      <c r="G20" s="4" t="s">
        <v>43</v>
      </c>
      <c r="H20" s="4" t="s">
        <v>44</v>
      </c>
      <c r="J20" s="4" t="s">
        <v>141</v>
      </c>
    </row>
    <row r="21" spans="1:10" x14ac:dyDescent="0.25">
      <c r="A21" s="4" t="s">
        <v>46</v>
      </c>
      <c r="D21" s="4">
        <v>3.584727630518554E-4</v>
      </c>
      <c r="E21" s="4" t="s">
        <v>45</v>
      </c>
      <c r="F21" s="4" t="s">
        <v>42</v>
      </c>
      <c r="G21" s="4" t="s">
        <v>43</v>
      </c>
      <c r="H21" s="4" t="s">
        <v>44</v>
      </c>
      <c r="J21" s="4" t="s">
        <v>141</v>
      </c>
    </row>
    <row r="22" spans="1:10" x14ac:dyDescent="0.25">
      <c r="A22" s="4" t="s">
        <v>40</v>
      </c>
      <c r="D22" s="4">
        <v>1.5304875646558169E-10</v>
      </c>
      <c r="E22" s="4" t="s">
        <v>41</v>
      </c>
      <c r="F22" s="4" t="s">
        <v>42</v>
      </c>
      <c r="G22" s="4" t="s">
        <v>43</v>
      </c>
      <c r="H22" s="4" t="s">
        <v>44</v>
      </c>
      <c r="J22" s="4" t="s">
        <v>141</v>
      </c>
    </row>
    <row r="23" spans="1:10" x14ac:dyDescent="0.25">
      <c r="A23" s="4" t="s">
        <v>64</v>
      </c>
      <c r="D23" s="4">
        <v>1.8538250158185501E-4</v>
      </c>
      <c r="E23" s="4" t="s">
        <v>5</v>
      </c>
      <c r="F23" s="4" t="s">
        <v>42</v>
      </c>
      <c r="G23" s="4" t="s">
        <v>43</v>
      </c>
      <c r="H23" s="4" t="s">
        <v>63</v>
      </c>
      <c r="J23" s="4" t="s">
        <v>61</v>
      </c>
    </row>
    <row r="24" spans="1:10" x14ac:dyDescent="0.25">
      <c r="A24" s="4" t="s">
        <v>62</v>
      </c>
      <c r="D24" s="4">
        <v>1.7018011335944719E-8</v>
      </c>
      <c r="E24" s="4" t="s">
        <v>5</v>
      </c>
      <c r="F24" s="4" t="s">
        <v>42</v>
      </c>
      <c r="G24" s="4" t="s">
        <v>43</v>
      </c>
      <c r="H24" s="4" t="s">
        <v>63</v>
      </c>
      <c r="J24" s="4" t="s">
        <v>112</v>
      </c>
    </row>
    <row r="25" spans="1:10" x14ac:dyDescent="0.25">
      <c r="A25" s="4" t="s">
        <v>73</v>
      </c>
      <c r="D25" s="4">
        <v>5.7675066500375708E-5</v>
      </c>
      <c r="E25" s="4" t="s">
        <v>5</v>
      </c>
      <c r="F25" s="4" t="s">
        <v>42</v>
      </c>
      <c r="G25" s="4" t="s">
        <v>43</v>
      </c>
      <c r="H25" s="4" t="s">
        <v>63</v>
      </c>
      <c r="J25" s="4" t="s">
        <v>127</v>
      </c>
    </row>
    <row r="26" spans="1:10" x14ac:dyDescent="0.25">
      <c r="A26" s="4" t="s">
        <v>48</v>
      </c>
      <c r="D26" s="4">
        <v>9.1553344639514703E-5</v>
      </c>
      <c r="E26" s="4" t="s">
        <v>49</v>
      </c>
      <c r="F26" s="4" t="s">
        <v>42</v>
      </c>
      <c r="G26" s="4" t="s">
        <v>43</v>
      </c>
      <c r="H26" s="4" t="s">
        <v>170</v>
      </c>
      <c r="J26" s="4" t="s">
        <v>61</v>
      </c>
    </row>
    <row r="27" spans="1:10" x14ac:dyDescent="0.25">
      <c r="A27" s="4" t="s">
        <v>118</v>
      </c>
      <c r="D27" s="4">
        <v>2.6184478452657099E-4</v>
      </c>
      <c r="E27" s="4" t="s">
        <v>49</v>
      </c>
      <c r="F27" s="4" t="s">
        <v>42</v>
      </c>
      <c r="G27" s="4" t="s">
        <v>43</v>
      </c>
      <c r="H27" s="4" t="s">
        <v>171</v>
      </c>
      <c r="J27" s="4" t="s">
        <v>61</v>
      </c>
    </row>
    <row r="28" spans="1:10" s="8" customFormat="1" x14ac:dyDescent="0.25"/>
    <row r="29" spans="1:10" x14ac:dyDescent="0.25">
      <c r="A29" s="7" t="s">
        <v>0</v>
      </c>
      <c r="B29" s="7" t="s">
        <v>119</v>
      </c>
    </row>
    <row r="30" spans="1:10" x14ac:dyDescent="0.25">
      <c r="A30" s="5" t="s">
        <v>1</v>
      </c>
      <c r="B30" s="4" t="s">
        <v>120</v>
      </c>
    </row>
    <row r="31" spans="1:10" x14ac:dyDescent="0.25">
      <c r="A31" s="5" t="s">
        <v>2</v>
      </c>
      <c r="B31" s="4" t="s">
        <v>167</v>
      </c>
    </row>
    <row r="32" spans="1:10" x14ac:dyDescent="0.25">
      <c r="A32" s="5" t="s">
        <v>3</v>
      </c>
      <c r="B32" s="4">
        <v>1</v>
      </c>
    </row>
    <row r="33" spans="1:14" x14ac:dyDescent="0.25">
      <c r="A33" s="5" t="s">
        <v>4</v>
      </c>
      <c r="B33" s="4" t="s">
        <v>5</v>
      </c>
    </row>
    <row r="34" spans="1:14" x14ac:dyDescent="0.25">
      <c r="A34" s="5" t="s">
        <v>6</v>
      </c>
      <c r="B34" s="4" t="s">
        <v>7</v>
      </c>
    </row>
    <row r="35" spans="1:14" x14ac:dyDescent="0.25">
      <c r="A35" s="5" t="s">
        <v>8</v>
      </c>
    </row>
    <row r="36" spans="1:14" x14ac:dyDescent="0.25">
      <c r="A36" s="7" t="s">
        <v>9</v>
      </c>
      <c r="B36" s="7" t="s">
        <v>1</v>
      </c>
      <c r="C36" s="7" t="s">
        <v>2</v>
      </c>
      <c r="D36" s="7" t="s">
        <v>3</v>
      </c>
      <c r="E36" s="7" t="s">
        <v>4</v>
      </c>
      <c r="F36" s="7" t="s">
        <v>10</v>
      </c>
      <c r="G36" s="7" t="s">
        <v>11</v>
      </c>
      <c r="H36" s="7" t="s">
        <v>12</v>
      </c>
      <c r="I36" s="7" t="s">
        <v>13</v>
      </c>
      <c r="J36" s="7" t="s">
        <v>14</v>
      </c>
      <c r="K36" s="7" t="s">
        <v>15</v>
      </c>
      <c r="L36" s="7" t="s">
        <v>16</v>
      </c>
      <c r="M36" s="7" t="s">
        <v>17</v>
      </c>
      <c r="N36" s="7" t="s">
        <v>18</v>
      </c>
    </row>
    <row r="37" spans="1:14" x14ac:dyDescent="0.25">
      <c r="A37" s="4" t="str">
        <f>B29</f>
        <v>[P] Alumina production</v>
      </c>
      <c r="B37" s="4" t="str">
        <f>B30</f>
        <v>Alumina</v>
      </c>
      <c r="C37" s="4" t="str">
        <f>B31</f>
        <v>Oceania</v>
      </c>
      <c r="D37" s="4">
        <v>1</v>
      </c>
      <c r="E37" s="4" t="s">
        <v>5</v>
      </c>
      <c r="F37" s="6" t="str">
        <f>F9</f>
        <v>Aluminium</v>
      </c>
      <c r="G37" s="4" t="s">
        <v>19</v>
      </c>
    </row>
    <row r="38" spans="1:14" x14ac:dyDescent="0.25">
      <c r="A38" s="4" t="s">
        <v>121</v>
      </c>
      <c r="B38" s="4" t="s">
        <v>122</v>
      </c>
      <c r="C38" s="4" t="s">
        <v>22</v>
      </c>
      <c r="D38" s="4">
        <v>1.24875</v>
      </c>
      <c r="E38" s="4" t="s">
        <v>105</v>
      </c>
      <c r="F38" s="4" t="s">
        <v>24</v>
      </c>
      <c r="G38" s="4" t="s">
        <v>25</v>
      </c>
      <c r="J38" s="4" t="s">
        <v>61</v>
      </c>
    </row>
    <row r="39" spans="1:14" x14ac:dyDescent="0.25">
      <c r="A39" s="4" t="s">
        <v>125</v>
      </c>
      <c r="B39" s="4" t="s">
        <v>126</v>
      </c>
      <c r="C39" s="4" t="s">
        <v>29</v>
      </c>
      <c r="D39" s="4">
        <v>8.1000000000000003E-2</v>
      </c>
      <c r="E39" s="4" t="s">
        <v>105</v>
      </c>
      <c r="F39" s="4" t="s">
        <v>24</v>
      </c>
      <c r="G39" s="4" t="s">
        <v>25</v>
      </c>
      <c r="J39" s="4" t="s">
        <v>61</v>
      </c>
    </row>
    <row r="40" spans="1:14" x14ac:dyDescent="0.25">
      <c r="A40" s="4" t="s">
        <v>32</v>
      </c>
      <c r="B40" s="4" t="s">
        <v>33</v>
      </c>
      <c r="C40" s="4" t="s">
        <v>29</v>
      </c>
      <c r="D40" s="4">
        <v>7.5376882021984018E-2</v>
      </c>
      <c r="E40" s="4" t="s">
        <v>5</v>
      </c>
      <c r="F40" s="4" t="s">
        <v>24</v>
      </c>
      <c r="G40" s="4" t="s">
        <v>25</v>
      </c>
      <c r="J40" s="4" t="s">
        <v>61</v>
      </c>
    </row>
    <row r="41" spans="1:14" x14ac:dyDescent="0.25">
      <c r="A41" s="4" t="s">
        <v>77</v>
      </c>
      <c r="B41" s="4" t="s">
        <v>78</v>
      </c>
      <c r="C41" s="4" t="s">
        <v>29</v>
      </c>
      <c r="D41" s="4">
        <v>4.2381482820375509E-2</v>
      </c>
      <c r="E41" s="4" t="s">
        <v>5</v>
      </c>
      <c r="F41" s="4" t="s">
        <v>24</v>
      </c>
      <c r="G41" s="4" t="s">
        <v>25</v>
      </c>
      <c r="J41" s="4" t="s">
        <v>61</v>
      </c>
    </row>
    <row r="42" spans="1:14" x14ac:dyDescent="0.25">
      <c r="A42" s="4" t="s">
        <v>110</v>
      </c>
      <c r="B42" s="4" t="s">
        <v>111</v>
      </c>
      <c r="C42" s="4" t="s">
        <v>29</v>
      </c>
      <c r="D42" s="4">
        <v>2.3226091170132381E-4</v>
      </c>
      <c r="E42" s="4" t="s">
        <v>5</v>
      </c>
      <c r="F42" s="4" t="s">
        <v>24</v>
      </c>
      <c r="G42" s="4" t="s">
        <v>25</v>
      </c>
      <c r="J42" s="4" t="s">
        <v>61</v>
      </c>
    </row>
    <row r="43" spans="1:14" x14ac:dyDescent="0.25">
      <c r="A43" s="4" t="s">
        <v>20</v>
      </c>
      <c r="B43" s="4" t="s">
        <v>21</v>
      </c>
      <c r="C43" s="4" t="s">
        <v>22</v>
      </c>
      <c r="D43" s="4">
        <v>1.4433816172392779E-2</v>
      </c>
      <c r="E43" s="4" t="s">
        <v>23</v>
      </c>
      <c r="F43" s="4" t="s">
        <v>24</v>
      </c>
      <c r="G43" s="4" t="s">
        <v>25</v>
      </c>
      <c r="J43" s="4" t="s">
        <v>61</v>
      </c>
    </row>
    <row r="44" spans="1:14" x14ac:dyDescent="0.25">
      <c r="A44" s="4" t="s">
        <v>57</v>
      </c>
      <c r="B44" s="4" t="s">
        <v>58</v>
      </c>
      <c r="C44" s="4" t="s">
        <v>50</v>
      </c>
      <c r="D44" s="4">
        <v>0.15862276031382991</v>
      </c>
      <c r="E44" s="4" t="s">
        <v>49</v>
      </c>
      <c r="F44" s="4" t="s">
        <v>24</v>
      </c>
      <c r="G44" s="4" t="s">
        <v>25</v>
      </c>
      <c r="J44" s="4" t="s">
        <v>61</v>
      </c>
    </row>
    <row r="45" spans="1:14" x14ac:dyDescent="0.25">
      <c r="A45" s="4" t="s">
        <v>128</v>
      </c>
      <c r="B45" s="4" t="s">
        <v>129</v>
      </c>
      <c r="C45" s="4" t="s">
        <v>29</v>
      </c>
      <c r="D45" s="4">
        <v>3.1144668197172019</v>
      </c>
      <c r="E45" s="4" t="s">
        <v>23</v>
      </c>
      <c r="F45" s="4" t="s">
        <v>24</v>
      </c>
      <c r="G45" s="4" t="s">
        <v>25</v>
      </c>
      <c r="J45" s="4" t="s">
        <v>61</v>
      </c>
    </row>
    <row r="46" spans="1:14" x14ac:dyDescent="0.25">
      <c r="A46" s="4" t="s">
        <v>51</v>
      </c>
      <c r="B46" s="4" t="s">
        <v>27</v>
      </c>
      <c r="C46" s="4" t="s">
        <v>50</v>
      </c>
      <c r="D46" s="4">
        <v>8.5208925530133262E-2</v>
      </c>
      <c r="E46" s="4" t="s">
        <v>28</v>
      </c>
      <c r="F46" s="4" t="s">
        <v>24</v>
      </c>
      <c r="G46" s="4" t="s">
        <v>25</v>
      </c>
      <c r="J46" s="4" t="s">
        <v>61</v>
      </c>
    </row>
    <row r="47" spans="1:14" x14ac:dyDescent="0.25">
      <c r="A47" s="4" t="s">
        <v>161</v>
      </c>
      <c r="B47" s="4" t="s">
        <v>162</v>
      </c>
      <c r="C47" s="4" t="s">
        <v>163</v>
      </c>
      <c r="D47" s="4">
        <v>0.17859947473296739</v>
      </c>
      <c r="E47" s="4" t="s">
        <v>28</v>
      </c>
      <c r="F47" s="4" t="s">
        <v>24</v>
      </c>
      <c r="G47" s="4" t="s">
        <v>25</v>
      </c>
      <c r="J47" s="4" t="s">
        <v>61</v>
      </c>
    </row>
    <row r="48" spans="1:14" x14ac:dyDescent="0.25">
      <c r="A48" s="4" t="s">
        <v>130</v>
      </c>
      <c r="B48" s="4" t="s">
        <v>131</v>
      </c>
      <c r="C48" s="4" t="s">
        <v>29</v>
      </c>
      <c r="D48" s="4">
        <v>-8.2315103882255602E-3</v>
      </c>
      <c r="E48" s="4" t="s">
        <v>5</v>
      </c>
      <c r="F48" s="4" t="s">
        <v>24</v>
      </c>
      <c r="G48" s="4" t="s">
        <v>25</v>
      </c>
      <c r="J48" s="4" t="s">
        <v>141</v>
      </c>
    </row>
    <row r="49" spans="1:10" x14ac:dyDescent="0.25">
      <c r="A49" s="4" t="s">
        <v>36</v>
      </c>
      <c r="B49" s="4" t="s">
        <v>37</v>
      </c>
      <c r="C49" s="4" t="s">
        <v>29</v>
      </c>
      <c r="D49" s="4">
        <v>-4.1246595130785361E-4</v>
      </c>
      <c r="E49" s="4" t="s">
        <v>5</v>
      </c>
      <c r="F49" s="4" t="s">
        <v>24</v>
      </c>
      <c r="G49" s="4" t="s">
        <v>25</v>
      </c>
      <c r="J49" s="4" t="s">
        <v>112</v>
      </c>
    </row>
    <row r="50" spans="1:10" x14ac:dyDescent="0.25">
      <c r="A50" s="4" t="s">
        <v>130</v>
      </c>
      <c r="B50" s="4" t="s">
        <v>131</v>
      </c>
      <c r="C50" s="4" t="s">
        <v>29</v>
      </c>
      <c r="D50" s="4">
        <v>-1.6077319801150201</v>
      </c>
      <c r="E50" s="4" t="s">
        <v>5</v>
      </c>
      <c r="F50" s="4" t="s">
        <v>24</v>
      </c>
      <c r="G50" s="4" t="s">
        <v>25</v>
      </c>
      <c r="J50" s="4" t="s">
        <v>61</v>
      </c>
    </row>
    <row r="51" spans="1:10" x14ac:dyDescent="0.25">
      <c r="A51" s="4" t="s">
        <v>36</v>
      </c>
      <c r="B51" s="4" t="s">
        <v>37</v>
      </c>
      <c r="C51" s="4" t="s">
        <v>29</v>
      </c>
      <c r="D51" s="4">
        <v>-1.8108224249744211E-2</v>
      </c>
      <c r="E51" s="4" t="s">
        <v>5</v>
      </c>
      <c r="F51" s="4" t="s">
        <v>24</v>
      </c>
      <c r="G51" s="4" t="s">
        <v>25</v>
      </c>
      <c r="J51" s="4" t="s">
        <v>61</v>
      </c>
    </row>
    <row r="52" spans="1:10" x14ac:dyDescent="0.25">
      <c r="A52" s="4" t="s">
        <v>38</v>
      </c>
      <c r="B52" s="4" t="s">
        <v>39</v>
      </c>
      <c r="C52" s="4" t="s">
        <v>29</v>
      </c>
      <c r="D52" s="4">
        <v>-4.4612228632268294E-3</v>
      </c>
      <c r="E52" s="4" t="s">
        <v>5</v>
      </c>
      <c r="F52" s="4" t="s">
        <v>24</v>
      </c>
      <c r="G52" s="4" t="s">
        <v>25</v>
      </c>
      <c r="J52" s="4" t="s">
        <v>61</v>
      </c>
    </row>
    <row r="53" spans="1:10" x14ac:dyDescent="0.25">
      <c r="A53" s="4" t="s">
        <v>48</v>
      </c>
      <c r="D53" s="4">
        <v>2.7754369192971961E-3</v>
      </c>
      <c r="E53" s="4" t="s">
        <v>49</v>
      </c>
      <c r="F53" s="4" t="s">
        <v>42</v>
      </c>
      <c r="G53" s="4" t="s">
        <v>43</v>
      </c>
      <c r="H53" s="4" t="s">
        <v>47</v>
      </c>
      <c r="J53" s="4" t="s">
        <v>61</v>
      </c>
    </row>
    <row r="54" spans="1:10" x14ac:dyDescent="0.25">
      <c r="A54" s="4" t="s">
        <v>168</v>
      </c>
      <c r="D54" s="4">
        <v>2.9875373324007282E-3</v>
      </c>
      <c r="E54" s="4" t="s">
        <v>49</v>
      </c>
      <c r="F54" s="4" t="s">
        <v>42</v>
      </c>
      <c r="G54" s="4" t="s">
        <v>43</v>
      </c>
      <c r="H54" s="4" t="s">
        <v>169</v>
      </c>
      <c r="J54" s="4" t="s">
        <v>61</v>
      </c>
    </row>
    <row r="55" spans="1:10" x14ac:dyDescent="0.25">
      <c r="A55" s="4" t="s">
        <v>117</v>
      </c>
      <c r="D55" s="4">
        <v>1.04124532864141E-3</v>
      </c>
      <c r="E55" s="4" t="s">
        <v>45</v>
      </c>
      <c r="F55" s="4" t="s">
        <v>42</v>
      </c>
      <c r="G55" s="4" t="s">
        <v>43</v>
      </c>
      <c r="H55" s="4" t="s">
        <v>44</v>
      </c>
      <c r="J55" s="4" t="s">
        <v>61</v>
      </c>
    </row>
    <row r="56" spans="1:10" x14ac:dyDescent="0.25">
      <c r="A56" s="4" t="s">
        <v>46</v>
      </c>
      <c r="D56" s="4">
        <v>1.04124532864141E-3</v>
      </c>
      <c r="E56" s="4" t="s">
        <v>45</v>
      </c>
      <c r="F56" s="4" t="s">
        <v>42</v>
      </c>
      <c r="G56" s="4" t="s">
        <v>43</v>
      </c>
      <c r="H56" s="4" t="s">
        <v>44</v>
      </c>
      <c r="J56" s="4" t="s">
        <v>61</v>
      </c>
    </row>
    <row r="57" spans="1:10" x14ac:dyDescent="0.25">
      <c r="A57" s="4" t="s">
        <v>40</v>
      </c>
      <c r="D57" s="4">
        <v>8.0717875891157436E-9</v>
      </c>
      <c r="E57" s="4" t="s">
        <v>41</v>
      </c>
      <c r="F57" s="4" t="s">
        <v>42</v>
      </c>
      <c r="G57" s="4" t="s">
        <v>43</v>
      </c>
      <c r="H57" s="4" t="s">
        <v>44</v>
      </c>
      <c r="J57" s="4" t="s">
        <v>141</v>
      </c>
    </row>
    <row r="58" spans="1:10" x14ac:dyDescent="0.25">
      <c r="A58" s="4" t="s">
        <v>64</v>
      </c>
      <c r="D58" s="4">
        <v>5.4154340485501021E-4</v>
      </c>
      <c r="E58" s="4" t="s">
        <v>5</v>
      </c>
      <c r="F58" s="4" t="s">
        <v>42</v>
      </c>
      <c r="G58" s="4" t="s">
        <v>43</v>
      </c>
      <c r="H58" s="4" t="s">
        <v>63</v>
      </c>
      <c r="J58" s="4" t="s">
        <v>61</v>
      </c>
    </row>
    <row r="59" spans="1:10" x14ac:dyDescent="0.25">
      <c r="A59" s="4" t="s">
        <v>62</v>
      </c>
      <c r="D59" s="4">
        <v>7.7264685899501064E-4</v>
      </c>
      <c r="E59" s="4" t="s">
        <v>5</v>
      </c>
      <c r="F59" s="4" t="s">
        <v>42</v>
      </c>
      <c r="G59" s="4" t="s">
        <v>43</v>
      </c>
      <c r="H59" s="4" t="s">
        <v>63</v>
      </c>
      <c r="J59" s="4" t="s">
        <v>61</v>
      </c>
    </row>
    <row r="60" spans="1:10" x14ac:dyDescent="0.25">
      <c r="A60" s="4" t="s">
        <v>73</v>
      </c>
      <c r="D60" s="4">
        <v>7.9236587975355165E-4</v>
      </c>
      <c r="E60" s="4" t="s">
        <v>5</v>
      </c>
      <c r="F60" s="4" t="s">
        <v>42</v>
      </c>
      <c r="G60" s="4" t="s">
        <v>43</v>
      </c>
      <c r="H60" s="4" t="s">
        <v>63</v>
      </c>
      <c r="J60" s="4" t="s">
        <v>61</v>
      </c>
    </row>
    <row r="61" spans="1:10" x14ac:dyDescent="0.25">
      <c r="A61" s="4" t="s">
        <v>107</v>
      </c>
      <c r="D61" s="4">
        <v>1.427167810563604E-7</v>
      </c>
      <c r="E61" s="4" t="s">
        <v>5</v>
      </c>
      <c r="F61" s="4" t="s">
        <v>42</v>
      </c>
      <c r="G61" s="4" t="s">
        <v>43</v>
      </c>
      <c r="H61" s="4" t="s">
        <v>63</v>
      </c>
      <c r="J61" s="4" t="s">
        <v>112</v>
      </c>
    </row>
    <row r="62" spans="1:10" x14ac:dyDescent="0.25">
      <c r="A62" s="4" t="s">
        <v>132</v>
      </c>
      <c r="D62" s="4">
        <v>1.8628505878952172E-8</v>
      </c>
      <c r="E62" s="4" t="s">
        <v>5</v>
      </c>
      <c r="F62" s="4" t="s">
        <v>42</v>
      </c>
      <c r="G62" s="4" t="s">
        <v>43</v>
      </c>
      <c r="H62" s="4" t="s">
        <v>63</v>
      </c>
      <c r="J62" s="4" t="s">
        <v>127</v>
      </c>
    </row>
    <row r="63" spans="1:10" x14ac:dyDescent="0.25">
      <c r="A63" s="4" t="s">
        <v>118</v>
      </c>
      <c r="D63" s="4">
        <v>6.9835904570157324E-4</v>
      </c>
      <c r="E63" s="4" t="s">
        <v>49</v>
      </c>
      <c r="F63" s="4" t="s">
        <v>42</v>
      </c>
      <c r="G63" s="4" t="s">
        <v>43</v>
      </c>
      <c r="H63" s="4" t="s">
        <v>96</v>
      </c>
      <c r="J63" s="4" t="s">
        <v>61</v>
      </c>
    </row>
    <row r="64" spans="1:10" x14ac:dyDescent="0.25">
      <c r="A64" s="4" t="s">
        <v>118</v>
      </c>
      <c r="D64" s="4">
        <v>2.835562289147863E-3</v>
      </c>
      <c r="E64" s="4" t="s">
        <v>49</v>
      </c>
      <c r="F64" s="4" t="s">
        <v>42</v>
      </c>
      <c r="G64" s="4" t="s">
        <v>43</v>
      </c>
      <c r="H64" s="4" t="s">
        <v>171</v>
      </c>
      <c r="J64" s="4" t="s">
        <v>61</v>
      </c>
    </row>
    <row r="65" spans="1:14" x14ac:dyDescent="0.25">
      <c r="A65" s="4" t="s">
        <v>97</v>
      </c>
      <c r="D65" s="4">
        <v>6.2859872245106901E-5</v>
      </c>
      <c r="E65" s="4" t="s">
        <v>5</v>
      </c>
      <c r="F65" s="4" t="s">
        <v>42</v>
      </c>
      <c r="G65" s="4" t="s">
        <v>43</v>
      </c>
      <c r="H65" s="4" t="s">
        <v>96</v>
      </c>
      <c r="J65" s="4" t="s">
        <v>61</v>
      </c>
    </row>
    <row r="66" spans="1:14" s="8" customFormat="1" x14ac:dyDescent="0.25"/>
    <row r="67" spans="1:14" x14ac:dyDescent="0.25">
      <c r="A67" s="7" t="s">
        <v>0</v>
      </c>
      <c r="B67" s="7" t="s">
        <v>133</v>
      </c>
    </row>
    <row r="68" spans="1:14" x14ac:dyDescent="0.25">
      <c r="A68" s="5" t="s">
        <v>1</v>
      </c>
      <c r="B68" s="4" t="s">
        <v>134</v>
      </c>
    </row>
    <row r="69" spans="1:14" x14ac:dyDescent="0.25">
      <c r="A69" s="5" t="s">
        <v>2</v>
      </c>
      <c r="B69" s="4" t="s">
        <v>167</v>
      </c>
    </row>
    <row r="70" spans="1:14" x14ac:dyDescent="0.25">
      <c r="A70" s="5" t="s">
        <v>3</v>
      </c>
      <c r="B70" s="4">
        <v>1</v>
      </c>
    </row>
    <row r="71" spans="1:14" x14ac:dyDescent="0.25">
      <c r="A71" s="5" t="s">
        <v>4</v>
      </c>
      <c r="B71" s="4" t="s">
        <v>5</v>
      </c>
    </row>
    <row r="72" spans="1:14" x14ac:dyDescent="0.25">
      <c r="A72" s="5" t="s">
        <v>6</v>
      </c>
      <c r="B72" s="4" t="s">
        <v>7</v>
      </c>
    </row>
    <row r="73" spans="1:14" x14ac:dyDescent="0.25">
      <c r="A73" s="5" t="s">
        <v>8</v>
      </c>
    </row>
    <row r="74" spans="1:14" x14ac:dyDescent="0.25">
      <c r="A74" s="7" t="s">
        <v>9</v>
      </c>
      <c r="B74" s="7" t="s">
        <v>1</v>
      </c>
      <c r="C74" s="7" t="s">
        <v>2</v>
      </c>
      <c r="D74" s="7" t="s">
        <v>3</v>
      </c>
      <c r="E74" s="7" t="s">
        <v>4</v>
      </c>
      <c r="F74" s="7" t="s">
        <v>10</v>
      </c>
      <c r="G74" s="7" t="s">
        <v>11</v>
      </c>
      <c r="H74" s="7" t="s">
        <v>12</v>
      </c>
      <c r="I74" s="7" t="s">
        <v>13</v>
      </c>
      <c r="J74" s="7" t="s">
        <v>14</v>
      </c>
      <c r="K74" s="7" t="s">
        <v>15</v>
      </c>
      <c r="L74" s="7" t="s">
        <v>16</v>
      </c>
      <c r="M74" s="7" t="s">
        <v>17</v>
      </c>
      <c r="N74" s="7" t="s">
        <v>18</v>
      </c>
    </row>
    <row r="75" spans="1:14" x14ac:dyDescent="0.25">
      <c r="A75" s="4" t="str">
        <f>B67</f>
        <v>[P] Anode/Paste production</v>
      </c>
      <c r="B75" s="4" t="str">
        <f>B68</f>
        <v>Anode/Paste</v>
      </c>
      <c r="C75" s="4" t="str">
        <f>B69</f>
        <v>Oceania</v>
      </c>
      <c r="D75" s="4">
        <v>1</v>
      </c>
      <c r="E75" s="4" t="s">
        <v>5</v>
      </c>
      <c r="F75" s="6" t="str">
        <f>F37</f>
        <v>Aluminium</v>
      </c>
      <c r="G75" s="4" t="s">
        <v>19</v>
      </c>
    </row>
    <row r="76" spans="1:14" x14ac:dyDescent="0.25">
      <c r="A76" s="4" t="s">
        <v>135</v>
      </c>
      <c r="B76" s="4" t="s">
        <v>136</v>
      </c>
      <c r="C76" s="4" t="s">
        <v>22</v>
      </c>
      <c r="D76" s="4">
        <v>0.62555639914575567</v>
      </c>
      <c r="E76" s="4" t="s">
        <v>5</v>
      </c>
      <c r="F76" s="4" t="s">
        <v>24</v>
      </c>
      <c r="G76" s="4" t="s">
        <v>25</v>
      </c>
      <c r="J76" s="4" t="s">
        <v>61</v>
      </c>
    </row>
    <row r="77" spans="1:14" x14ac:dyDescent="0.25">
      <c r="A77" s="4" t="s">
        <v>137</v>
      </c>
      <c r="B77" s="4" t="s">
        <v>138</v>
      </c>
      <c r="C77" s="4" t="s">
        <v>29</v>
      </c>
      <c r="D77" s="4">
        <v>0.12748817617660799</v>
      </c>
      <c r="E77" s="4" t="s">
        <v>5</v>
      </c>
      <c r="F77" s="4" t="s">
        <v>24</v>
      </c>
      <c r="G77" s="4" t="s">
        <v>25</v>
      </c>
      <c r="J77" s="4" t="s">
        <v>61</v>
      </c>
    </row>
    <row r="78" spans="1:14" x14ac:dyDescent="0.25">
      <c r="A78" s="4" t="s">
        <v>139</v>
      </c>
      <c r="B78" s="4" t="s">
        <v>140</v>
      </c>
      <c r="C78" s="4" t="s">
        <v>22</v>
      </c>
      <c r="D78" s="4">
        <v>1.9738790012172259E-2</v>
      </c>
      <c r="E78" s="4" t="s">
        <v>5</v>
      </c>
      <c r="F78" s="4" t="s">
        <v>24</v>
      </c>
      <c r="G78" s="4" t="s">
        <v>25</v>
      </c>
      <c r="J78" s="4" t="s">
        <v>116</v>
      </c>
    </row>
    <row r="79" spans="1:14" x14ac:dyDescent="0.25">
      <c r="A79" s="4" t="s">
        <v>110</v>
      </c>
      <c r="B79" s="4" t="s">
        <v>111</v>
      </c>
      <c r="C79" s="4" t="s">
        <v>29</v>
      </c>
      <c r="D79" s="4">
        <v>1.3750296916224449E-2</v>
      </c>
      <c r="E79" s="4" t="s">
        <v>5</v>
      </c>
      <c r="F79" s="4" t="s">
        <v>24</v>
      </c>
      <c r="G79" s="4" t="s">
        <v>25</v>
      </c>
      <c r="J79" s="4" t="s">
        <v>61</v>
      </c>
    </row>
    <row r="80" spans="1:14" x14ac:dyDescent="0.25">
      <c r="A80" s="4" t="s">
        <v>20</v>
      </c>
      <c r="B80" s="4" t="s">
        <v>21</v>
      </c>
      <c r="C80" s="4" t="s">
        <v>22</v>
      </c>
      <c r="D80" s="4">
        <v>1.292990008313654E-2</v>
      </c>
      <c r="E80" s="4" t="s">
        <v>23</v>
      </c>
      <c r="F80" s="4" t="s">
        <v>24</v>
      </c>
      <c r="G80" s="4" t="s">
        <v>25</v>
      </c>
      <c r="J80" s="4" t="s">
        <v>61</v>
      </c>
    </row>
    <row r="81" spans="1:14" x14ac:dyDescent="0.25">
      <c r="A81" s="4" t="s">
        <v>57</v>
      </c>
      <c r="B81" s="4" t="s">
        <v>58</v>
      </c>
      <c r="C81" s="4" t="s">
        <v>50</v>
      </c>
      <c r="D81" s="4">
        <v>5.447597181607202E-2</v>
      </c>
      <c r="E81" s="4" t="s">
        <v>49</v>
      </c>
      <c r="F81" s="4" t="s">
        <v>24</v>
      </c>
      <c r="G81" s="4" t="s">
        <v>25</v>
      </c>
      <c r="J81" s="4" t="s">
        <v>61</v>
      </c>
    </row>
    <row r="82" spans="1:14" x14ac:dyDescent="0.25">
      <c r="A82" s="4" t="s">
        <v>51</v>
      </c>
      <c r="B82" s="4" t="s">
        <v>27</v>
      </c>
      <c r="C82" s="4" t="s">
        <v>50</v>
      </c>
      <c r="D82" s="4">
        <v>7.7011902806750895E-2</v>
      </c>
      <c r="E82" s="4" t="s">
        <v>28</v>
      </c>
      <c r="F82" s="4" t="s">
        <v>24</v>
      </c>
      <c r="G82" s="4" t="s">
        <v>25</v>
      </c>
      <c r="J82" s="4" t="s">
        <v>61</v>
      </c>
    </row>
    <row r="83" spans="1:14" x14ac:dyDescent="0.25">
      <c r="A83" s="4" t="s">
        <v>161</v>
      </c>
      <c r="B83" s="4" t="s">
        <v>162</v>
      </c>
      <c r="C83" s="4" t="s">
        <v>163</v>
      </c>
      <c r="D83" s="4">
        <v>2.5677839298333732E-4</v>
      </c>
      <c r="E83" s="4" t="s">
        <v>28</v>
      </c>
      <c r="F83" s="4" t="s">
        <v>24</v>
      </c>
      <c r="G83" s="4" t="s">
        <v>25</v>
      </c>
      <c r="J83" s="4" t="s">
        <v>61</v>
      </c>
    </row>
    <row r="84" spans="1:14" x14ac:dyDescent="0.25">
      <c r="A84" s="4" t="s">
        <v>145</v>
      </c>
      <c r="B84" s="4" t="s">
        <v>146</v>
      </c>
      <c r="C84" s="4" t="s">
        <v>29</v>
      </c>
      <c r="D84" s="4">
        <v>-1.601191846939783E-2</v>
      </c>
      <c r="E84" s="4" t="s">
        <v>5</v>
      </c>
      <c r="F84" s="4" t="s">
        <v>24</v>
      </c>
      <c r="G84" s="4" t="s">
        <v>25</v>
      </c>
      <c r="J84" s="4" t="s">
        <v>116</v>
      </c>
    </row>
    <row r="85" spans="1:14" x14ac:dyDescent="0.25">
      <c r="A85" s="4" t="s">
        <v>142</v>
      </c>
      <c r="B85" s="4" t="s">
        <v>143</v>
      </c>
      <c r="C85" s="4" t="s">
        <v>29</v>
      </c>
      <c r="D85" s="4">
        <v>-2.1148703584470269E-2</v>
      </c>
      <c r="E85" s="4" t="s">
        <v>5</v>
      </c>
      <c r="F85" s="4" t="s">
        <v>24</v>
      </c>
      <c r="G85" s="4" t="s">
        <v>25</v>
      </c>
      <c r="J85" s="4" t="s">
        <v>116</v>
      </c>
    </row>
    <row r="86" spans="1:14" x14ac:dyDescent="0.25">
      <c r="A86" s="4" t="s">
        <v>36</v>
      </c>
      <c r="B86" s="4" t="s">
        <v>37</v>
      </c>
      <c r="C86" s="4" t="s">
        <v>29</v>
      </c>
      <c r="D86" s="4">
        <v>-2.410952208629611E-3</v>
      </c>
      <c r="E86" s="4" t="s">
        <v>5</v>
      </c>
      <c r="F86" s="4" t="s">
        <v>24</v>
      </c>
      <c r="G86" s="4" t="s">
        <v>25</v>
      </c>
      <c r="J86" s="4" t="s">
        <v>116</v>
      </c>
    </row>
    <row r="87" spans="1:14" s="8" customFormat="1" x14ac:dyDescent="0.25"/>
    <row r="88" spans="1:14" x14ac:dyDescent="0.25">
      <c r="A88" s="7" t="s">
        <v>0</v>
      </c>
      <c r="B88" s="7" t="s">
        <v>147</v>
      </c>
    </row>
    <row r="89" spans="1:14" x14ac:dyDescent="0.25">
      <c r="A89" s="5" t="s">
        <v>1</v>
      </c>
      <c r="B89" s="4" t="s">
        <v>148</v>
      </c>
    </row>
    <row r="90" spans="1:14" x14ac:dyDescent="0.25">
      <c r="A90" s="5" t="s">
        <v>2</v>
      </c>
      <c r="B90" s="4" t="s">
        <v>167</v>
      </c>
    </row>
    <row r="91" spans="1:14" x14ac:dyDescent="0.25">
      <c r="A91" s="5" t="s">
        <v>3</v>
      </c>
      <c r="B91" s="4">
        <v>1</v>
      </c>
    </row>
    <row r="92" spans="1:14" x14ac:dyDescent="0.25">
      <c r="A92" s="5" t="s">
        <v>4</v>
      </c>
      <c r="B92" s="4" t="s">
        <v>5</v>
      </c>
    </row>
    <row r="93" spans="1:14" x14ac:dyDescent="0.25">
      <c r="A93" s="5" t="s">
        <v>6</v>
      </c>
      <c r="B93" s="4" t="s">
        <v>7</v>
      </c>
    </row>
    <row r="94" spans="1:14" x14ac:dyDescent="0.25">
      <c r="A94" s="5" t="s">
        <v>8</v>
      </c>
    </row>
    <row r="95" spans="1:14" x14ac:dyDescent="0.25">
      <c r="A95" s="7" t="s">
        <v>9</v>
      </c>
      <c r="B95" s="7" t="s">
        <v>1</v>
      </c>
      <c r="C95" s="7" t="s">
        <v>2</v>
      </c>
      <c r="D95" s="7" t="s">
        <v>3</v>
      </c>
      <c r="E95" s="7" t="s">
        <v>4</v>
      </c>
      <c r="F95" s="7" t="s">
        <v>10</v>
      </c>
      <c r="G95" s="7" t="s">
        <v>11</v>
      </c>
      <c r="H95" s="7" t="s">
        <v>12</v>
      </c>
      <c r="I95" s="7" t="s">
        <v>13</v>
      </c>
      <c r="J95" s="7" t="s">
        <v>14</v>
      </c>
      <c r="K95" s="7" t="s">
        <v>15</v>
      </c>
      <c r="L95" s="7" t="s">
        <v>16</v>
      </c>
      <c r="M95" s="7" t="s">
        <v>17</v>
      </c>
      <c r="N95" s="7" t="s">
        <v>18</v>
      </c>
    </row>
    <row r="96" spans="1:14" x14ac:dyDescent="0.25">
      <c r="A96" s="4" t="str">
        <f>B88</f>
        <v>[R] Electrolysis</v>
      </c>
      <c r="B96" s="4" t="str">
        <f>B89</f>
        <v>Liquid aluminium (Al)</v>
      </c>
      <c r="C96" s="4" t="str">
        <f>B90</f>
        <v>Oceania</v>
      </c>
      <c r="D96" s="4">
        <v>1</v>
      </c>
      <c r="E96" s="4" t="s">
        <v>5</v>
      </c>
      <c r="F96" s="6" t="str">
        <f>F75</f>
        <v>Aluminium</v>
      </c>
      <c r="G96" s="4" t="s">
        <v>19</v>
      </c>
    </row>
    <row r="97" spans="1:10" x14ac:dyDescent="0.25">
      <c r="A97" s="4" t="s">
        <v>121</v>
      </c>
      <c r="B97" s="4" t="s">
        <v>122</v>
      </c>
      <c r="C97" s="4" t="s">
        <v>22</v>
      </c>
      <c r="D97" s="4">
        <v>3.6651674986389899</v>
      </c>
      <c r="E97" s="4" t="s">
        <v>105</v>
      </c>
      <c r="F97" s="4" t="s">
        <v>24</v>
      </c>
      <c r="G97" s="4" t="s">
        <v>25</v>
      </c>
      <c r="J97" s="4" t="s">
        <v>61</v>
      </c>
    </row>
    <row r="98" spans="1:10" x14ac:dyDescent="0.25">
      <c r="A98" s="4" t="s">
        <v>123</v>
      </c>
      <c r="B98" s="4" t="s">
        <v>124</v>
      </c>
      <c r="C98" s="4" t="s">
        <v>29</v>
      </c>
      <c r="D98" s="4">
        <v>1.1788186341804421E-2</v>
      </c>
      <c r="E98" s="4" t="s">
        <v>105</v>
      </c>
      <c r="F98" s="4" t="s">
        <v>24</v>
      </c>
      <c r="G98" s="4" t="s">
        <v>25</v>
      </c>
      <c r="J98" s="4" t="s">
        <v>61</v>
      </c>
    </row>
    <row r="99" spans="1:10" x14ac:dyDescent="0.25">
      <c r="A99" s="4" t="s">
        <v>125</v>
      </c>
      <c r="B99" s="4" t="s">
        <v>126</v>
      </c>
      <c r="C99" s="4" t="s">
        <v>29</v>
      </c>
      <c r="D99" s="4">
        <v>1.754176660315955E-2</v>
      </c>
      <c r="E99" s="4" t="s">
        <v>105</v>
      </c>
      <c r="F99" s="4" t="s">
        <v>24</v>
      </c>
      <c r="G99" s="4" t="s">
        <v>25</v>
      </c>
      <c r="J99" s="4" t="s">
        <v>141</v>
      </c>
    </row>
    <row r="100" spans="1:10" x14ac:dyDescent="0.25">
      <c r="A100" s="4" t="s">
        <v>139</v>
      </c>
      <c r="B100" s="4" t="s">
        <v>140</v>
      </c>
      <c r="C100" s="4" t="s">
        <v>22</v>
      </c>
      <c r="D100" s="4">
        <v>2.3879765362669731E-3</v>
      </c>
      <c r="E100" s="4" t="s">
        <v>5</v>
      </c>
      <c r="F100" s="4" t="s">
        <v>24</v>
      </c>
      <c r="G100" s="4" t="s">
        <v>25</v>
      </c>
      <c r="J100" s="4" t="s">
        <v>61</v>
      </c>
    </row>
    <row r="101" spans="1:10" x14ac:dyDescent="0.25">
      <c r="A101" s="4" t="s">
        <v>34</v>
      </c>
      <c r="B101" s="4" t="s">
        <v>35</v>
      </c>
      <c r="C101" s="4" t="s">
        <v>22</v>
      </c>
      <c r="D101" s="4">
        <v>2.4571706276228572E-3</v>
      </c>
      <c r="E101" s="4" t="s">
        <v>5</v>
      </c>
      <c r="F101" s="4" t="s">
        <v>24</v>
      </c>
      <c r="G101" s="4" t="s">
        <v>25</v>
      </c>
      <c r="J101" s="4" t="s">
        <v>61</v>
      </c>
    </row>
    <row r="102" spans="1:10" x14ac:dyDescent="0.25">
      <c r="A102" s="4" t="s">
        <v>149</v>
      </c>
      <c r="B102" s="4" t="s">
        <v>150</v>
      </c>
      <c r="C102" s="4" t="s">
        <v>22</v>
      </c>
      <c r="D102" s="4">
        <v>2.6340577784574469E-3</v>
      </c>
      <c r="E102" s="4" t="s">
        <v>5</v>
      </c>
      <c r="F102" s="4" t="s">
        <v>24</v>
      </c>
      <c r="G102" s="4" t="s">
        <v>25</v>
      </c>
      <c r="J102" s="4" t="s">
        <v>61</v>
      </c>
    </row>
    <row r="103" spans="1:10" x14ac:dyDescent="0.25">
      <c r="A103" s="4" t="s">
        <v>151</v>
      </c>
      <c r="B103" s="4" t="s">
        <v>152</v>
      </c>
      <c r="C103" s="4" t="s">
        <v>22</v>
      </c>
      <c r="D103" s="4">
        <v>1.4892774346608399E-2</v>
      </c>
      <c r="E103" s="4" t="s">
        <v>5</v>
      </c>
      <c r="F103" s="4" t="s">
        <v>24</v>
      </c>
      <c r="G103" s="4" t="s">
        <v>25</v>
      </c>
      <c r="J103" s="4" t="s">
        <v>61</v>
      </c>
    </row>
    <row r="104" spans="1:10" x14ac:dyDescent="0.25">
      <c r="A104" s="4" t="s">
        <v>51</v>
      </c>
      <c r="B104" s="4" t="s">
        <v>27</v>
      </c>
      <c r="C104" s="4" t="s">
        <v>50</v>
      </c>
      <c r="D104" s="4">
        <v>14.50127004978695</v>
      </c>
      <c r="E104" s="4" t="s">
        <v>28</v>
      </c>
      <c r="F104" s="4" t="s">
        <v>24</v>
      </c>
      <c r="G104" s="4" t="s">
        <v>25</v>
      </c>
      <c r="J104" s="4" t="s">
        <v>61</v>
      </c>
    </row>
    <row r="105" spans="1:10" x14ac:dyDescent="0.25">
      <c r="A105" s="4" t="s">
        <v>145</v>
      </c>
      <c r="B105" s="4" t="s">
        <v>146</v>
      </c>
      <c r="C105" s="4" t="s">
        <v>29</v>
      </c>
      <c r="D105" s="4">
        <v>-1.810717108540672E-3</v>
      </c>
      <c r="E105" s="4" t="s">
        <v>5</v>
      </c>
      <c r="F105" s="4" t="s">
        <v>24</v>
      </c>
      <c r="G105" s="4" t="s">
        <v>25</v>
      </c>
      <c r="J105" s="4" t="s">
        <v>127</v>
      </c>
    </row>
    <row r="106" spans="1:10" x14ac:dyDescent="0.25">
      <c r="A106" s="4" t="s">
        <v>142</v>
      </c>
      <c r="B106" s="4" t="s">
        <v>143</v>
      </c>
      <c r="C106" s="4" t="s">
        <v>29</v>
      </c>
      <c r="D106" s="4">
        <v>-7.4784399285930843E-3</v>
      </c>
      <c r="E106" s="4" t="s">
        <v>5</v>
      </c>
      <c r="F106" s="4" t="s">
        <v>24</v>
      </c>
      <c r="G106" s="4" t="s">
        <v>25</v>
      </c>
      <c r="J106" s="4" t="s">
        <v>127</v>
      </c>
    </row>
    <row r="107" spans="1:10" x14ac:dyDescent="0.25">
      <c r="A107" s="4" t="s">
        <v>142</v>
      </c>
      <c r="B107" s="4" t="s">
        <v>143</v>
      </c>
      <c r="C107" s="4" t="s">
        <v>29</v>
      </c>
      <c r="D107" s="4">
        <v>-2.6434223923251609E-3</v>
      </c>
      <c r="E107" s="4" t="s">
        <v>5</v>
      </c>
      <c r="F107" s="4" t="s">
        <v>24</v>
      </c>
      <c r="G107" s="4" t="s">
        <v>25</v>
      </c>
      <c r="J107" s="4" t="s">
        <v>61</v>
      </c>
    </row>
    <row r="108" spans="1:10" x14ac:dyDescent="0.25">
      <c r="A108" s="4" t="s">
        <v>144</v>
      </c>
      <c r="B108" s="4" t="s">
        <v>76</v>
      </c>
      <c r="C108" s="4" t="s">
        <v>29</v>
      </c>
      <c r="D108" s="4">
        <v>-1.84951123887344E-3</v>
      </c>
      <c r="E108" s="4" t="s">
        <v>5</v>
      </c>
      <c r="F108" s="4" t="s">
        <v>24</v>
      </c>
      <c r="G108" s="4" t="s">
        <v>25</v>
      </c>
      <c r="J108" s="4" t="s">
        <v>61</v>
      </c>
    </row>
    <row r="109" spans="1:10" x14ac:dyDescent="0.25">
      <c r="A109" s="4" t="s">
        <v>142</v>
      </c>
      <c r="B109" s="4" t="s">
        <v>143</v>
      </c>
      <c r="C109" s="4" t="s">
        <v>29</v>
      </c>
      <c r="D109" s="4">
        <v>-9.2961481352141134E-2</v>
      </c>
      <c r="E109" s="4" t="s">
        <v>5</v>
      </c>
      <c r="F109" s="4" t="s">
        <v>24</v>
      </c>
      <c r="G109" s="4" t="s">
        <v>25</v>
      </c>
      <c r="J109" s="4" t="s">
        <v>61</v>
      </c>
    </row>
    <row r="110" spans="1:10" x14ac:dyDescent="0.25">
      <c r="A110" s="4" t="s">
        <v>36</v>
      </c>
      <c r="B110" s="4" t="s">
        <v>37</v>
      </c>
      <c r="C110" s="4" t="s">
        <v>29</v>
      </c>
      <c r="D110" s="4">
        <v>-2.8840873772935199E-5</v>
      </c>
      <c r="E110" s="4" t="s">
        <v>5</v>
      </c>
      <c r="F110" s="4" t="s">
        <v>24</v>
      </c>
      <c r="G110" s="4" t="s">
        <v>25</v>
      </c>
      <c r="J110" s="4" t="s">
        <v>141</v>
      </c>
    </row>
    <row r="111" spans="1:10" x14ac:dyDescent="0.25">
      <c r="A111" s="4" t="s">
        <v>145</v>
      </c>
      <c r="B111" s="4" t="s">
        <v>146</v>
      </c>
      <c r="C111" s="4" t="s">
        <v>29</v>
      </c>
      <c r="D111" s="4">
        <v>-1.081092645394939E-3</v>
      </c>
      <c r="E111" s="4" t="s">
        <v>5</v>
      </c>
      <c r="F111" s="4" t="s">
        <v>24</v>
      </c>
      <c r="G111" s="4" t="s">
        <v>25</v>
      </c>
      <c r="J111" s="4" t="s">
        <v>61</v>
      </c>
    </row>
    <row r="112" spans="1:10" x14ac:dyDescent="0.25">
      <c r="A112" s="4" t="s">
        <v>142</v>
      </c>
      <c r="B112" s="4" t="s">
        <v>143</v>
      </c>
      <c r="C112" s="4" t="s">
        <v>29</v>
      </c>
      <c r="D112" s="4">
        <v>-4.6406864277780818E-4</v>
      </c>
      <c r="E112" s="4" t="s">
        <v>5</v>
      </c>
      <c r="F112" s="4" t="s">
        <v>24</v>
      </c>
      <c r="G112" s="4" t="s">
        <v>25</v>
      </c>
      <c r="J112" s="4" t="s">
        <v>61</v>
      </c>
    </row>
    <row r="113" spans="1:10" x14ac:dyDescent="0.25">
      <c r="A113" s="4" t="s">
        <v>64</v>
      </c>
      <c r="D113" s="4">
        <v>1.056581288852525E-3</v>
      </c>
      <c r="E113" s="4" t="s">
        <v>5</v>
      </c>
      <c r="F113" s="4" t="s">
        <v>42</v>
      </c>
      <c r="G113" s="4" t="s">
        <v>43</v>
      </c>
      <c r="H113" s="4" t="s">
        <v>63</v>
      </c>
      <c r="J113" s="4" t="s">
        <v>61</v>
      </c>
    </row>
    <row r="114" spans="1:10" x14ac:dyDescent="0.25">
      <c r="A114" s="4" t="s">
        <v>62</v>
      </c>
      <c r="D114" s="4">
        <v>2.0388130583124591E-2</v>
      </c>
      <c r="E114" s="4" t="s">
        <v>5</v>
      </c>
      <c r="F114" s="4" t="s">
        <v>42</v>
      </c>
      <c r="G114" s="4" t="s">
        <v>43</v>
      </c>
      <c r="H114" s="4" t="s">
        <v>63</v>
      </c>
      <c r="J114" s="4" t="s">
        <v>61</v>
      </c>
    </row>
    <row r="115" spans="1:10" x14ac:dyDescent="0.25">
      <c r="A115" s="4" t="s">
        <v>73</v>
      </c>
      <c r="D115" s="4">
        <v>6.282485917219982E-4</v>
      </c>
      <c r="E115" s="4" t="s">
        <v>5</v>
      </c>
      <c r="F115" s="4" t="s">
        <v>42</v>
      </c>
      <c r="G115" s="4" t="s">
        <v>43</v>
      </c>
      <c r="H115" s="4" t="s">
        <v>63</v>
      </c>
      <c r="J115" s="4" t="s">
        <v>141</v>
      </c>
    </row>
    <row r="116" spans="1:10" x14ac:dyDescent="0.25">
      <c r="A116" s="4" t="s">
        <v>132</v>
      </c>
      <c r="D116" s="4">
        <v>4.2556967465498558E-8</v>
      </c>
      <c r="E116" s="4" t="s">
        <v>5</v>
      </c>
      <c r="F116" s="4" t="s">
        <v>42</v>
      </c>
      <c r="G116" s="4" t="s">
        <v>43</v>
      </c>
      <c r="H116" s="4" t="s">
        <v>63</v>
      </c>
      <c r="J116" s="4" t="s">
        <v>61</v>
      </c>
    </row>
    <row r="117" spans="1:10" x14ac:dyDescent="0.25">
      <c r="A117" s="4" t="s">
        <v>64</v>
      </c>
      <c r="D117" s="4">
        <v>2.769064295050319E-4</v>
      </c>
      <c r="E117" s="4" t="s">
        <v>5</v>
      </c>
      <c r="F117" s="4" t="s">
        <v>42</v>
      </c>
      <c r="G117" s="4" t="s">
        <v>43</v>
      </c>
      <c r="H117" s="4" t="s">
        <v>63</v>
      </c>
      <c r="J117" s="4" t="s">
        <v>61</v>
      </c>
    </row>
    <row r="118" spans="1:10" x14ac:dyDescent="0.25">
      <c r="A118" s="4" t="s">
        <v>93</v>
      </c>
      <c r="D118" s="4">
        <v>6.5160023804203336E-4</v>
      </c>
      <c r="E118" s="4" t="s">
        <v>5</v>
      </c>
      <c r="F118" s="4" t="s">
        <v>42</v>
      </c>
      <c r="G118" s="4" t="s">
        <v>43</v>
      </c>
      <c r="H118" s="4" t="s">
        <v>63</v>
      </c>
      <c r="J118" s="4" t="s">
        <v>61</v>
      </c>
    </row>
    <row r="119" spans="1:10" x14ac:dyDescent="0.25">
      <c r="A119" s="4" t="s">
        <v>94</v>
      </c>
      <c r="D119" s="4">
        <v>8.8451327236552482E-6</v>
      </c>
      <c r="E119" s="4" t="s">
        <v>5</v>
      </c>
      <c r="F119" s="4" t="s">
        <v>42</v>
      </c>
      <c r="G119" s="4" t="s">
        <v>43</v>
      </c>
      <c r="H119" s="4" t="s">
        <v>63</v>
      </c>
      <c r="J119" s="4" t="s">
        <v>61</v>
      </c>
    </row>
    <row r="120" spans="1:10" x14ac:dyDescent="0.25">
      <c r="A120" s="4" t="s">
        <v>98</v>
      </c>
      <c r="D120" s="4">
        <v>1.712724910583613E-8</v>
      </c>
      <c r="E120" s="4" t="s">
        <v>5</v>
      </c>
      <c r="F120" s="4" t="s">
        <v>42</v>
      </c>
      <c r="G120" s="4" t="s">
        <v>43</v>
      </c>
      <c r="H120" s="4" t="s">
        <v>63</v>
      </c>
      <c r="J120" s="4" t="s">
        <v>141</v>
      </c>
    </row>
    <row r="121" spans="1:10" x14ac:dyDescent="0.25">
      <c r="A121" s="4" t="s">
        <v>155</v>
      </c>
      <c r="D121" s="4">
        <v>2.4707052065852219E-5</v>
      </c>
      <c r="E121" s="4" t="s">
        <v>5</v>
      </c>
      <c r="F121" s="4" t="s">
        <v>42</v>
      </c>
      <c r="G121" s="4" t="s">
        <v>43</v>
      </c>
      <c r="H121" s="4" t="s">
        <v>63</v>
      </c>
      <c r="J121" s="4" t="s">
        <v>61</v>
      </c>
    </row>
    <row r="122" spans="1:10" x14ac:dyDescent="0.25">
      <c r="A122" s="4" t="s">
        <v>156</v>
      </c>
      <c r="D122" s="4">
        <v>1.2570366286008829E-6</v>
      </c>
      <c r="E122" s="4" t="s">
        <v>5</v>
      </c>
      <c r="F122" s="4" t="s">
        <v>42</v>
      </c>
      <c r="G122" s="4" t="s">
        <v>43</v>
      </c>
      <c r="H122" s="4" t="s">
        <v>63</v>
      </c>
      <c r="J122" s="4" t="s">
        <v>61</v>
      </c>
    </row>
    <row r="123" spans="1:10" x14ac:dyDescent="0.25">
      <c r="A123" s="4" t="s">
        <v>97</v>
      </c>
      <c r="D123" s="4">
        <v>1.256805756771901E-5</v>
      </c>
      <c r="E123" s="4" t="s">
        <v>5</v>
      </c>
      <c r="F123" s="4" t="s">
        <v>42</v>
      </c>
      <c r="G123" s="4" t="s">
        <v>43</v>
      </c>
      <c r="H123" s="4" t="s">
        <v>96</v>
      </c>
      <c r="J123" s="4" t="s">
        <v>127</v>
      </c>
    </row>
    <row r="124" spans="1:10" x14ac:dyDescent="0.25">
      <c r="A124" s="4" t="s">
        <v>106</v>
      </c>
      <c r="D124" s="4">
        <v>3.7736006688890848E-5</v>
      </c>
      <c r="E124" s="4" t="s">
        <v>5</v>
      </c>
      <c r="F124" s="4" t="s">
        <v>42</v>
      </c>
      <c r="G124" s="4" t="s">
        <v>43</v>
      </c>
      <c r="H124" s="4" t="s">
        <v>96</v>
      </c>
      <c r="J124" s="4" t="s">
        <v>127</v>
      </c>
    </row>
    <row r="125" spans="1:10" s="8" customFormat="1" x14ac:dyDescent="0.25"/>
    <row r="126" spans="1:10" x14ac:dyDescent="0.25">
      <c r="A126" s="7" t="s">
        <v>0</v>
      </c>
      <c r="B126" s="7" t="s">
        <v>157</v>
      </c>
    </row>
    <row r="127" spans="1:10" x14ac:dyDescent="0.25">
      <c r="A127" s="5" t="s">
        <v>1</v>
      </c>
      <c r="B127" s="4" t="s">
        <v>158</v>
      </c>
    </row>
    <row r="128" spans="1:10" x14ac:dyDescent="0.25">
      <c r="A128" s="5" t="s">
        <v>2</v>
      </c>
      <c r="B128" s="4" t="s">
        <v>167</v>
      </c>
    </row>
    <row r="129" spans="1:14" x14ac:dyDescent="0.25">
      <c r="A129" s="5" t="s">
        <v>3</v>
      </c>
      <c r="B129" s="4">
        <v>1</v>
      </c>
    </row>
    <row r="130" spans="1:14" x14ac:dyDescent="0.25">
      <c r="A130" s="5" t="s">
        <v>4</v>
      </c>
      <c r="B130" s="4" t="s">
        <v>5</v>
      </c>
    </row>
    <row r="131" spans="1:14" x14ac:dyDescent="0.25">
      <c r="A131" s="5" t="s">
        <v>6</v>
      </c>
      <c r="B131" s="4" t="s">
        <v>7</v>
      </c>
    </row>
    <row r="132" spans="1:14" x14ac:dyDescent="0.25">
      <c r="A132" s="5" t="s">
        <v>8</v>
      </c>
    </row>
    <row r="133" spans="1:14" x14ac:dyDescent="0.25">
      <c r="A133" s="7" t="s">
        <v>9</v>
      </c>
      <c r="B133" s="7" t="s">
        <v>1</v>
      </c>
      <c r="C133" s="7" t="s">
        <v>2</v>
      </c>
      <c r="D133" s="7" t="s">
        <v>3</v>
      </c>
      <c r="E133" s="7" t="s">
        <v>4</v>
      </c>
      <c r="F133" s="7" t="s">
        <v>10</v>
      </c>
      <c r="G133" s="7" t="s">
        <v>11</v>
      </c>
      <c r="H133" s="7" t="s">
        <v>12</v>
      </c>
      <c r="I133" s="7" t="s">
        <v>13</v>
      </c>
      <c r="J133" s="7" t="s">
        <v>14</v>
      </c>
      <c r="K133" s="7" t="s">
        <v>15</v>
      </c>
      <c r="L133" s="7" t="s">
        <v>16</v>
      </c>
      <c r="M133" s="7" t="s">
        <v>17</v>
      </c>
      <c r="N133" s="7" t="s">
        <v>18</v>
      </c>
    </row>
    <row r="134" spans="1:14" x14ac:dyDescent="0.25">
      <c r="A134" s="4" t="str">
        <f>B126</f>
        <v>[R] Casting</v>
      </c>
      <c r="B134" s="4" t="str">
        <f>B127</f>
        <v>Al ingot</v>
      </c>
      <c r="C134" s="4" t="str">
        <f>B128</f>
        <v>Oceania</v>
      </c>
      <c r="D134" s="4">
        <v>1</v>
      </c>
      <c r="E134" s="4" t="s">
        <v>5</v>
      </c>
      <c r="F134" s="6" t="str">
        <f>F96</f>
        <v>Aluminium</v>
      </c>
      <c r="G134" s="4" t="s">
        <v>19</v>
      </c>
    </row>
    <row r="135" spans="1:14" x14ac:dyDescent="0.25">
      <c r="A135" s="4" t="s">
        <v>30</v>
      </c>
      <c r="B135" s="4" t="s">
        <v>31</v>
      </c>
      <c r="C135" s="4" t="s">
        <v>22</v>
      </c>
      <c r="D135" s="4">
        <v>6.5017777780635392E-3</v>
      </c>
      <c r="E135" s="4" t="s">
        <v>5</v>
      </c>
      <c r="F135" s="4" t="s">
        <v>24</v>
      </c>
      <c r="G135" s="4" t="s">
        <v>25</v>
      </c>
      <c r="J135" s="4" t="s">
        <v>61</v>
      </c>
    </row>
    <row r="136" spans="1:14" x14ac:dyDescent="0.25">
      <c r="A136" s="4" t="s">
        <v>79</v>
      </c>
      <c r="B136" s="4" t="s">
        <v>80</v>
      </c>
      <c r="C136" s="4" t="s">
        <v>29</v>
      </c>
      <c r="D136" s="4">
        <v>3.1079257831640209E-4</v>
      </c>
      <c r="E136" s="4" t="s">
        <v>5</v>
      </c>
      <c r="F136" s="4" t="s">
        <v>24</v>
      </c>
      <c r="G136" s="4" t="s">
        <v>25</v>
      </c>
      <c r="J136" s="4" t="s">
        <v>141</v>
      </c>
    </row>
    <row r="137" spans="1:14" x14ac:dyDescent="0.25">
      <c r="A137" s="4" t="s">
        <v>110</v>
      </c>
      <c r="B137" s="4" t="s">
        <v>111</v>
      </c>
      <c r="C137" s="4" t="s">
        <v>29</v>
      </c>
      <c r="D137" s="4">
        <v>2.660882597526323E-3</v>
      </c>
      <c r="E137" s="4" t="s">
        <v>5</v>
      </c>
      <c r="F137" s="4" t="s">
        <v>24</v>
      </c>
      <c r="G137" s="4" t="s">
        <v>25</v>
      </c>
      <c r="J137" s="4" t="s">
        <v>61</v>
      </c>
    </row>
    <row r="138" spans="1:14" x14ac:dyDescent="0.25">
      <c r="A138" s="4" t="s">
        <v>20</v>
      </c>
      <c r="B138" s="4" t="s">
        <v>21</v>
      </c>
      <c r="C138" s="4" t="s">
        <v>22</v>
      </c>
      <c r="D138" s="4">
        <v>8.974183800570296E-3</v>
      </c>
      <c r="E138" s="4" t="s">
        <v>23</v>
      </c>
      <c r="F138" s="4" t="s">
        <v>24</v>
      </c>
      <c r="G138" s="4" t="s">
        <v>25</v>
      </c>
      <c r="J138" s="4" t="s">
        <v>61</v>
      </c>
    </row>
    <row r="139" spans="1:14" x14ac:dyDescent="0.25">
      <c r="A139" s="4" t="s">
        <v>57</v>
      </c>
      <c r="B139" s="4" t="s">
        <v>58</v>
      </c>
      <c r="C139" s="4" t="s">
        <v>50</v>
      </c>
      <c r="D139" s="4">
        <v>1.196915783028858E-2</v>
      </c>
      <c r="E139" s="4" t="s">
        <v>49</v>
      </c>
      <c r="F139" s="4" t="s">
        <v>24</v>
      </c>
      <c r="G139" s="4" t="s">
        <v>25</v>
      </c>
      <c r="J139" s="4" t="s">
        <v>61</v>
      </c>
    </row>
    <row r="140" spans="1:14" x14ac:dyDescent="0.25">
      <c r="A140" s="4" t="s">
        <v>51</v>
      </c>
      <c r="B140" s="4" t="s">
        <v>27</v>
      </c>
      <c r="C140" s="4" t="s">
        <v>50</v>
      </c>
      <c r="D140" s="4">
        <v>8.3487619033974725E-2</v>
      </c>
      <c r="E140" s="4" t="s">
        <v>28</v>
      </c>
      <c r="F140" s="4" t="s">
        <v>24</v>
      </c>
      <c r="G140" s="4" t="s">
        <v>25</v>
      </c>
      <c r="J140" s="4" t="s">
        <v>61</v>
      </c>
    </row>
    <row r="141" spans="1:14" x14ac:dyDescent="0.25">
      <c r="A141" s="4" t="s">
        <v>164</v>
      </c>
      <c r="B141" s="4" t="s">
        <v>165</v>
      </c>
      <c r="C141" s="4" t="s">
        <v>29</v>
      </c>
      <c r="D141" s="4">
        <v>-6.4148550108852681E-3</v>
      </c>
      <c r="E141" s="4" t="s">
        <v>5</v>
      </c>
      <c r="F141" s="4" t="s">
        <v>24</v>
      </c>
      <c r="G141" s="4" t="s">
        <v>25</v>
      </c>
      <c r="J141" s="4" t="s">
        <v>61</v>
      </c>
    </row>
    <row r="142" spans="1:14" x14ac:dyDescent="0.25">
      <c r="A142" s="4" t="s">
        <v>142</v>
      </c>
      <c r="B142" s="4" t="s">
        <v>143</v>
      </c>
      <c r="C142" s="4" t="s">
        <v>29</v>
      </c>
      <c r="D142" s="4">
        <v>-1.50896070448494E-5</v>
      </c>
      <c r="E142" s="4" t="s">
        <v>5</v>
      </c>
      <c r="F142" s="4" t="s">
        <v>24</v>
      </c>
      <c r="G142" s="4" t="s">
        <v>25</v>
      </c>
      <c r="J142" s="4" t="s">
        <v>141</v>
      </c>
    </row>
    <row r="143" spans="1:14" x14ac:dyDescent="0.25">
      <c r="A143" s="4" t="s">
        <v>48</v>
      </c>
      <c r="D143" s="4">
        <v>1.0123622270642319E-3</v>
      </c>
      <c r="E143" s="4" t="s">
        <v>49</v>
      </c>
      <c r="F143" s="4" t="s">
        <v>42</v>
      </c>
      <c r="G143" s="4" t="s">
        <v>43</v>
      </c>
      <c r="H143" s="4" t="s">
        <v>47</v>
      </c>
      <c r="J143" s="4" t="s">
        <v>112</v>
      </c>
    </row>
    <row r="144" spans="1:14" x14ac:dyDescent="0.25">
      <c r="A144" s="4" t="s">
        <v>100</v>
      </c>
      <c r="D144" s="4">
        <v>9.2776656909881466E-5</v>
      </c>
      <c r="E144" s="4" t="s">
        <v>5</v>
      </c>
      <c r="F144" s="4" t="s">
        <v>42</v>
      </c>
      <c r="G144" s="4" t="s">
        <v>43</v>
      </c>
      <c r="H144" s="4" t="s">
        <v>96</v>
      </c>
      <c r="J144" s="4" t="s">
        <v>141</v>
      </c>
    </row>
    <row r="145" spans="1:14" s="9" customFormat="1" ht="14.1" customHeight="1" x14ac:dyDescent="0.25"/>
    <row r="146" spans="1:14" x14ac:dyDescent="0.25">
      <c r="A146" s="7" t="s">
        <v>0</v>
      </c>
      <c r="B146" s="7" t="s">
        <v>172</v>
      </c>
    </row>
    <row r="147" spans="1:14" x14ac:dyDescent="0.25">
      <c r="A147" s="5" t="s">
        <v>1</v>
      </c>
      <c r="B147" s="4" t="s">
        <v>158</v>
      </c>
    </row>
    <row r="148" spans="1:14" x14ac:dyDescent="0.25">
      <c r="A148" s="5" t="s">
        <v>2</v>
      </c>
      <c r="B148" s="4" t="s">
        <v>167</v>
      </c>
    </row>
    <row r="149" spans="1:14" x14ac:dyDescent="0.25">
      <c r="A149" s="5" t="s">
        <v>3</v>
      </c>
      <c r="B149" s="4">
        <v>1</v>
      </c>
    </row>
    <row r="150" spans="1:14" x14ac:dyDescent="0.25">
      <c r="A150" s="5" t="s">
        <v>4</v>
      </c>
      <c r="B150" s="4" t="s">
        <v>5</v>
      </c>
    </row>
    <row r="151" spans="1:14" x14ac:dyDescent="0.25">
      <c r="A151" s="5" t="s">
        <v>6</v>
      </c>
      <c r="B151" s="4" t="s">
        <v>7</v>
      </c>
    </row>
    <row r="152" spans="1:14" x14ac:dyDescent="0.25">
      <c r="A152" s="5" t="s">
        <v>8</v>
      </c>
    </row>
    <row r="153" spans="1:14" x14ac:dyDescent="0.25">
      <c r="A153" s="7" t="s">
        <v>9</v>
      </c>
      <c r="B153" s="7" t="s">
        <v>1</v>
      </c>
      <c r="C153" s="7" t="s">
        <v>2</v>
      </c>
      <c r="D153" s="7" t="s">
        <v>3</v>
      </c>
      <c r="E153" s="7" t="s">
        <v>4</v>
      </c>
      <c r="F153" s="7" t="s">
        <v>10</v>
      </c>
      <c r="G153" s="7" t="s">
        <v>11</v>
      </c>
      <c r="H153" s="7" t="s">
        <v>12</v>
      </c>
      <c r="I153" s="7" t="s">
        <v>13</v>
      </c>
      <c r="J153" s="7" t="s">
        <v>14</v>
      </c>
      <c r="K153" s="7" t="s">
        <v>15</v>
      </c>
      <c r="L153" s="7" t="s">
        <v>16</v>
      </c>
      <c r="M153" s="7" t="s">
        <v>17</v>
      </c>
      <c r="N153" s="7" t="s">
        <v>18</v>
      </c>
    </row>
    <row r="154" spans="1:14" x14ac:dyDescent="0.25">
      <c r="A154" s="4" t="str">
        <f>B146</f>
        <v>Bauxite mining and Al ingot production in Oceania</v>
      </c>
      <c r="B154" s="4" t="str">
        <f>B147</f>
        <v>Al ingot</v>
      </c>
      <c r="C154" s="4" t="str">
        <f>B148</f>
        <v>Oceania</v>
      </c>
      <c r="D154" s="4">
        <v>1</v>
      </c>
      <c r="E154" s="4" t="s">
        <v>5</v>
      </c>
      <c r="F154" s="6" t="str">
        <f>F134</f>
        <v>Aluminium</v>
      </c>
      <c r="G154" s="4" t="s">
        <v>19</v>
      </c>
    </row>
    <row r="155" spans="1:14" x14ac:dyDescent="0.25">
      <c r="A155" s="4" t="str">
        <f>A134</f>
        <v>[R] Casting</v>
      </c>
      <c r="B155" s="4" t="str">
        <f>B134</f>
        <v>Al ingot</v>
      </c>
      <c r="C155" s="4" t="str">
        <f>C134</f>
        <v>Oceania</v>
      </c>
      <c r="D155" s="4">
        <v>1</v>
      </c>
      <c r="E155" s="4" t="str">
        <f>E134</f>
        <v>kilogram</v>
      </c>
      <c r="F155" s="6" t="str">
        <f>F134</f>
        <v>Aluminium</v>
      </c>
      <c r="G155" s="4" t="s">
        <v>25</v>
      </c>
    </row>
    <row r="156" spans="1:14" x14ac:dyDescent="0.25">
      <c r="A156" s="4" t="str">
        <f>A96</f>
        <v>[R] Electrolysis</v>
      </c>
      <c r="B156" s="4" t="str">
        <f t="shared" ref="B156:F156" si="0">B96</f>
        <v>Liquid aluminium (Al)</v>
      </c>
      <c r="C156" s="4" t="str">
        <f t="shared" si="0"/>
        <v>Oceania</v>
      </c>
      <c r="D156" s="4">
        <v>1</v>
      </c>
      <c r="E156" s="4" t="str">
        <f t="shared" si="0"/>
        <v>kilogram</v>
      </c>
      <c r="F156" s="6" t="str">
        <f t="shared" si="0"/>
        <v>Aluminium</v>
      </c>
      <c r="G156" s="4" t="s">
        <v>25</v>
      </c>
    </row>
    <row r="157" spans="1:14" x14ac:dyDescent="0.25">
      <c r="A157" s="4" t="str">
        <f>A75</f>
        <v>[P] Anode/Paste production</v>
      </c>
      <c r="B157" s="4" t="str">
        <f t="shared" ref="B157:F157" si="1">B75</f>
        <v>Anode/Paste</v>
      </c>
      <c r="C157" s="4" t="str">
        <f t="shared" si="1"/>
        <v>Oceania</v>
      </c>
      <c r="D157" s="4">
        <v>0.50675451472067301</v>
      </c>
      <c r="E157" s="4" t="str">
        <f t="shared" si="1"/>
        <v>kilogram</v>
      </c>
      <c r="F157" s="6" t="str">
        <f t="shared" si="1"/>
        <v>Aluminium</v>
      </c>
      <c r="G157" s="4" t="s">
        <v>25</v>
      </c>
    </row>
    <row r="158" spans="1:14" x14ac:dyDescent="0.25">
      <c r="A158" s="4" t="str">
        <f>A37</f>
        <v>[P] Alumina production</v>
      </c>
      <c r="B158" s="4" t="str">
        <f t="shared" ref="B158:F158" si="2">B37</f>
        <v>Alumina</v>
      </c>
      <c r="C158" s="4" t="str">
        <f t="shared" si="2"/>
        <v>Oceania</v>
      </c>
      <c r="D158" s="4">
        <v>1.925514445023804</v>
      </c>
      <c r="E158" s="4" t="str">
        <f t="shared" si="2"/>
        <v>kilogram</v>
      </c>
      <c r="F158" s="6" t="str">
        <f t="shared" si="2"/>
        <v>Aluminium</v>
      </c>
      <c r="G158" s="4" t="s">
        <v>25</v>
      </c>
    </row>
    <row r="159" spans="1:14" x14ac:dyDescent="0.25">
      <c r="A159" s="4" t="str">
        <f>A9</f>
        <v>[M+C] Bauxite mining</v>
      </c>
      <c r="B159" s="4" t="str">
        <f t="shared" ref="B159:F159" si="3">B9</f>
        <v>Bauxite</v>
      </c>
      <c r="C159" s="4" t="str">
        <f t="shared" si="3"/>
        <v>Oceania</v>
      </c>
      <c r="D159" s="4">
        <v>5.3360152108612544</v>
      </c>
      <c r="E159" s="4" t="str">
        <f t="shared" si="3"/>
        <v>kilogram</v>
      </c>
      <c r="F159" s="6" t="str">
        <f t="shared" si="3"/>
        <v>Aluminium</v>
      </c>
      <c r="G159" s="4" t="s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8" tint="0.39997558519241921"/>
  </sheetPr>
  <dimension ref="A1:N158"/>
  <sheetViews>
    <sheetView workbookViewId="0">
      <selection activeCell="D155" sqref="D155"/>
    </sheetView>
  </sheetViews>
  <sheetFormatPr baseColWidth="10" defaultColWidth="8.7109375" defaultRowHeight="15" x14ac:dyDescent="0.25"/>
  <cols>
    <col min="1" max="1" width="76.85546875" style="4" bestFit="1" customWidth="1"/>
    <col min="2" max="2" width="51.5703125" style="4" bestFit="1" customWidth="1"/>
    <col min="3" max="3" width="13.85546875" style="4" bestFit="1" customWidth="1"/>
    <col min="4" max="4" width="12.7109375" style="4" bestFit="1" customWidth="1"/>
    <col min="5" max="5" width="17.5703125" style="4" bestFit="1" customWidth="1"/>
    <col min="6" max="6" width="19.7109375" style="4" bestFit="1" customWidth="1"/>
    <col min="7" max="7" width="13.28515625" style="4" bestFit="1" customWidth="1"/>
    <col min="8" max="8" width="25.28515625" style="4" bestFit="1" customWidth="1"/>
    <col min="9" max="9" width="15.5703125" style="4" bestFit="1" customWidth="1"/>
    <col min="10" max="10" width="9.7109375" style="4" bestFit="1" customWidth="1"/>
    <col min="11" max="11" width="3.5703125" style="4" bestFit="1" customWidth="1"/>
    <col min="12" max="12" width="5.42578125" style="4" bestFit="1" customWidth="1"/>
    <col min="13" max="13" width="9.5703125" style="4" bestFit="1" customWidth="1"/>
    <col min="14" max="14" width="9.85546875" style="4" bestFit="1" customWidth="1"/>
    <col min="15" max="16384" width="8.7109375" style="4"/>
  </cols>
  <sheetData>
    <row r="1" spans="1:14" x14ac:dyDescent="0.25">
      <c r="A1" s="7" t="s">
        <v>0</v>
      </c>
      <c r="B1" s="7" t="s">
        <v>119</v>
      </c>
    </row>
    <row r="2" spans="1:14" x14ac:dyDescent="0.25">
      <c r="A2" s="5" t="s">
        <v>1</v>
      </c>
      <c r="B2" s="4" t="s">
        <v>120</v>
      </c>
    </row>
    <row r="3" spans="1:14" x14ac:dyDescent="0.25">
      <c r="A3" s="5" t="s">
        <v>2</v>
      </c>
      <c r="B3" s="4" t="s">
        <v>173</v>
      </c>
    </row>
    <row r="4" spans="1:14" x14ac:dyDescent="0.25">
      <c r="A4" s="5" t="s">
        <v>3</v>
      </c>
      <c r="B4" s="4">
        <v>1</v>
      </c>
    </row>
    <row r="5" spans="1:14" x14ac:dyDescent="0.25">
      <c r="A5" s="5" t="s">
        <v>4</v>
      </c>
      <c r="B5" s="4" t="s">
        <v>5</v>
      </c>
    </row>
    <row r="6" spans="1:14" x14ac:dyDescent="0.25">
      <c r="A6" s="5" t="s">
        <v>6</v>
      </c>
      <c r="B6" s="4" t="s">
        <v>7</v>
      </c>
    </row>
    <row r="7" spans="1:14" x14ac:dyDescent="0.25">
      <c r="A7" s="5" t="s">
        <v>8</v>
      </c>
    </row>
    <row r="8" spans="1:14" x14ac:dyDescent="0.25">
      <c r="A8" s="7" t="s">
        <v>9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10</v>
      </c>
      <c r="G8" s="7" t="s">
        <v>11</v>
      </c>
      <c r="H8" s="7" t="s">
        <v>12</v>
      </c>
      <c r="I8" s="7" t="s">
        <v>13</v>
      </c>
      <c r="J8" s="7" t="s">
        <v>14</v>
      </c>
      <c r="K8" s="7" t="s">
        <v>15</v>
      </c>
      <c r="L8" s="7" t="s">
        <v>16</v>
      </c>
      <c r="M8" s="7" t="s">
        <v>17</v>
      </c>
      <c r="N8" s="7" t="s">
        <v>18</v>
      </c>
    </row>
    <row r="9" spans="1:14" x14ac:dyDescent="0.25">
      <c r="A9" s="4" t="str">
        <f>B1</f>
        <v>[P] Alumina production</v>
      </c>
      <c r="B9" s="4" t="str">
        <f>B2</f>
        <v>Alumina</v>
      </c>
      <c r="C9" s="4" t="str">
        <f>B3</f>
        <v>North America</v>
      </c>
      <c r="D9" s="4">
        <v>1</v>
      </c>
      <c r="E9" s="4" t="s">
        <v>5</v>
      </c>
      <c r="F9" s="6" t="str">
        <f>Al_Market_GLO!B1</f>
        <v>Aluminium</v>
      </c>
      <c r="G9" s="4" t="s">
        <v>19</v>
      </c>
    </row>
    <row r="10" spans="1:14" x14ac:dyDescent="0.25">
      <c r="A10" s="4" t="s">
        <v>121</v>
      </c>
      <c r="B10" s="4" t="s">
        <v>122</v>
      </c>
      <c r="C10" s="4" t="s">
        <v>22</v>
      </c>
      <c r="D10" s="4">
        <v>6.75</v>
      </c>
      <c r="E10" s="4" t="s">
        <v>105</v>
      </c>
      <c r="F10" s="4" t="s">
        <v>24</v>
      </c>
      <c r="G10" s="4" t="s">
        <v>25</v>
      </c>
      <c r="J10" s="4" t="s">
        <v>141</v>
      </c>
    </row>
    <row r="11" spans="1:14" x14ac:dyDescent="0.25">
      <c r="A11" s="4" t="s">
        <v>125</v>
      </c>
      <c r="B11" s="4" t="s">
        <v>126</v>
      </c>
      <c r="C11" s="4" t="s">
        <v>29</v>
      </c>
      <c r="D11" s="4">
        <v>0.67420000000000002</v>
      </c>
      <c r="E11" s="4" t="s">
        <v>105</v>
      </c>
      <c r="F11" s="4" t="s">
        <v>24</v>
      </c>
      <c r="G11" s="4" t="s">
        <v>25</v>
      </c>
      <c r="J11" s="4" t="s">
        <v>141</v>
      </c>
    </row>
    <row r="12" spans="1:14" x14ac:dyDescent="0.25">
      <c r="A12" s="4" t="s">
        <v>32</v>
      </c>
      <c r="B12" s="4" t="s">
        <v>33</v>
      </c>
      <c r="C12" s="4" t="s">
        <v>29</v>
      </c>
      <c r="D12" s="4">
        <v>6.3354952151226621E-2</v>
      </c>
      <c r="E12" s="4" t="s">
        <v>5</v>
      </c>
      <c r="F12" s="4" t="s">
        <v>24</v>
      </c>
      <c r="G12" s="4" t="s">
        <v>25</v>
      </c>
      <c r="J12" s="4" t="s">
        <v>141</v>
      </c>
    </row>
    <row r="13" spans="1:14" x14ac:dyDescent="0.25">
      <c r="A13" s="4" t="s">
        <v>77</v>
      </c>
      <c r="B13" s="4" t="s">
        <v>78</v>
      </c>
      <c r="C13" s="4" t="s">
        <v>29</v>
      </c>
      <c r="D13" s="4">
        <v>2.2056792666243209E-2</v>
      </c>
      <c r="E13" s="4" t="s">
        <v>5</v>
      </c>
      <c r="F13" s="4" t="s">
        <v>24</v>
      </c>
      <c r="G13" s="4" t="s">
        <v>25</v>
      </c>
      <c r="J13" s="4" t="s">
        <v>141</v>
      </c>
    </row>
    <row r="14" spans="1:14" x14ac:dyDescent="0.25">
      <c r="A14" s="4" t="s">
        <v>110</v>
      </c>
      <c r="B14" s="4" t="s">
        <v>111</v>
      </c>
      <c r="C14" s="4" t="s">
        <v>29</v>
      </c>
      <c r="D14" s="4">
        <v>2.380952380952381E-5</v>
      </c>
      <c r="E14" s="4" t="s">
        <v>5</v>
      </c>
      <c r="F14" s="4" t="s">
        <v>24</v>
      </c>
      <c r="G14" s="4" t="s">
        <v>25</v>
      </c>
      <c r="J14" s="4" t="s">
        <v>141</v>
      </c>
    </row>
    <row r="15" spans="1:14" x14ac:dyDescent="0.25">
      <c r="A15" s="4" t="s">
        <v>57</v>
      </c>
      <c r="B15" s="4" t="s">
        <v>58</v>
      </c>
      <c r="C15" s="4" t="s">
        <v>29</v>
      </c>
      <c r="D15" s="4">
        <v>0.10103497539812439</v>
      </c>
      <c r="E15" s="4" t="s">
        <v>49</v>
      </c>
      <c r="F15" s="4" t="s">
        <v>24</v>
      </c>
      <c r="G15" s="4" t="s">
        <v>25</v>
      </c>
      <c r="J15" s="4" t="s">
        <v>141</v>
      </c>
    </row>
    <row r="16" spans="1:14" x14ac:dyDescent="0.25">
      <c r="A16" s="4" t="s">
        <v>26</v>
      </c>
      <c r="B16" s="4" t="s">
        <v>27</v>
      </c>
      <c r="C16" s="4" t="s">
        <v>174</v>
      </c>
      <c r="D16" s="4">
        <v>0.62167703043178091</v>
      </c>
      <c r="E16" s="4" t="s">
        <v>28</v>
      </c>
      <c r="F16" s="4" t="s">
        <v>24</v>
      </c>
      <c r="G16" s="4" t="s">
        <v>25</v>
      </c>
      <c r="J16" s="4" t="s">
        <v>141</v>
      </c>
    </row>
    <row r="17" spans="1:10" x14ac:dyDescent="0.25">
      <c r="A17" s="4" t="s">
        <v>161</v>
      </c>
      <c r="B17" s="4" t="s">
        <v>162</v>
      </c>
      <c r="C17" s="4" t="s">
        <v>163</v>
      </c>
      <c r="D17" s="4">
        <v>0.27898852411239139</v>
      </c>
      <c r="E17" s="4" t="s">
        <v>28</v>
      </c>
      <c r="F17" s="4" t="s">
        <v>24</v>
      </c>
      <c r="G17" s="4" t="s">
        <v>25</v>
      </c>
      <c r="J17" s="4" t="s">
        <v>141</v>
      </c>
    </row>
    <row r="18" spans="1:10" x14ac:dyDescent="0.25">
      <c r="A18" s="4" t="s">
        <v>130</v>
      </c>
      <c r="B18" s="4" t="s">
        <v>131</v>
      </c>
      <c r="C18" s="4" t="s">
        <v>29</v>
      </c>
      <c r="D18" s="4">
        <v>-0.78446596680624703</v>
      </c>
      <c r="E18" s="4" t="s">
        <v>5</v>
      </c>
      <c r="F18" s="4" t="s">
        <v>24</v>
      </c>
      <c r="G18" s="4" t="s">
        <v>25</v>
      </c>
      <c r="J18" s="4" t="s">
        <v>61</v>
      </c>
    </row>
    <row r="19" spans="1:10" x14ac:dyDescent="0.25">
      <c r="A19" s="4" t="s">
        <v>36</v>
      </c>
      <c r="B19" s="4" t="s">
        <v>37</v>
      </c>
      <c r="C19" s="4" t="s">
        <v>29</v>
      </c>
      <c r="D19" s="4">
        <v>-1.2031168146814721E-4</v>
      </c>
      <c r="E19" s="4" t="s">
        <v>5</v>
      </c>
      <c r="F19" s="4" t="s">
        <v>24</v>
      </c>
      <c r="G19" s="4" t="s">
        <v>25</v>
      </c>
      <c r="J19" s="4" t="s">
        <v>141</v>
      </c>
    </row>
    <row r="20" spans="1:10" x14ac:dyDescent="0.25">
      <c r="A20" s="4" t="s">
        <v>38</v>
      </c>
      <c r="B20" s="4" t="s">
        <v>39</v>
      </c>
      <c r="C20" s="4" t="s">
        <v>29</v>
      </c>
      <c r="D20" s="4">
        <v>-1.2031168146814721E-4</v>
      </c>
      <c r="E20" s="4" t="s">
        <v>5</v>
      </c>
      <c r="F20" s="4" t="s">
        <v>24</v>
      </c>
      <c r="G20" s="4" t="s">
        <v>25</v>
      </c>
      <c r="J20" s="4" t="s">
        <v>141</v>
      </c>
    </row>
    <row r="21" spans="1:10" x14ac:dyDescent="0.25">
      <c r="A21" s="4" t="s">
        <v>48</v>
      </c>
      <c r="D21" s="4">
        <v>1.0367786218868479E-2</v>
      </c>
      <c r="E21" s="4" t="s">
        <v>49</v>
      </c>
      <c r="F21" s="4" t="s">
        <v>42</v>
      </c>
      <c r="G21" s="4" t="s">
        <v>43</v>
      </c>
      <c r="H21" s="4" t="s">
        <v>47</v>
      </c>
      <c r="J21" s="4" t="s">
        <v>141</v>
      </c>
    </row>
    <row r="22" spans="1:10" x14ac:dyDescent="0.25">
      <c r="A22" s="4" t="s">
        <v>117</v>
      </c>
      <c r="D22" s="4">
        <v>1.3342016749024999E-3</v>
      </c>
      <c r="E22" s="4" t="s">
        <v>45</v>
      </c>
      <c r="F22" s="4" t="s">
        <v>42</v>
      </c>
      <c r="G22" s="4" t="s">
        <v>43</v>
      </c>
      <c r="H22" s="4" t="s">
        <v>44</v>
      </c>
      <c r="J22" s="4" t="s">
        <v>61</v>
      </c>
    </row>
    <row r="23" spans="1:10" x14ac:dyDescent="0.25">
      <c r="A23" s="4" t="s">
        <v>46</v>
      </c>
      <c r="D23" s="4">
        <v>1.3342016749024999E-3</v>
      </c>
      <c r="E23" s="4" t="s">
        <v>45</v>
      </c>
      <c r="F23" s="4" t="s">
        <v>42</v>
      </c>
      <c r="G23" s="4" t="s">
        <v>43</v>
      </c>
      <c r="H23" s="4" t="s">
        <v>44</v>
      </c>
      <c r="J23" s="4" t="s">
        <v>61</v>
      </c>
    </row>
    <row r="24" spans="1:10" x14ac:dyDescent="0.25">
      <c r="A24" s="4" t="s">
        <v>40</v>
      </c>
      <c r="D24" s="4">
        <v>5.1185614754210003E-8</v>
      </c>
      <c r="E24" s="4" t="s">
        <v>41</v>
      </c>
      <c r="F24" s="4" t="s">
        <v>42</v>
      </c>
      <c r="G24" s="4" t="s">
        <v>43</v>
      </c>
      <c r="H24" s="4" t="s">
        <v>44</v>
      </c>
      <c r="J24" s="4" t="s">
        <v>141</v>
      </c>
    </row>
    <row r="25" spans="1:10" x14ac:dyDescent="0.25">
      <c r="A25" s="4" t="s">
        <v>64</v>
      </c>
      <c r="D25" s="4">
        <v>4.8095181948742842E-5</v>
      </c>
      <c r="E25" s="4" t="s">
        <v>5</v>
      </c>
      <c r="F25" s="4" t="s">
        <v>42</v>
      </c>
      <c r="G25" s="4" t="s">
        <v>43</v>
      </c>
      <c r="H25" s="4" t="s">
        <v>63</v>
      </c>
      <c r="J25" s="4" t="s">
        <v>141</v>
      </c>
    </row>
    <row r="26" spans="1:10" x14ac:dyDescent="0.25">
      <c r="A26" s="4" t="s">
        <v>62</v>
      </c>
      <c r="D26" s="4">
        <v>5.0011107108425756E-7</v>
      </c>
      <c r="E26" s="4" t="s">
        <v>5</v>
      </c>
      <c r="F26" s="4" t="s">
        <v>42</v>
      </c>
      <c r="G26" s="4" t="s">
        <v>43</v>
      </c>
      <c r="H26" s="4" t="s">
        <v>63</v>
      </c>
      <c r="J26" s="4" t="s">
        <v>141</v>
      </c>
    </row>
    <row r="27" spans="1:10" x14ac:dyDescent="0.25">
      <c r="A27" s="4" t="s">
        <v>73</v>
      </c>
      <c r="D27" s="4">
        <v>1.5518204379365969E-4</v>
      </c>
      <c r="E27" s="4" t="s">
        <v>5</v>
      </c>
      <c r="F27" s="4" t="s">
        <v>42</v>
      </c>
      <c r="G27" s="4" t="s">
        <v>43</v>
      </c>
      <c r="H27" s="4" t="s">
        <v>63</v>
      </c>
      <c r="J27" s="4" t="s">
        <v>141</v>
      </c>
    </row>
    <row r="28" spans="1:10" x14ac:dyDescent="0.25">
      <c r="A28" s="4" t="s">
        <v>118</v>
      </c>
      <c r="D28" s="4">
        <v>1.063088498812003E-2</v>
      </c>
      <c r="E28" s="4" t="s">
        <v>49</v>
      </c>
      <c r="F28" s="4" t="s">
        <v>42</v>
      </c>
      <c r="G28" s="4" t="s">
        <v>43</v>
      </c>
      <c r="H28" s="4" t="s">
        <v>96</v>
      </c>
      <c r="J28" s="4" t="s">
        <v>141</v>
      </c>
    </row>
    <row r="29" spans="1:10" x14ac:dyDescent="0.25">
      <c r="A29" s="4" t="s">
        <v>97</v>
      </c>
      <c r="D29" s="4">
        <v>6.5264586805965206E-5</v>
      </c>
      <c r="E29" s="4" t="s">
        <v>5</v>
      </c>
      <c r="F29" s="4" t="s">
        <v>42</v>
      </c>
      <c r="G29" s="4" t="s">
        <v>43</v>
      </c>
      <c r="H29" s="4" t="s">
        <v>96</v>
      </c>
      <c r="J29" s="4" t="s">
        <v>141</v>
      </c>
    </row>
    <row r="30" spans="1:10" x14ac:dyDescent="0.25">
      <c r="A30" s="4" t="s">
        <v>100</v>
      </c>
      <c r="D30" s="4">
        <v>1.1412344492085461E-2</v>
      </c>
      <c r="E30" s="4" t="s">
        <v>5</v>
      </c>
      <c r="F30" s="4" t="s">
        <v>42</v>
      </c>
      <c r="G30" s="4" t="s">
        <v>43</v>
      </c>
      <c r="H30" s="4" t="s">
        <v>96</v>
      </c>
      <c r="J30" s="4" t="s">
        <v>141</v>
      </c>
    </row>
    <row r="31" spans="1:10" x14ac:dyDescent="0.25">
      <c r="A31" s="4" t="s">
        <v>107</v>
      </c>
      <c r="D31" s="4">
        <v>1.6841201131630729E-9</v>
      </c>
      <c r="E31" s="4" t="s">
        <v>5</v>
      </c>
      <c r="F31" s="4" t="s">
        <v>42</v>
      </c>
      <c r="G31" s="4" t="s">
        <v>43</v>
      </c>
      <c r="H31" s="4" t="s">
        <v>96</v>
      </c>
      <c r="J31" s="4" t="s">
        <v>141</v>
      </c>
    </row>
    <row r="32" spans="1:10" s="8" customFormat="1" x14ac:dyDescent="0.25"/>
    <row r="33" spans="1:14" x14ac:dyDescent="0.25">
      <c r="A33" s="7" t="s">
        <v>0</v>
      </c>
      <c r="B33" s="7" t="s">
        <v>133</v>
      </c>
    </row>
    <row r="34" spans="1:14" x14ac:dyDescent="0.25">
      <c r="A34" s="5" t="s">
        <v>1</v>
      </c>
      <c r="B34" s="4" t="s">
        <v>134</v>
      </c>
    </row>
    <row r="35" spans="1:14" x14ac:dyDescent="0.25">
      <c r="A35" s="5" t="s">
        <v>2</v>
      </c>
      <c r="B35" s="4" t="s">
        <v>173</v>
      </c>
    </row>
    <row r="36" spans="1:14" x14ac:dyDescent="0.25">
      <c r="A36" s="5" t="s">
        <v>3</v>
      </c>
      <c r="B36" s="4">
        <v>1</v>
      </c>
    </row>
    <row r="37" spans="1:14" x14ac:dyDescent="0.25">
      <c r="A37" s="5" t="s">
        <v>4</v>
      </c>
      <c r="B37" s="4" t="s">
        <v>5</v>
      </c>
    </row>
    <row r="38" spans="1:14" x14ac:dyDescent="0.25">
      <c r="A38" s="5" t="s">
        <v>6</v>
      </c>
      <c r="B38" s="4" t="s">
        <v>7</v>
      </c>
    </row>
    <row r="39" spans="1:14" x14ac:dyDescent="0.25">
      <c r="A39" s="5" t="s">
        <v>8</v>
      </c>
    </row>
    <row r="40" spans="1:14" x14ac:dyDescent="0.25">
      <c r="A40" s="7" t="s">
        <v>9</v>
      </c>
      <c r="B40" s="7" t="s">
        <v>1</v>
      </c>
      <c r="C40" s="7" t="s">
        <v>2</v>
      </c>
      <c r="D40" s="7" t="s">
        <v>3</v>
      </c>
      <c r="E40" s="7" t="s">
        <v>4</v>
      </c>
      <c r="F40" s="7" t="s">
        <v>10</v>
      </c>
      <c r="G40" s="7" t="s">
        <v>11</v>
      </c>
      <c r="H40" s="7" t="s">
        <v>12</v>
      </c>
      <c r="I40" s="7" t="s">
        <v>13</v>
      </c>
      <c r="J40" s="7" t="s">
        <v>14</v>
      </c>
      <c r="K40" s="7" t="s">
        <v>15</v>
      </c>
      <c r="L40" s="7" t="s">
        <v>16</v>
      </c>
      <c r="M40" s="7" t="s">
        <v>17</v>
      </c>
      <c r="N40" s="7" t="s">
        <v>18</v>
      </c>
    </row>
    <row r="41" spans="1:14" x14ac:dyDescent="0.25">
      <c r="A41" s="4" t="str">
        <f>B33</f>
        <v>[P] Anode/Paste production</v>
      </c>
      <c r="B41" s="4" t="str">
        <f>B34</f>
        <v>Anode/Paste</v>
      </c>
      <c r="C41" s="4" t="str">
        <f>B35</f>
        <v>North America</v>
      </c>
      <c r="D41" s="4">
        <v>1</v>
      </c>
      <c r="E41" s="4" t="s">
        <v>5</v>
      </c>
      <c r="F41" s="6" t="str">
        <f>F9</f>
        <v>Aluminium</v>
      </c>
      <c r="G41" s="4" t="s">
        <v>19</v>
      </c>
    </row>
    <row r="42" spans="1:14" x14ac:dyDescent="0.25">
      <c r="A42" s="4" t="s">
        <v>135</v>
      </c>
      <c r="B42" s="4" t="s">
        <v>136</v>
      </c>
      <c r="C42" s="4" t="s">
        <v>22</v>
      </c>
      <c r="D42" s="4">
        <v>0.88125160862203156</v>
      </c>
      <c r="E42" s="4" t="s">
        <v>5</v>
      </c>
      <c r="F42" s="4" t="s">
        <v>24</v>
      </c>
      <c r="G42" s="4" t="s">
        <v>25</v>
      </c>
      <c r="J42" s="4" t="s">
        <v>141</v>
      </c>
    </row>
    <row r="43" spans="1:14" x14ac:dyDescent="0.25">
      <c r="A43" s="4" t="s">
        <v>137</v>
      </c>
      <c r="B43" s="4" t="s">
        <v>138</v>
      </c>
      <c r="C43" s="4" t="s">
        <v>29</v>
      </c>
      <c r="D43" s="4">
        <v>0.1500658557251095</v>
      </c>
      <c r="E43" s="4" t="s">
        <v>5</v>
      </c>
      <c r="F43" s="4" t="s">
        <v>24</v>
      </c>
      <c r="G43" s="4" t="s">
        <v>25</v>
      </c>
      <c r="J43" s="4" t="s">
        <v>141</v>
      </c>
    </row>
    <row r="44" spans="1:14" x14ac:dyDescent="0.25">
      <c r="A44" s="4" t="s">
        <v>139</v>
      </c>
      <c r="B44" s="4" t="s">
        <v>140</v>
      </c>
      <c r="C44" s="4" t="s">
        <v>22</v>
      </c>
      <c r="D44" s="4">
        <v>1.0085112556317351E-3</v>
      </c>
      <c r="E44" s="4" t="s">
        <v>5</v>
      </c>
      <c r="F44" s="4" t="s">
        <v>24</v>
      </c>
      <c r="G44" s="4" t="s">
        <v>25</v>
      </c>
      <c r="J44" s="4" t="s">
        <v>127</v>
      </c>
    </row>
    <row r="45" spans="1:14" x14ac:dyDescent="0.25">
      <c r="A45" s="4" t="s">
        <v>34</v>
      </c>
      <c r="B45" s="4" t="s">
        <v>35</v>
      </c>
      <c r="C45" s="4" t="s">
        <v>22</v>
      </c>
      <c r="D45" s="4">
        <v>1.686763479464776E-3</v>
      </c>
      <c r="E45" s="4" t="s">
        <v>5</v>
      </c>
      <c r="F45" s="4" t="s">
        <v>24</v>
      </c>
      <c r="G45" s="4" t="s">
        <v>25</v>
      </c>
      <c r="J45" s="4" t="s">
        <v>127</v>
      </c>
    </row>
    <row r="46" spans="1:14" x14ac:dyDescent="0.25">
      <c r="A46" s="4" t="s">
        <v>110</v>
      </c>
      <c r="B46" s="4" t="s">
        <v>111</v>
      </c>
      <c r="C46" s="4" t="s">
        <v>29</v>
      </c>
      <c r="D46" s="4">
        <v>1.1154266768277471E-2</v>
      </c>
      <c r="E46" s="4" t="s">
        <v>5</v>
      </c>
      <c r="F46" s="4" t="s">
        <v>24</v>
      </c>
      <c r="G46" s="4" t="s">
        <v>25</v>
      </c>
      <c r="J46" s="4" t="s">
        <v>141</v>
      </c>
    </row>
    <row r="47" spans="1:14" x14ac:dyDescent="0.25">
      <c r="A47" s="4" t="s">
        <v>20</v>
      </c>
      <c r="B47" s="4" t="s">
        <v>21</v>
      </c>
      <c r="C47" s="4" t="s">
        <v>22</v>
      </c>
      <c r="D47" s="4">
        <v>3.232201712210634E-2</v>
      </c>
      <c r="E47" s="4" t="s">
        <v>23</v>
      </c>
      <c r="F47" s="4" t="s">
        <v>24</v>
      </c>
      <c r="G47" s="4" t="s">
        <v>25</v>
      </c>
      <c r="J47" s="4" t="s">
        <v>141</v>
      </c>
    </row>
    <row r="48" spans="1:14" x14ac:dyDescent="0.25">
      <c r="A48" s="4" t="s">
        <v>57</v>
      </c>
      <c r="B48" s="4" t="s">
        <v>58</v>
      </c>
      <c r="C48" s="4" t="s">
        <v>29</v>
      </c>
      <c r="D48" s="4">
        <v>6.1140747404153623E-2</v>
      </c>
      <c r="E48" s="4" t="s">
        <v>49</v>
      </c>
      <c r="F48" s="4" t="s">
        <v>24</v>
      </c>
      <c r="G48" s="4" t="s">
        <v>25</v>
      </c>
      <c r="J48" s="4" t="s">
        <v>141</v>
      </c>
    </row>
    <row r="49" spans="1:10" x14ac:dyDescent="0.25">
      <c r="A49" s="4" t="s">
        <v>26</v>
      </c>
      <c r="B49" s="4" t="s">
        <v>27</v>
      </c>
      <c r="C49" s="4" t="s">
        <v>174</v>
      </c>
      <c r="D49" s="4">
        <v>0.32191641727455139</v>
      </c>
      <c r="E49" s="4" t="s">
        <v>28</v>
      </c>
      <c r="F49" s="4" t="s">
        <v>24</v>
      </c>
      <c r="G49" s="4" t="s">
        <v>25</v>
      </c>
      <c r="J49" s="4" t="s">
        <v>141</v>
      </c>
    </row>
    <row r="50" spans="1:10" x14ac:dyDescent="0.25">
      <c r="A50" s="4" t="s">
        <v>161</v>
      </c>
      <c r="B50" s="4" t="s">
        <v>162</v>
      </c>
      <c r="C50" s="4" t="s">
        <v>163</v>
      </c>
      <c r="D50" s="4">
        <v>2.7106500700211102E-3</v>
      </c>
      <c r="E50" s="4" t="s">
        <v>28</v>
      </c>
      <c r="F50" s="4" t="s">
        <v>24</v>
      </c>
      <c r="G50" s="4" t="s">
        <v>25</v>
      </c>
      <c r="J50" s="4" t="s">
        <v>141</v>
      </c>
    </row>
    <row r="51" spans="1:10" x14ac:dyDescent="0.25">
      <c r="A51" s="4" t="s">
        <v>142</v>
      </c>
      <c r="B51" s="4" t="s">
        <v>143</v>
      </c>
      <c r="C51" s="4" t="s">
        <v>29</v>
      </c>
      <c r="D51" s="4">
        <v>-1.1905190592261031E-3</v>
      </c>
      <c r="E51" s="4" t="s">
        <v>5</v>
      </c>
      <c r="F51" s="4" t="s">
        <v>24</v>
      </c>
      <c r="G51" s="4" t="s">
        <v>25</v>
      </c>
      <c r="J51" s="4" t="s">
        <v>61</v>
      </c>
    </row>
    <row r="52" spans="1:10" x14ac:dyDescent="0.25">
      <c r="A52" s="4" t="s">
        <v>144</v>
      </c>
      <c r="B52" s="4" t="s">
        <v>76</v>
      </c>
      <c r="C52" s="4" t="s">
        <v>29</v>
      </c>
      <c r="D52" s="4">
        <v>-7.4079075586276719E-4</v>
      </c>
      <c r="E52" s="4" t="s">
        <v>5</v>
      </c>
      <c r="F52" s="4" t="s">
        <v>24</v>
      </c>
      <c r="G52" s="4" t="s">
        <v>25</v>
      </c>
      <c r="J52" s="4" t="s">
        <v>127</v>
      </c>
    </row>
    <row r="53" spans="1:10" x14ac:dyDescent="0.25">
      <c r="A53" s="4" t="s">
        <v>36</v>
      </c>
      <c r="B53" s="4" t="s">
        <v>37</v>
      </c>
      <c r="C53" s="4" t="s">
        <v>29</v>
      </c>
      <c r="D53" s="4">
        <v>-2.0020603978476229E-3</v>
      </c>
      <c r="E53" s="4" t="s">
        <v>5</v>
      </c>
      <c r="F53" s="4" t="s">
        <v>24</v>
      </c>
      <c r="G53" s="4" t="s">
        <v>25</v>
      </c>
      <c r="J53" s="4" t="s">
        <v>61</v>
      </c>
    </row>
    <row r="54" spans="1:10" x14ac:dyDescent="0.25">
      <c r="A54" s="4" t="s">
        <v>145</v>
      </c>
      <c r="B54" s="4" t="s">
        <v>146</v>
      </c>
      <c r="C54" s="4" t="s">
        <v>29</v>
      </c>
      <c r="D54" s="4">
        <v>-4.6920567776303776E-3</v>
      </c>
      <c r="E54" s="4" t="s">
        <v>5</v>
      </c>
      <c r="F54" s="4" t="s">
        <v>24</v>
      </c>
      <c r="G54" s="4" t="s">
        <v>25</v>
      </c>
      <c r="J54" s="4" t="s">
        <v>61</v>
      </c>
    </row>
    <row r="55" spans="1:10" x14ac:dyDescent="0.25">
      <c r="A55" s="4" t="s">
        <v>142</v>
      </c>
      <c r="B55" s="4" t="s">
        <v>143</v>
      </c>
      <c r="C55" s="4" t="s">
        <v>29</v>
      </c>
      <c r="D55" s="4">
        <v>-1.1945515563875041E-3</v>
      </c>
      <c r="E55" s="4" t="s">
        <v>5</v>
      </c>
      <c r="F55" s="4" t="s">
        <v>24</v>
      </c>
      <c r="G55" s="4" t="s">
        <v>25</v>
      </c>
      <c r="J55" s="4" t="s">
        <v>61</v>
      </c>
    </row>
    <row r="56" spans="1:10" x14ac:dyDescent="0.25">
      <c r="A56" s="4" t="s">
        <v>36</v>
      </c>
      <c r="B56" s="4" t="s">
        <v>37</v>
      </c>
      <c r="C56" s="4" t="s">
        <v>29</v>
      </c>
      <c r="D56" s="4">
        <v>-6.1212597827085943E-4</v>
      </c>
      <c r="E56" s="4" t="s">
        <v>5</v>
      </c>
      <c r="F56" s="4" t="s">
        <v>24</v>
      </c>
      <c r="G56" s="4" t="s">
        <v>25</v>
      </c>
      <c r="J56" s="4" t="s">
        <v>127</v>
      </c>
    </row>
    <row r="57" spans="1:10" x14ac:dyDescent="0.25">
      <c r="A57" s="4" t="s">
        <v>38</v>
      </c>
      <c r="B57" s="4" t="s">
        <v>39</v>
      </c>
      <c r="C57" s="4" t="s">
        <v>29</v>
      </c>
      <c r="D57" s="4">
        <v>-1.223299978579495E-4</v>
      </c>
      <c r="E57" s="4" t="s">
        <v>5</v>
      </c>
      <c r="F57" s="4" t="s">
        <v>24</v>
      </c>
      <c r="G57" s="4" t="s">
        <v>25</v>
      </c>
      <c r="J57" s="4" t="s">
        <v>141</v>
      </c>
    </row>
    <row r="58" spans="1:10" x14ac:dyDescent="0.25">
      <c r="A58" s="4" t="s">
        <v>48</v>
      </c>
      <c r="D58" s="4">
        <v>3.1290044656707662E-3</v>
      </c>
      <c r="E58" s="4" t="s">
        <v>49</v>
      </c>
      <c r="F58" s="4" t="s">
        <v>42</v>
      </c>
      <c r="G58" s="4" t="s">
        <v>43</v>
      </c>
      <c r="H58" s="4" t="s">
        <v>47</v>
      </c>
      <c r="J58" s="4" t="s">
        <v>141</v>
      </c>
    </row>
    <row r="59" spans="1:10" x14ac:dyDescent="0.25">
      <c r="A59" s="4" t="s">
        <v>64</v>
      </c>
      <c r="D59" s="4">
        <v>1.4455729689689489E-4</v>
      </c>
      <c r="E59" s="4" t="s">
        <v>5</v>
      </c>
      <c r="F59" s="4" t="s">
        <v>42</v>
      </c>
      <c r="G59" s="4" t="s">
        <v>43</v>
      </c>
      <c r="H59" s="4" t="s">
        <v>63</v>
      </c>
      <c r="J59" s="4" t="s">
        <v>61</v>
      </c>
    </row>
    <row r="60" spans="1:10" x14ac:dyDescent="0.25">
      <c r="A60" s="4" t="s">
        <v>62</v>
      </c>
      <c r="D60" s="4">
        <v>1.402522219568543E-3</v>
      </c>
      <c r="E60" s="4" t="s">
        <v>5</v>
      </c>
      <c r="F60" s="4" t="s">
        <v>42</v>
      </c>
      <c r="G60" s="4" t="s">
        <v>43</v>
      </c>
      <c r="H60" s="4" t="s">
        <v>63</v>
      </c>
      <c r="J60" s="4" t="s">
        <v>61</v>
      </c>
    </row>
    <row r="61" spans="1:10" x14ac:dyDescent="0.25">
      <c r="A61" s="4" t="s">
        <v>73</v>
      </c>
      <c r="D61" s="4">
        <v>1.22034131786324E-4</v>
      </c>
      <c r="E61" s="4" t="s">
        <v>5</v>
      </c>
      <c r="F61" s="4" t="s">
        <v>42</v>
      </c>
      <c r="G61" s="4" t="s">
        <v>43</v>
      </c>
      <c r="H61" s="4" t="s">
        <v>63</v>
      </c>
      <c r="J61" s="4" t="s">
        <v>61</v>
      </c>
    </row>
    <row r="62" spans="1:10" x14ac:dyDescent="0.25">
      <c r="A62" s="4" t="s">
        <v>106</v>
      </c>
      <c r="D62" s="4">
        <v>3.7449848669071538E-7</v>
      </c>
      <c r="E62" s="4" t="s">
        <v>5</v>
      </c>
      <c r="F62" s="4" t="s">
        <v>42</v>
      </c>
      <c r="G62" s="4" t="s">
        <v>43</v>
      </c>
      <c r="H62" s="4" t="s">
        <v>63</v>
      </c>
      <c r="J62" s="4" t="s">
        <v>127</v>
      </c>
    </row>
    <row r="63" spans="1:10" x14ac:dyDescent="0.25">
      <c r="A63" s="4" t="s">
        <v>106</v>
      </c>
      <c r="D63" s="4">
        <v>8.5385528311638953E-6</v>
      </c>
      <c r="E63" s="4" t="s">
        <v>5</v>
      </c>
      <c r="F63" s="4" t="s">
        <v>42</v>
      </c>
      <c r="G63" s="4" t="s">
        <v>43</v>
      </c>
      <c r="H63" s="4" t="s">
        <v>63</v>
      </c>
      <c r="J63" s="4" t="s">
        <v>61</v>
      </c>
    </row>
    <row r="64" spans="1:10" x14ac:dyDescent="0.25">
      <c r="A64" s="4" t="s">
        <v>94</v>
      </c>
      <c r="D64" s="4">
        <v>2.886844019049721E-6</v>
      </c>
      <c r="E64" s="4" t="s">
        <v>5</v>
      </c>
      <c r="F64" s="4" t="s">
        <v>42</v>
      </c>
      <c r="G64" s="4" t="s">
        <v>43</v>
      </c>
      <c r="H64" s="4" t="s">
        <v>63</v>
      </c>
      <c r="J64" s="4" t="s">
        <v>61</v>
      </c>
    </row>
    <row r="65" spans="1:14" x14ac:dyDescent="0.25">
      <c r="A65" s="4" t="s">
        <v>98</v>
      </c>
      <c r="D65" s="4">
        <v>3.3321087551770099E-6</v>
      </c>
      <c r="E65" s="4" t="s">
        <v>5</v>
      </c>
      <c r="F65" s="4" t="s">
        <v>42</v>
      </c>
      <c r="G65" s="4" t="s">
        <v>43</v>
      </c>
      <c r="H65" s="4" t="s">
        <v>63</v>
      </c>
      <c r="J65" s="4" t="s">
        <v>127</v>
      </c>
    </row>
    <row r="66" spans="1:14" x14ac:dyDescent="0.25">
      <c r="A66" s="4" t="s">
        <v>97</v>
      </c>
      <c r="D66" s="4">
        <v>3.6485912770592711E-7</v>
      </c>
      <c r="E66" s="4" t="s">
        <v>5</v>
      </c>
      <c r="F66" s="4" t="s">
        <v>42</v>
      </c>
      <c r="G66" s="4" t="s">
        <v>43</v>
      </c>
      <c r="H66" s="4" t="s">
        <v>96</v>
      </c>
      <c r="J66" s="4" t="s">
        <v>141</v>
      </c>
    </row>
    <row r="67" spans="1:14" x14ac:dyDescent="0.25">
      <c r="A67" s="4" t="s">
        <v>94</v>
      </c>
      <c r="D67" s="4">
        <v>7.9595024061870221E-10</v>
      </c>
      <c r="E67" s="4" t="s">
        <v>5</v>
      </c>
      <c r="F67" s="4" t="s">
        <v>42</v>
      </c>
      <c r="G67" s="4" t="s">
        <v>43</v>
      </c>
      <c r="H67" s="4" t="s">
        <v>96</v>
      </c>
      <c r="J67" s="4" t="s">
        <v>141</v>
      </c>
    </row>
    <row r="68" spans="1:14" s="8" customFormat="1" x14ac:dyDescent="0.25"/>
    <row r="69" spans="1:14" x14ac:dyDescent="0.25">
      <c r="A69" s="7" t="s">
        <v>0</v>
      </c>
      <c r="B69" s="7" t="s">
        <v>147</v>
      </c>
    </row>
    <row r="70" spans="1:14" x14ac:dyDescent="0.25">
      <c r="A70" s="5" t="s">
        <v>1</v>
      </c>
      <c r="B70" s="4" t="s">
        <v>148</v>
      </c>
    </row>
    <row r="71" spans="1:14" x14ac:dyDescent="0.25">
      <c r="A71" s="5" t="s">
        <v>2</v>
      </c>
      <c r="B71" s="4" t="s">
        <v>173</v>
      </c>
    </row>
    <row r="72" spans="1:14" x14ac:dyDescent="0.25">
      <c r="A72" s="5" t="s">
        <v>3</v>
      </c>
      <c r="B72" s="4">
        <v>1</v>
      </c>
    </row>
    <row r="73" spans="1:14" x14ac:dyDescent="0.25">
      <c r="A73" s="5" t="s">
        <v>4</v>
      </c>
      <c r="B73" s="4" t="s">
        <v>5</v>
      </c>
    </row>
    <row r="74" spans="1:14" x14ac:dyDescent="0.25">
      <c r="A74" s="5" t="s">
        <v>6</v>
      </c>
      <c r="B74" s="4" t="s">
        <v>7</v>
      </c>
    </row>
    <row r="75" spans="1:14" x14ac:dyDescent="0.25">
      <c r="A75" s="5" t="s">
        <v>8</v>
      </c>
    </row>
    <row r="76" spans="1:14" x14ac:dyDescent="0.25">
      <c r="A76" s="7" t="s">
        <v>9</v>
      </c>
      <c r="B76" s="7" t="s">
        <v>1</v>
      </c>
      <c r="C76" s="7" t="s">
        <v>2</v>
      </c>
      <c r="D76" s="7" t="s">
        <v>3</v>
      </c>
      <c r="E76" s="7" t="s">
        <v>4</v>
      </c>
      <c r="F76" s="7" t="s">
        <v>10</v>
      </c>
      <c r="G76" s="7" t="s">
        <v>11</v>
      </c>
      <c r="H76" s="7" t="s">
        <v>12</v>
      </c>
      <c r="I76" s="7" t="s">
        <v>13</v>
      </c>
      <c r="J76" s="7" t="s">
        <v>14</v>
      </c>
      <c r="K76" s="7" t="s">
        <v>15</v>
      </c>
      <c r="L76" s="7" t="s">
        <v>16</v>
      </c>
      <c r="M76" s="7" t="s">
        <v>17</v>
      </c>
      <c r="N76" s="7" t="s">
        <v>18</v>
      </c>
    </row>
    <row r="77" spans="1:14" x14ac:dyDescent="0.25">
      <c r="A77" s="4" t="str">
        <f>B69</f>
        <v>[R] Electrolysis</v>
      </c>
      <c r="B77" s="4" t="str">
        <f>B70</f>
        <v>Liquid aluminium (Al)</v>
      </c>
      <c r="C77" s="4" t="str">
        <f>B71</f>
        <v>North America</v>
      </c>
      <c r="D77" s="4">
        <v>1</v>
      </c>
      <c r="E77" s="4" t="s">
        <v>5</v>
      </c>
      <c r="F77" s="6" t="str">
        <f>F41</f>
        <v>Aluminium</v>
      </c>
      <c r="G77" s="4" t="s">
        <v>19</v>
      </c>
    </row>
    <row r="78" spans="1:14" x14ac:dyDescent="0.25">
      <c r="A78" s="4" t="s">
        <v>121</v>
      </c>
      <c r="B78" s="4" t="s">
        <v>122</v>
      </c>
      <c r="C78" s="4" t="s">
        <v>22</v>
      </c>
      <c r="D78" s="4">
        <v>10.30413028540235</v>
      </c>
      <c r="E78" s="4" t="s">
        <v>105</v>
      </c>
      <c r="F78" s="4" t="s">
        <v>24</v>
      </c>
      <c r="G78" s="4" t="s">
        <v>25</v>
      </c>
      <c r="J78" s="4" t="s">
        <v>61</v>
      </c>
    </row>
    <row r="79" spans="1:14" x14ac:dyDescent="0.25">
      <c r="A79" s="4" t="s">
        <v>125</v>
      </c>
      <c r="B79" s="4" t="s">
        <v>126</v>
      </c>
      <c r="C79" s="4" t="s">
        <v>29</v>
      </c>
      <c r="D79" s="4">
        <v>0.42780179143817609</v>
      </c>
      <c r="E79" s="4" t="s">
        <v>105</v>
      </c>
      <c r="F79" s="4" t="s">
        <v>24</v>
      </c>
      <c r="G79" s="4" t="s">
        <v>25</v>
      </c>
      <c r="J79" s="4" t="s">
        <v>61</v>
      </c>
    </row>
    <row r="80" spans="1:14" x14ac:dyDescent="0.25">
      <c r="A80" s="4" t="s">
        <v>139</v>
      </c>
      <c r="B80" s="4" t="s">
        <v>140</v>
      </c>
      <c r="C80" s="4" t="s">
        <v>22</v>
      </c>
      <c r="D80" s="4">
        <v>8.6675201456243162E-3</v>
      </c>
      <c r="E80" s="4" t="s">
        <v>5</v>
      </c>
      <c r="F80" s="4" t="s">
        <v>24</v>
      </c>
      <c r="G80" s="4" t="s">
        <v>25</v>
      </c>
      <c r="J80" s="4" t="s">
        <v>141</v>
      </c>
    </row>
    <row r="81" spans="1:10" x14ac:dyDescent="0.25">
      <c r="A81" s="4" t="s">
        <v>34</v>
      </c>
      <c r="B81" s="4" t="s">
        <v>35</v>
      </c>
      <c r="C81" s="4" t="s">
        <v>22</v>
      </c>
      <c r="D81" s="4">
        <v>4.8910111800648066E-3</v>
      </c>
      <c r="E81" s="4" t="s">
        <v>5</v>
      </c>
      <c r="F81" s="4" t="s">
        <v>24</v>
      </c>
      <c r="G81" s="4" t="s">
        <v>25</v>
      </c>
      <c r="J81" s="4" t="s">
        <v>141</v>
      </c>
    </row>
    <row r="82" spans="1:10" x14ac:dyDescent="0.25">
      <c r="A82" s="4" t="s">
        <v>149</v>
      </c>
      <c r="B82" s="4" t="s">
        <v>150</v>
      </c>
      <c r="C82" s="4" t="s">
        <v>22</v>
      </c>
      <c r="D82" s="4">
        <v>5.9807861619403839E-3</v>
      </c>
      <c r="E82" s="4" t="s">
        <v>5</v>
      </c>
      <c r="F82" s="4" t="s">
        <v>24</v>
      </c>
      <c r="G82" s="4" t="s">
        <v>25</v>
      </c>
      <c r="J82" s="4" t="s">
        <v>141</v>
      </c>
    </row>
    <row r="83" spans="1:10" x14ac:dyDescent="0.25">
      <c r="A83" s="4" t="s">
        <v>151</v>
      </c>
      <c r="B83" s="4" t="s">
        <v>152</v>
      </c>
      <c r="C83" s="4" t="s">
        <v>22</v>
      </c>
      <c r="D83" s="4">
        <v>1.7474928536636271E-2</v>
      </c>
      <c r="E83" s="4" t="s">
        <v>5</v>
      </c>
      <c r="F83" s="4" t="s">
        <v>24</v>
      </c>
      <c r="G83" s="4" t="s">
        <v>25</v>
      </c>
      <c r="J83" s="4" t="s">
        <v>141</v>
      </c>
    </row>
    <row r="84" spans="1:10" x14ac:dyDescent="0.25">
      <c r="A84" s="4" t="s">
        <v>26</v>
      </c>
      <c r="B84" s="4" t="s">
        <v>27</v>
      </c>
      <c r="C84" s="4" t="s">
        <v>174</v>
      </c>
      <c r="D84" s="4">
        <v>14.95728608357958</v>
      </c>
      <c r="E84" s="4" t="s">
        <v>28</v>
      </c>
      <c r="F84" s="4" t="s">
        <v>24</v>
      </c>
      <c r="G84" s="4" t="s">
        <v>25</v>
      </c>
      <c r="J84" s="4" t="s">
        <v>61</v>
      </c>
    </row>
    <row r="85" spans="1:10" x14ac:dyDescent="0.25">
      <c r="A85" s="4" t="s">
        <v>145</v>
      </c>
      <c r="B85" s="4" t="s">
        <v>146</v>
      </c>
      <c r="C85" s="4" t="s">
        <v>29</v>
      </c>
      <c r="D85" s="4">
        <v>-3.5343082901282772E-3</v>
      </c>
      <c r="E85" s="4" t="s">
        <v>5</v>
      </c>
      <c r="F85" s="4" t="s">
        <v>24</v>
      </c>
      <c r="G85" s="4" t="s">
        <v>25</v>
      </c>
      <c r="J85" s="4" t="s">
        <v>141</v>
      </c>
    </row>
    <row r="86" spans="1:10" x14ac:dyDescent="0.25">
      <c r="A86" s="4" t="s">
        <v>175</v>
      </c>
      <c r="B86" s="4" t="s">
        <v>143</v>
      </c>
      <c r="C86" s="4" t="s">
        <v>29</v>
      </c>
      <c r="D86" s="4">
        <v>-3.8531862176143842E-3</v>
      </c>
      <c r="E86" s="4" t="s">
        <v>5</v>
      </c>
      <c r="F86" s="4" t="s">
        <v>24</v>
      </c>
      <c r="G86" s="4" t="s">
        <v>25</v>
      </c>
      <c r="J86" s="4" t="s">
        <v>141</v>
      </c>
    </row>
    <row r="87" spans="1:10" x14ac:dyDescent="0.25">
      <c r="A87" s="4" t="s">
        <v>142</v>
      </c>
      <c r="B87" s="4" t="s">
        <v>143</v>
      </c>
      <c r="C87" s="4" t="s">
        <v>29</v>
      </c>
      <c r="D87" s="4">
        <v>-1.9477157252168761E-4</v>
      </c>
      <c r="E87" s="4" t="s">
        <v>5</v>
      </c>
      <c r="F87" s="4" t="s">
        <v>24</v>
      </c>
      <c r="G87" s="4" t="s">
        <v>25</v>
      </c>
      <c r="J87" s="4" t="s">
        <v>141</v>
      </c>
    </row>
    <row r="88" spans="1:10" x14ac:dyDescent="0.25">
      <c r="A88" s="4" t="s">
        <v>144</v>
      </c>
      <c r="B88" s="4" t="s">
        <v>76</v>
      </c>
      <c r="C88" s="4" t="s">
        <v>29</v>
      </c>
      <c r="D88" s="4">
        <v>-5.4335488848068362E-3</v>
      </c>
      <c r="E88" s="4" t="s">
        <v>5</v>
      </c>
      <c r="F88" s="4" t="s">
        <v>24</v>
      </c>
      <c r="G88" s="4" t="s">
        <v>25</v>
      </c>
      <c r="J88" s="4" t="s">
        <v>141</v>
      </c>
    </row>
    <row r="89" spans="1:10" x14ac:dyDescent="0.25">
      <c r="A89" s="4" t="s">
        <v>142</v>
      </c>
      <c r="B89" s="4" t="s">
        <v>143</v>
      </c>
      <c r="C89" s="4" t="s">
        <v>29</v>
      </c>
      <c r="D89" s="4">
        <v>-1.0348677085956531E-2</v>
      </c>
      <c r="E89" s="4" t="s">
        <v>5</v>
      </c>
      <c r="F89" s="4" t="s">
        <v>24</v>
      </c>
      <c r="G89" s="4" t="s">
        <v>25</v>
      </c>
      <c r="J89" s="4" t="s">
        <v>141</v>
      </c>
    </row>
    <row r="90" spans="1:10" x14ac:dyDescent="0.25">
      <c r="A90" s="4" t="s">
        <v>36</v>
      </c>
      <c r="B90" s="4" t="s">
        <v>37</v>
      </c>
      <c r="C90" s="4" t="s">
        <v>29</v>
      </c>
      <c r="D90" s="4">
        <v>-4.1844840880067681E-3</v>
      </c>
      <c r="E90" s="4" t="s">
        <v>5</v>
      </c>
      <c r="F90" s="4" t="s">
        <v>24</v>
      </c>
      <c r="G90" s="4" t="s">
        <v>25</v>
      </c>
      <c r="J90" s="4" t="s">
        <v>141</v>
      </c>
    </row>
    <row r="91" spans="1:10" x14ac:dyDescent="0.25">
      <c r="A91" s="4" t="s">
        <v>145</v>
      </c>
      <c r="B91" s="4" t="s">
        <v>146</v>
      </c>
      <c r="C91" s="4" t="s">
        <v>29</v>
      </c>
      <c r="D91" s="4">
        <v>-2.4916827902376612E-3</v>
      </c>
      <c r="E91" s="4" t="s">
        <v>5</v>
      </c>
      <c r="F91" s="4" t="s">
        <v>24</v>
      </c>
      <c r="G91" s="4" t="s">
        <v>25</v>
      </c>
      <c r="J91" s="4" t="s">
        <v>141</v>
      </c>
    </row>
    <row r="92" spans="1:10" x14ac:dyDescent="0.25">
      <c r="A92" s="4" t="s">
        <v>38</v>
      </c>
      <c r="B92" s="4" t="s">
        <v>39</v>
      </c>
      <c r="C92" s="4" t="s">
        <v>29</v>
      </c>
      <c r="D92" s="4">
        <v>-5.1112078011606799E-3</v>
      </c>
      <c r="E92" s="4" t="s">
        <v>5</v>
      </c>
      <c r="F92" s="4" t="s">
        <v>24</v>
      </c>
      <c r="G92" s="4" t="s">
        <v>25</v>
      </c>
      <c r="J92" s="4" t="s">
        <v>141</v>
      </c>
    </row>
    <row r="93" spans="1:10" x14ac:dyDescent="0.25">
      <c r="A93" s="4" t="s">
        <v>142</v>
      </c>
      <c r="B93" s="4" t="s">
        <v>143</v>
      </c>
      <c r="C93" s="4" t="s">
        <v>29</v>
      </c>
      <c r="D93" s="4">
        <v>-5.9473091057806707E-4</v>
      </c>
      <c r="E93" s="4" t="s">
        <v>5</v>
      </c>
      <c r="F93" s="4" t="s">
        <v>24</v>
      </c>
      <c r="G93" s="4" t="s">
        <v>25</v>
      </c>
      <c r="J93" s="4" t="s">
        <v>141</v>
      </c>
    </row>
    <row r="94" spans="1:10" x14ac:dyDescent="0.25">
      <c r="A94" s="4" t="s">
        <v>48</v>
      </c>
      <c r="D94" s="4">
        <v>5.8440483946453313E-3</v>
      </c>
      <c r="E94" s="4" t="s">
        <v>49</v>
      </c>
      <c r="F94" s="4" t="s">
        <v>42</v>
      </c>
      <c r="G94" s="4" t="s">
        <v>43</v>
      </c>
      <c r="H94" s="4" t="s">
        <v>47</v>
      </c>
      <c r="J94" s="4" t="s">
        <v>141</v>
      </c>
    </row>
    <row r="95" spans="1:10" x14ac:dyDescent="0.25">
      <c r="A95" s="4" t="s">
        <v>64</v>
      </c>
      <c r="D95" s="4">
        <v>1.9527617211511901E-3</v>
      </c>
      <c r="E95" s="4" t="s">
        <v>5</v>
      </c>
      <c r="F95" s="4" t="s">
        <v>42</v>
      </c>
      <c r="G95" s="4" t="s">
        <v>43</v>
      </c>
      <c r="H95" s="4" t="s">
        <v>63</v>
      </c>
      <c r="J95" s="4" t="s">
        <v>141</v>
      </c>
    </row>
    <row r="96" spans="1:10" x14ac:dyDescent="0.25">
      <c r="A96" s="4" t="s">
        <v>62</v>
      </c>
      <c r="D96" s="4">
        <v>1.605050810339086E-2</v>
      </c>
      <c r="E96" s="4" t="s">
        <v>5</v>
      </c>
      <c r="F96" s="4" t="s">
        <v>42</v>
      </c>
      <c r="G96" s="4" t="s">
        <v>43</v>
      </c>
      <c r="H96" s="4" t="s">
        <v>63</v>
      </c>
      <c r="J96" s="4" t="s">
        <v>141</v>
      </c>
    </row>
    <row r="97" spans="1:10" x14ac:dyDescent="0.25">
      <c r="A97" s="4" t="s">
        <v>73</v>
      </c>
      <c r="D97" s="4">
        <v>5.2557169575141743E-6</v>
      </c>
      <c r="E97" s="4" t="s">
        <v>5</v>
      </c>
      <c r="F97" s="4" t="s">
        <v>42</v>
      </c>
      <c r="G97" s="4" t="s">
        <v>43</v>
      </c>
      <c r="H97" s="4" t="s">
        <v>63</v>
      </c>
      <c r="J97" s="4" t="s">
        <v>116</v>
      </c>
    </row>
    <row r="98" spans="1:10" x14ac:dyDescent="0.25">
      <c r="A98" s="4" t="s">
        <v>132</v>
      </c>
      <c r="D98" s="4">
        <v>4.9146490929926113E-5</v>
      </c>
      <c r="E98" s="4" t="s">
        <v>5</v>
      </c>
      <c r="F98" s="4" t="s">
        <v>42</v>
      </c>
      <c r="G98" s="4" t="s">
        <v>43</v>
      </c>
      <c r="H98" s="4" t="s">
        <v>63</v>
      </c>
      <c r="J98" s="4" t="s">
        <v>141</v>
      </c>
    </row>
    <row r="99" spans="1:10" x14ac:dyDescent="0.25">
      <c r="A99" s="4" t="s">
        <v>106</v>
      </c>
      <c r="D99" s="4">
        <v>4.0504066490565718E-4</v>
      </c>
      <c r="E99" s="4" t="s">
        <v>5</v>
      </c>
      <c r="F99" s="4" t="s">
        <v>42</v>
      </c>
      <c r="G99" s="4" t="s">
        <v>43</v>
      </c>
      <c r="H99" s="4" t="s">
        <v>63</v>
      </c>
      <c r="J99" s="4" t="s">
        <v>141</v>
      </c>
    </row>
    <row r="100" spans="1:10" x14ac:dyDescent="0.25">
      <c r="A100" s="4" t="s">
        <v>106</v>
      </c>
      <c r="D100" s="4">
        <v>3.4153468220727581E-4</v>
      </c>
      <c r="E100" s="4" t="s">
        <v>5</v>
      </c>
      <c r="F100" s="4" t="s">
        <v>42</v>
      </c>
      <c r="G100" s="4" t="s">
        <v>43</v>
      </c>
      <c r="H100" s="4" t="s">
        <v>63</v>
      </c>
      <c r="J100" s="4" t="s">
        <v>141</v>
      </c>
    </row>
    <row r="101" spans="1:10" x14ac:dyDescent="0.25">
      <c r="A101" s="4" t="s">
        <v>94</v>
      </c>
      <c r="D101" s="4">
        <v>5.1002653456514438E-6</v>
      </c>
      <c r="E101" s="4" t="s">
        <v>5</v>
      </c>
      <c r="F101" s="4" t="s">
        <v>42</v>
      </c>
      <c r="G101" s="4" t="s">
        <v>43</v>
      </c>
      <c r="H101" s="4" t="s">
        <v>63</v>
      </c>
      <c r="J101" s="4" t="s">
        <v>141</v>
      </c>
    </row>
    <row r="102" spans="1:10" x14ac:dyDescent="0.25">
      <c r="A102" s="4" t="s">
        <v>98</v>
      </c>
      <c r="D102" s="4">
        <v>7.1272828933618364E-10</v>
      </c>
      <c r="E102" s="4" t="s">
        <v>5</v>
      </c>
      <c r="F102" s="4" t="s">
        <v>42</v>
      </c>
      <c r="G102" s="4" t="s">
        <v>43</v>
      </c>
      <c r="H102" s="4" t="s">
        <v>63</v>
      </c>
      <c r="J102" s="4" t="s">
        <v>141</v>
      </c>
    </row>
    <row r="103" spans="1:10" x14ac:dyDescent="0.25">
      <c r="A103" s="4" t="s">
        <v>155</v>
      </c>
      <c r="D103" s="4">
        <v>5.0155917828038577E-5</v>
      </c>
      <c r="E103" s="4" t="s">
        <v>5</v>
      </c>
      <c r="F103" s="4" t="s">
        <v>42</v>
      </c>
      <c r="G103" s="4" t="s">
        <v>43</v>
      </c>
      <c r="H103" s="4" t="s">
        <v>63</v>
      </c>
      <c r="J103" s="4" t="s">
        <v>61</v>
      </c>
    </row>
    <row r="104" spans="1:10" x14ac:dyDescent="0.25">
      <c r="A104" s="4" t="s">
        <v>156</v>
      </c>
      <c r="D104" s="4">
        <v>8.8250341854099275E-6</v>
      </c>
      <c r="E104" s="4" t="s">
        <v>5</v>
      </c>
      <c r="F104" s="4" t="s">
        <v>42</v>
      </c>
      <c r="G104" s="4" t="s">
        <v>43</v>
      </c>
      <c r="H104" s="4" t="s">
        <v>63</v>
      </c>
      <c r="J104" s="4" t="s">
        <v>61</v>
      </c>
    </row>
    <row r="105" spans="1:10" x14ac:dyDescent="0.25">
      <c r="A105" s="4" t="s">
        <v>118</v>
      </c>
      <c r="D105" s="4">
        <v>5.1389913093080539E-3</v>
      </c>
      <c r="E105" s="4" t="s">
        <v>49</v>
      </c>
      <c r="F105" s="4" t="s">
        <v>42</v>
      </c>
      <c r="G105" s="4" t="s">
        <v>43</v>
      </c>
      <c r="H105" s="4" t="s">
        <v>96</v>
      </c>
      <c r="J105" s="4" t="s">
        <v>141</v>
      </c>
    </row>
    <row r="106" spans="1:10" x14ac:dyDescent="0.25">
      <c r="A106" s="4" t="s">
        <v>97</v>
      </c>
      <c r="D106" s="4">
        <v>3.2259350900466342E-5</v>
      </c>
      <c r="E106" s="4" t="s">
        <v>5</v>
      </c>
      <c r="F106" s="4" t="s">
        <v>42</v>
      </c>
      <c r="G106" s="4" t="s">
        <v>43</v>
      </c>
      <c r="H106" s="4" t="s">
        <v>96</v>
      </c>
      <c r="J106" s="4" t="s">
        <v>141</v>
      </c>
    </row>
    <row r="107" spans="1:10" x14ac:dyDescent="0.25">
      <c r="A107" s="4" t="s">
        <v>100</v>
      </c>
      <c r="D107" s="4">
        <v>1.0712118057385849E-6</v>
      </c>
      <c r="E107" s="4" t="s">
        <v>5</v>
      </c>
      <c r="F107" s="4" t="s">
        <v>42</v>
      </c>
      <c r="G107" s="4" t="s">
        <v>43</v>
      </c>
      <c r="H107" s="4" t="s">
        <v>96</v>
      </c>
      <c r="J107" s="4" t="s">
        <v>141</v>
      </c>
    </row>
    <row r="108" spans="1:10" x14ac:dyDescent="0.25">
      <c r="A108" s="4" t="s">
        <v>106</v>
      </c>
      <c r="D108" s="4">
        <v>2.9511117703292811E-5</v>
      </c>
      <c r="E108" s="4" t="s">
        <v>5</v>
      </c>
      <c r="F108" s="4" t="s">
        <v>42</v>
      </c>
      <c r="G108" s="4" t="s">
        <v>43</v>
      </c>
      <c r="H108" s="4" t="s">
        <v>96</v>
      </c>
      <c r="J108" s="4" t="s">
        <v>141</v>
      </c>
    </row>
    <row r="109" spans="1:10" x14ac:dyDescent="0.25">
      <c r="A109" s="4" t="s">
        <v>94</v>
      </c>
      <c r="D109" s="4">
        <v>1.102820478780266E-10</v>
      </c>
      <c r="E109" s="4" t="s">
        <v>5</v>
      </c>
      <c r="F109" s="4" t="s">
        <v>42</v>
      </c>
      <c r="G109" s="4" t="s">
        <v>43</v>
      </c>
      <c r="H109" s="4" t="s">
        <v>96</v>
      </c>
      <c r="J109" s="4" t="s">
        <v>141</v>
      </c>
    </row>
    <row r="110" spans="1:10" s="8" customFormat="1" x14ac:dyDescent="0.25"/>
    <row r="111" spans="1:10" x14ac:dyDescent="0.25">
      <c r="A111" s="7" t="s">
        <v>0</v>
      </c>
      <c r="B111" s="7" t="s">
        <v>157</v>
      </c>
    </row>
    <row r="112" spans="1:10" x14ac:dyDescent="0.25">
      <c r="A112" s="5" t="s">
        <v>1</v>
      </c>
      <c r="B112" s="4" t="s">
        <v>158</v>
      </c>
    </row>
    <row r="113" spans="1:14" x14ac:dyDescent="0.25">
      <c r="A113" s="5" t="s">
        <v>2</v>
      </c>
      <c r="B113" s="4" t="s">
        <v>173</v>
      </c>
    </row>
    <row r="114" spans="1:14" x14ac:dyDescent="0.25">
      <c r="A114" s="5" t="s">
        <v>3</v>
      </c>
      <c r="B114" s="4">
        <v>1</v>
      </c>
    </row>
    <row r="115" spans="1:14" x14ac:dyDescent="0.25">
      <c r="A115" s="5" t="s">
        <v>4</v>
      </c>
      <c r="B115" s="4" t="s">
        <v>5</v>
      </c>
    </row>
    <row r="116" spans="1:14" x14ac:dyDescent="0.25">
      <c r="A116" s="5" t="s">
        <v>6</v>
      </c>
      <c r="B116" s="4" t="s">
        <v>7</v>
      </c>
    </row>
    <row r="117" spans="1:14" x14ac:dyDescent="0.25">
      <c r="A117" s="5" t="s">
        <v>8</v>
      </c>
    </row>
    <row r="118" spans="1:14" x14ac:dyDescent="0.25">
      <c r="A118" s="7" t="s">
        <v>9</v>
      </c>
      <c r="B118" s="7" t="s">
        <v>1</v>
      </c>
      <c r="C118" s="7" t="s">
        <v>2</v>
      </c>
      <c r="D118" s="7" t="s">
        <v>3</v>
      </c>
      <c r="E118" s="7" t="s">
        <v>4</v>
      </c>
      <c r="F118" s="7" t="s">
        <v>10</v>
      </c>
      <c r="G118" s="7" t="s">
        <v>11</v>
      </c>
      <c r="H118" s="7" t="s">
        <v>12</v>
      </c>
      <c r="I118" s="7" t="s">
        <v>13</v>
      </c>
      <c r="J118" s="7" t="s">
        <v>14</v>
      </c>
      <c r="K118" s="7" t="s">
        <v>15</v>
      </c>
      <c r="L118" s="7" t="s">
        <v>16</v>
      </c>
      <c r="M118" s="7" t="s">
        <v>17</v>
      </c>
      <c r="N118" s="7" t="s">
        <v>18</v>
      </c>
    </row>
    <row r="119" spans="1:14" x14ac:dyDescent="0.25">
      <c r="A119" s="4" t="str">
        <f>B111</f>
        <v>[R] Casting</v>
      </c>
      <c r="B119" s="4" t="str">
        <f>B112</f>
        <v>Al ingot</v>
      </c>
      <c r="C119" s="4" t="str">
        <f>B113</f>
        <v>North America</v>
      </c>
      <c r="D119" s="4">
        <v>1</v>
      </c>
      <c r="E119" s="4" t="s">
        <v>5</v>
      </c>
      <c r="F119" s="6" t="str">
        <f>F77</f>
        <v>Aluminium</v>
      </c>
      <c r="G119" s="4" t="s">
        <v>19</v>
      </c>
    </row>
    <row r="120" spans="1:14" x14ac:dyDescent="0.25">
      <c r="A120" s="4" t="s">
        <v>30</v>
      </c>
      <c r="B120" s="4" t="s">
        <v>31</v>
      </c>
      <c r="C120" s="4" t="s">
        <v>22</v>
      </c>
      <c r="D120" s="4">
        <v>1.032753454023788E-2</v>
      </c>
      <c r="E120" s="4" t="s">
        <v>5</v>
      </c>
      <c r="F120" s="4" t="s">
        <v>24</v>
      </c>
      <c r="G120" s="4" t="s">
        <v>25</v>
      </c>
      <c r="J120" s="4" t="s">
        <v>141</v>
      </c>
    </row>
    <row r="121" spans="1:14" x14ac:dyDescent="0.25">
      <c r="A121" s="4" t="s">
        <v>159</v>
      </c>
      <c r="B121" s="4" t="s">
        <v>160</v>
      </c>
      <c r="C121" s="4" t="s">
        <v>29</v>
      </c>
      <c r="D121" s="4">
        <v>2.112840056256077E-5</v>
      </c>
      <c r="E121" s="4" t="s">
        <v>5</v>
      </c>
      <c r="F121" s="4" t="s">
        <v>24</v>
      </c>
      <c r="G121" s="4" t="s">
        <v>25</v>
      </c>
      <c r="J121" s="4" t="s">
        <v>141</v>
      </c>
    </row>
    <row r="122" spans="1:14" x14ac:dyDescent="0.25">
      <c r="A122" s="4" t="s">
        <v>79</v>
      </c>
      <c r="B122" s="4" t="s">
        <v>80</v>
      </c>
      <c r="C122" s="4" t="s">
        <v>29</v>
      </c>
      <c r="D122" s="4">
        <v>2.8890917915815609E-4</v>
      </c>
      <c r="E122" s="4" t="s">
        <v>5</v>
      </c>
      <c r="F122" s="4" t="s">
        <v>24</v>
      </c>
      <c r="G122" s="4" t="s">
        <v>25</v>
      </c>
      <c r="J122" s="4" t="s">
        <v>141</v>
      </c>
    </row>
    <row r="123" spans="1:14" x14ac:dyDescent="0.25">
      <c r="A123" s="4" t="s">
        <v>65</v>
      </c>
      <c r="B123" s="4" t="s">
        <v>66</v>
      </c>
      <c r="C123" s="4" t="s">
        <v>29</v>
      </c>
      <c r="D123" s="4">
        <v>6.4050408980230729E-5</v>
      </c>
      <c r="E123" s="4" t="s">
        <v>5</v>
      </c>
      <c r="F123" s="4" t="s">
        <v>24</v>
      </c>
      <c r="G123" s="4" t="s">
        <v>25</v>
      </c>
      <c r="J123" s="4" t="s">
        <v>141</v>
      </c>
    </row>
    <row r="124" spans="1:14" x14ac:dyDescent="0.25">
      <c r="A124" s="4" t="s">
        <v>110</v>
      </c>
      <c r="B124" s="4" t="s">
        <v>111</v>
      </c>
      <c r="C124" s="4" t="s">
        <v>29</v>
      </c>
      <c r="D124" s="4">
        <v>1.8342618235686471E-3</v>
      </c>
      <c r="E124" s="4" t="s">
        <v>5</v>
      </c>
      <c r="F124" s="4" t="s">
        <v>24</v>
      </c>
      <c r="G124" s="4" t="s">
        <v>25</v>
      </c>
      <c r="J124" s="4" t="s">
        <v>127</v>
      </c>
    </row>
    <row r="125" spans="1:14" x14ac:dyDescent="0.25">
      <c r="A125" s="4" t="s">
        <v>20</v>
      </c>
      <c r="B125" s="4" t="s">
        <v>21</v>
      </c>
      <c r="C125" s="4" t="s">
        <v>22</v>
      </c>
      <c r="D125" s="4">
        <v>1.4036019152752649E-2</v>
      </c>
      <c r="E125" s="4" t="s">
        <v>23</v>
      </c>
      <c r="F125" s="4" t="s">
        <v>24</v>
      </c>
      <c r="G125" s="4" t="s">
        <v>25</v>
      </c>
      <c r="J125" s="4" t="s">
        <v>127</v>
      </c>
    </row>
    <row r="126" spans="1:14" x14ac:dyDescent="0.25">
      <c r="A126" s="4" t="s">
        <v>57</v>
      </c>
      <c r="B126" s="4" t="s">
        <v>58</v>
      </c>
      <c r="C126" s="4" t="s">
        <v>29</v>
      </c>
      <c r="D126" s="4">
        <v>2.1743853264459979E-2</v>
      </c>
      <c r="E126" s="4" t="s">
        <v>49</v>
      </c>
      <c r="F126" s="4" t="s">
        <v>24</v>
      </c>
      <c r="G126" s="4" t="s">
        <v>25</v>
      </c>
      <c r="J126" s="4" t="s">
        <v>127</v>
      </c>
    </row>
    <row r="127" spans="1:14" x14ac:dyDescent="0.25">
      <c r="A127" s="4" t="s">
        <v>26</v>
      </c>
      <c r="B127" s="4" t="s">
        <v>27</v>
      </c>
      <c r="C127" s="4" t="s">
        <v>174</v>
      </c>
      <c r="D127" s="4">
        <v>0.15967756484732279</v>
      </c>
      <c r="E127" s="4" t="s">
        <v>28</v>
      </c>
      <c r="F127" s="4" t="s">
        <v>24</v>
      </c>
      <c r="G127" s="4" t="s">
        <v>25</v>
      </c>
      <c r="J127" s="4" t="s">
        <v>127</v>
      </c>
    </row>
    <row r="128" spans="1:14" x14ac:dyDescent="0.25">
      <c r="A128" s="4" t="s">
        <v>161</v>
      </c>
      <c r="B128" s="4" t="s">
        <v>162</v>
      </c>
      <c r="C128" s="4" t="s">
        <v>163</v>
      </c>
      <c r="D128" s="4">
        <v>6.3762295148757136E-4</v>
      </c>
      <c r="E128" s="4" t="s">
        <v>28</v>
      </c>
      <c r="F128" s="4" t="s">
        <v>24</v>
      </c>
      <c r="G128" s="4" t="s">
        <v>25</v>
      </c>
      <c r="J128" s="4" t="s">
        <v>127</v>
      </c>
    </row>
    <row r="129" spans="1:10" x14ac:dyDescent="0.25">
      <c r="A129" s="4" t="s">
        <v>142</v>
      </c>
      <c r="B129" s="4" t="s">
        <v>143</v>
      </c>
      <c r="C129" s="4" t="s">
        <v>29</v>
      </c>
      <c r="D129" s="4">
        <v>-1.6846402331650921E-4</v>
      </c>
      <c r="E129" s="4" t="s">
        <v>5</v>
      </c>
      <c r="F129" s="4" t="s">
        <v>24</v>
      </c>
      <c r="G129" s="4" t="s">
        <v>25</v>
      </c>
      <c r="J129" s="4" t="s">
        <v>141</v>
      </c>
    </row>
    <row r="130" spans="1:10" x14ac:dyDescent="0.25">
      <c r="A130" s="4" t="s">
        <v>164</v>
      </c>
      <c r="B130" s="4" t="s">
        <v>165</v>
      </c>
      <c r="C130" s="4" t="s">
        <v>29</v>
      </c>
      <c r="D130" s="4">
        <v>-1.743677160084655E-2</v>
      </c>
      <c r="E130" s="4" t="s">
        <v>5</v>
      </c>
      <c r="F130" s="4" t="s">
        <v>24</v>
      </c>
      <c r="G130" s="4" t="s">
        <v>25</v>
      </c>
      <c r="J130" s="4" t="s">
        <v>141</v>
      </c>
    </row>
    <row r="131" spans="1:10" x14ac:dyDescent="0.25">
      <c r="A131" s="4" t="s">
        <v>142</v>
      </c>
      <c r="B131" s="4" t="s">
        <v>143</v>
      </c>
      <c r="C131" s="4" t="s">
        <v>29</v>
      </c>
      <c r="D131" s="4">
        <v>-8.3356419021474412E-5</v>
      </c>
      <c r="E131" s="4" t="s">
        <v>5</v>
      </c>
      <c r="F131" s="4" t="s">
        <v>24</v>
      </c>
      <c r="G131" s="4" t="s">
        <v>25</v>
      </c>
      <c r="J131" s="4" t="s">
        <v>141</v>
      </c>
    </row>
    <row r="132" spans="1:10" x14ac:dyDescent="0.25">
      <c r="A132" s="4" t="s">
        <v>176</v>
      </c>
      <c r="B132" s="4" t="s">
        <v>177</v>
      </c>
      <c r="C132" s="4" t="s">
        <v>29</v>
      </c>
      <c r="D132" s="4">
        <v>-2.0733162857145039E-5</v>
      </c>
      <c r="E132" s="4" t="s">
        <v>5</v>
      </c>
      <c r="F132" s="4" t="s">
        <v>24</v>
      </c>
      <c r="G132" s="4" t="s">
        <v>25</v>
      </c>
      <c r="J132" s="4" t="s">
        <v>141</v>
      </c>
    </row>
    <row r="133" spans="1:10" x14ac:dyDescent="0.25">
      <c r="A133" s="4" t="s">
        <v>36</v>
      </c>
      <c r="B133" s="4" t="s">
        <v>37</v>
      </c>
      <c r="C133" s="4" t="s">
        <v>29</v>
      </c>
      <c r="D133" s="4">
        <v>-2.3648444043246528E-3</v>
      </c>
      <c r="E133" s="4" t="s">
        <v>5</v>
      </c>
      <c r="F133" s="4" t="s">
        <v>24</v>
      </c>
      <c r="G133" s="4" t="s">
        <v>25</v>
      </c>
      <c r="J133" s="4" t="s">
        <v>141</v>
      </c>
    </row>
    <row r="134" spans="1:10" x14ac:dyDescent="0.25">
      <c r="A134" s="4" t="s">
        <v>38</v>
      </c>
      <c r="B134" s="4" t="s">
        <v>39</v>
      </c>
      <c r="C134" s="4" t="s">
        <v>29</v>
      </c>
      <c r="D134" s="4">
        <v>-2.3494726985712E-3</v>
      </c>
      <c r="E134" s="4" t="s">
        <v>5</v>
      </c>
      <c r="F134" s="4" t="s">
        <v>24</v>
      </c>
      <c r="G134" s="4" t="s">
        <v>25</v>
      </c>
      <c r="J134" s="4" t="s">
        <v>141</v>
      </c>
    </row>
    <row r="135" spans="1:10" x14ac:dyDescent="0.25">
      <c r="A135" s="4" t="s">
        <v>48</v>
      </c>
      <c r="D135" s="4">
        <v>2.404422770693194E-3</v>
      </c>
      <c r="E135" s="4" t="s">
        <v>49</v>
      </c>
      <c r="F135" s="4" t="s">
        <v>42</v>
      </c>
      <c r="G135" s="4" t="s">
        <v>43</v>
      </c>
      <c r="H135" s="4" t="s">
        <v>47</v>
      </c>
      <c r="J135" s="4" t="s">
        <v>112</v>
      </c>
    </row>
    <row r="136" spans="1:10" x14ac:dyDescent="0.25">
      <c r="A136" s="4" t="s">
        <v>64</v>
      </c>
      <c r="D136" s="4">
        <v>4.5621615901727509E-5</v>
      </c>
      <c r="E136" s="4" t="s">
        <v>5</v>
      </c>
      <c r="F136" s="4" t="s">
        <v>42</v>
      </c>
      <c r="G136" s="4" t="s">
        <v>43</v>
      </c>
      <c r="H136" s="4" t="s">
        <v>63</v>
      </c>
      <c r="J136" s="4" t="s">
        <v>141</v>
      </c>
    </row>
    <row r="137" spans="1:10" x14ac:dyDescent="0.25">
      <c r="A137" s="4" t="s">
        <v>62</v>
      </c>
      <c r="D137" s="4">
        <v>6.8537960071615592E-7</v>
      </c>
      <c r="E137" s="4" t="s">
        <v>5</v>
      </c>
      <c r="F137" s="4" t="s">
        <v>42</v>
      </c>
      <c r="G137" s="4" t="s">
        <v>43</v>
      </c>
      <c r="H137" s="4" t="s">
        <v>63</v>
      </c>
      <c r="J137" s="4" t="s">
        <v>141</v>
      </c>
    </row>
    <row r="138" spans="1:10" x14ac:dyDescent="0.25">
      <c r="A138" s="4" t="s">
        <v>73</v>
      </c>
      <c r="D138" s="4">
        <v>5.3754045769657772E-5</v>
      </c>
      <c r="E138" s="4" t="s">
        <v>5</v>
      </c>
      <c r="F138" s="4" t="s">
        <v>42</v>
      </c>
      <c r="G138" s="4" t="s">
        <v>43</v>
      </c>
      <c r="H138" s="4" t="s">
        <v>63</v>
      </c>
      <c r="J138" s="4" t="s">
        <v>141</v>
      </c>
    </row>
    <row r="139" spans="1:10" x14ac:dyDescent="0.25">
      <c r="A139" s="4" t="s">
        <v>92</v>
      </c>
      <c r="D139" s="4">
        <v>3.6602865476211273E-5</v>
      </c>
      <c r="E139" s="4" t="s">
        <v>5</v>
      </c>
      <c r="F139" s="4" t="s">
        <v>42</v>
      </c>
      <c r="G139" s="4" t="s">
        <v>43</v>
      </c>
      <c r="H139" s="4" t="s">
        <v>63</v>
      </c>
      <c r="J139" s="4" t="s">
        <v>141</v>
      </c>
    </row>
    <row r="140" spans="1:10" x14ac:dyDescent="0.25">
      <c r="A140" s="4" t="s">
        <v>178</v>
      </c>
      <c r="D140" s="4">
        <v>9.0468098744700949E-10</v>
      </c>
      <c r="E140" s="4" t="s">
        <v>5</v>
      </c>
      <c r="F140" s="4" t="s">
        <v>42</v>
      </c>
      <c r="G140" s="4" t="s">
        <v>43</v>
      </c>
      <c r="H140" s="4" t="s">
        <v>63</v>
      </c>
      <c r="J140" s="4" t="s">
        <v>112</v>
      </c>
    </row>
    <row r="141" spans="1:10" x14ac:dyDescent="0.25">
      <c r="A141" s="4" t="s">
        <v>118</v>
      </c>
      <c r="D141" s="4">
        <v>3.8846632005915798E-3</v>
      </c>
      <c r="E141" s="4" t="s">
        <v>49</v>
      </c>
      <c r="F141" s="4" t="s">
        <v>42</v>
      </c>
      <c r="G141" s="4" t="s">
        <v>43</v>
      </c>
      <c r="H141" s="4" t="s">
        <v>96</v>
      </c>
      <c r="J141" s="4" t="s">
        <v>112</v>
      </c>
    </row>
    <row r="142" spans="1:10" x14ac:dyDescent="0.25">
      <c r="A142" s="4" t="s">
        <v>97</v>
      </c>
      <c r="D142" s="4">
        <v>1.0972013140389569E-6</v>
      </c>
      <c r="E142" s="4" t="s">
        <v>5</v>
      </c>
      <c r="F142" s="4" t="s">
        <v>42</v>
      </c>
      <c r="G142" s="4" t="s">
        <v>43</v>
      </c>
      <c r="H142" s="4" t="s">
        <v>96</v>
      </c>
      <c r="J142" s="4" t="s">
        <v>112</v>
      </c>
    </row>
    <row r="143" spans="1:10" x14ac:dyDescent="0.25">
      <c r="A143" s="4" t="s">
        <v>100</v>
      </c>
      <c r="D143" s="4">
        <v>9.4037467288565495E-7</v>
      </c>
      <c r="E143" s="4" t="s">
        <v>5</v>
      </c>
      <c r="F143" s="4" t="s">
        <v>42</v>
      </c>
      <c r="G143" s="4" t="s">
        <v>43</v>
      </c>
      <c r="H143" s="4" t="s">
        <v>96</v>
      </c>
      <c r="J143" s="4" t="s">
        <v>112</v>
      </c>
    </row>
    <row r="144" spans="1:10" s="9" customFormat="1" ht="14.1" customHeight="1" x14ac:dyDescent="0.25"/>
    <row r="145" spans="1:14" x14ac:dyDescent="0.25">
      <c r="A145" s="7" t="s">
        <v>0</v>
      </c>
      <c r="B145" s="7" t="s">
        <v>179</v>
      </c>
    </row>
    <row r="146" spans="1:14" x14ac:dyDescent="0.25">
      <c r="A146" s="5" t="s">
        <v>1</v>
      </c>
      <c r="B146" s="4" t="s">
        <v>158</v>
      </c>
    </row>
    <row r="147" spans="1:14" x14ac:dyDescent="0.25">
      <c r="A147" s="5" t="s">
        <v>2</v>
      </c>
      <c r="B147" s="4" t="s">
        <v>173</v>
      </c>
    </row>
    <row r="148" spans="1:14" x14ac:dyDescent="0.25">
      <c r="A148" s="5" t="s">
        <v>3</v>
      </c>
      <c r="B148" s="4">
        <v>1</v>
      </c>
    </row>
    <row r="149" spans="1:14" x14ac:dyDescent="0.25">
      <c r="A149" s="5" t="s">
        <v>4</v>
      </c>
      <c r="B149" s="4" t="s">
        <v>5</v>
      </c>
    </row>
    <row r="150" spans="1:14" x14ac:dyDescent="0.25">
      <c r="A150" s="5" t="s">
        <v>6</v>
      </c>
      <c r="B150" s="4" t="s">
        <v>7</v>
      </c>
    </row>
    <row r="151" spans="1:14" x14ac:dyDescent="0.25">
      <c r="A151" s="5" t="s">
        <v>8</v>
      </c>
    </row>
    <row r="152" spans="1:14" x14ac:dyDescent="0.25">
      <c r="A152" s="7" t="s">
        <v>9</v>
      </c>
      <c r="B152" s="7" t="s">
        <v>1</v>
      </c>
      <c r="C152" s="7" t="s">
        <v>2</v>
      </c>
      <c r="D152" s="7" t="s">
        <v>3</v>
      </c>
      <c r="E152" s="7" t="s">
        <v>4</v>
      </c>
      <c r="F152" s="7" t="s">
        <v>10</v>
      </c>
      <c r="G152" s="7" t="s">
        <v>11</v>
      </c>
      <c r="H152" s="7" t="s">
        <v>12</v>
      </c>
      <c r="I152" s="7" t="s">
        <v>13</v>
      </c>
      <c r="J152" s="7" t="s">
        <v>14</v>
      </c>
      <c r="K152" s="7" t="s">
        <v>15</v>
      </c>
      <c r="L152" s="7" t="s">
        <v>16</v>
      </c>
      <c r="M152" s="7" t="s">
        <v>17</v>
      </c>
      <c r="N152" s="7" t="s">
        <v>18</v>
      </c>
    </row>
    <row r="153" spans="1:14" x14ac:dyDescent="0.25">
      <c r="A153" s="4" t="str">
        <f>B145</f>
        <v>Al ingot production in North America</v>
      </c>
      <c r="B153" s="4" t="str">
        <f>B146</f>
        <v>Al ingot</v>
      </c>
      <c r="C153" s="4" t="str">
        <f>B147</f>
        <v>North America</v>
      </c>
      <c r="D153" s="4">
        <v>1</v>
      </c>
      <c r="E153" s="4" t="s">
        <v>5</v>
      </c>
      <c r="F153" s="6" t="str">
        <f>F119</f>
        <v>Aluminium</v>
      </c>
      <c r="G153" s="4" t="s">
        <v>19</v>
      </c>
    </row>
    <row r="154" spans="1:14" x14ac:dyDescent="0.25">
      <c r="A154" s="4" t="str">
        <f>A119</f>
        <v>[R] Casting</v>
      </c>
      <c r="B154" s="4" t="str">
        <f>B119</f>
        <v>Al ingot</v>
      </c>
      <c r="C154" s="4" t="str">
        <f>C119</f>
        <v>North America</v>
      </c>
      <c r="D154" s="4">
        <v>1</v>
      </c>
      <c r="E154" s="4" t="str">
        <f>E119</f>
        <v>kilogram</v>
      </c>
      <c r="F154" s="6" t="str">
        <f>F119</f>
        <v>Aluminium</v>
      </c>
      <c r="G154" s="4" t="s">
        <v>25</v>
      </c>
    </row>
    <row r="155" spans="1:14" x14ac:dyDescent="0.25">
      <c r="A155" s="4" t="str">
        <f>A77</f>
        <v>[R] Electrolysis</v>
      </c>
      <c r="B155" s="4" t="str">
        <f t="shared" ref="B155:F155" si="0">B77</f>
        <v>Liquid aluminium (Al)</v>
      </c>
      <c r="C155" s="4" t="str">
        <f t="shared" si="0"/>
        <v>North America</v>
      </c>
      <c r="D155" s="4">
        <v>1</v>
      </c>
      <c r="E155" s="4" t="str">
        <f t="shared" si="0"/>
        <v>kilogram</v>
      </c>
      <c r="F155" s="6" t="str">
        <f t="shared" si="0"/>
        <v>Aluminium</v>
      </c>
      <c r="G155" s="4" t="s">
        <v>25</v>
      </c>
    </row>
    <row r="156" spans="1:14" x14ac:dyDescent="0.25">
      <c r="A156" s="4" t="str">
        <f>A41</f>
        <v>[P] Anode/Paste production</v>
      </c>
      <c r="B156" s="4" t="str">
        <f t="shared" ref="B156:F156" si="1">B41</f>
        <v>Anode/Paste</v>
      </c>
      <c r="C156" s="4" t="str">
        <f t="shared" si="1"/>
        <v>North America</v>
      </c>
      <c r="D156" s="4">
        <v>0.51370009855481802</v>
      </c>
      <c r="E156" s="4" t="str">
        <f t="shared" si="1"/>
        <v>kilogram</v>
      </c>
      <c r="F156" s="6" t="str">
        <f t="shared" si="1"/>
        <v>Aluminium</v>
      </c>
      <c r="G156" s="4" t="s">
        <v>25</v>
      </c>
    </row>
    <row r="157" spans="1:14" x14ac:dyDescent="0.25">
      <c r="A157" s="4" t="str">
        <f>A9</f>
        <v>[P] Alumina production</v>
      </c>
      <c r="B157" s="4" t="str">
        <f t="shared" ref="B157:F157" si="2">B9</f>
        <v>Alumina</v>
      </c>
      <c r="C157" s="4" t="str">
        <f t="shared" si="2"/>
        <v>North America</v>
      </c>
      <c r="D157" s="4">
        <v>1.9663483354298821</v>
      </c>
      <c r="E157" s="4" t="str">
        <f t="shared" si="2"/>
        <v>kilogram</v>
      </c>
      <c r="F157" s="6" t="str">
        <f t="shared" si="2"/>
        <v>Aluminium</v>
      </c>
      <c r="G157" s="4" t="s">
        <v>25</v>
      </c>
    </row>
    <row r="158" spans="1:14" x14ac:dyDescent="0.25">
      <c r="A158" s="4" t="str">
        <f>Al_Mining_GLO!A9</f>
        <v>[M+C] Bauxite mining - Global</v>
      </c>
      <c r="B158" s="4" t="str">
        <f>Al_Mining_GLO!B9</f>
        <v>Bauxite</v>
      </c>
      <c r="C158" s="4" t="str">
        <f>Al_Mining_GLO!C9</f>
        <v>GLO</v>
      </c>
      <c r="D158" s="4">
        <v>4.6227066376451162</v>
      </c>
      <c r="E158" s="4" t="str">
        <f>Al_Mining_GLO!E9</f>
        <v>kilogram</v>
      </c>
      <c r="F158" s="6" t="str">
        <f>Al_Mining_GLO!F9</f>
        <v>Aluminium</v>
      </c>
      <c r="G158" s="4" t="s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8" tint="0.39997558519241921"/>
  </sheetPr>
  <dimension ref="A1:N170"/>
  <sheetViews>
    <sheetView workbookViewId="0">
      <selection activeCell="D170" sqref="D170"/>
    </sheetView>
  </sheetViews>
  <sheetFormatPr baseColWidth="10" defaultColWidth="8.7109375" defaultRowHeight="15" x14ac:dyDescent="0.25"/>
  <cols>
    <col min="1" max="1" width="61.5703125" style="11" bestFit="1" customWidth="1"/>
    <col min="2" max="2" width="51.5703125" style="11" bestFit="1" customWidth="1"/>
    <col min="3" max="3" width="25.85546875" style="11" bestFit="1" customWidth="1"/>
    <col min="4" max="4" width="12.7109375" style="11" bestFit="1" customWidth="1"/>
    <col min="5" max="5" width="17.5703125" style="11" bestFit="1" customWidth="1"/>
    <col min="6" max="6" width="19.7109375" style="11" bestFit="1" customWidth="1"/>
    <col min="7" max="7" width="13.28515625" style="11" bestFit="1" customWidth="1"/>
    <col min="8" max="8" width="25.28515625" style="11" bestFit="1" customWidth="1"/>
    <col min="9" max="9" width="15.5703125" style="11" bestFit="1" customWidth="1"/>
    <col min="10" max="10" width="9.7109375" style="11" bestFit="1" customWidth="1"/>
    <col min="11" max="11" width="3.5703125" style="11" bestFit="1" customWidth="1"/>
    <col min="12" max="12" width="5.42578125" style="11" bestFit="1" customWidth="1"/>
    <col min="13" max="13" width="9.5703125" style="11" bestFit="1" customWidth="1"/>
    <col min="14" max="14" width="9.85546875" style="11" bestFit="1" customWidth="1"/>
    <col min="15" max="16384" width="8.7109375" style="11"/>
  </cols>
  <sheetData>
    <row r="1" spans="1:14" x14ac:dyDescent="0.25">
      <c r="A1" s="10" t="s">
        <v>0</v>
      </c>
      <c r="B1" s="10" t="s">
        <v>119</v>
      </c>
    </row>
    <row r="2" spans="1:14" x14ac:dyDescent="0.25">
      <c r="A2" s="12" t="s">
        <v>1</v>
      </c>
      <c r="B2" s="11" t="s">
        <v>120</v>
      </c>
    </row>
    <row r="3" spans="1:14" x14ac:dyDescent="0.25">
      <c r="A3" s="12" t="s">
        <v>2</v>
      </c>
      <c r="B3" s="11" t="s">
        <v>180</v>
      </c>
    </row>
    <row r="4" spans="1:14" x14ac:dyDescent="0.25">
      <c r="A4" s="12" t="s">
        <v>3</v>
      </c>
      <c r="B4" s="13">
        <v>1</v>
      </c>
    </row>
    <row r="5" spans="1:14" x14ac:dyDescent="0.25">
      <c r="A5" s="12" t="s">
        <v>4</v>
      </c>
      <c r="B5" s="11" t="s">
        <v>5</v>
      </c>
    </row>
    <row r="6" spans="1:14" x14ac:dyDescent="0.25">
      <c r="A6" s="12" t="s">
        <v>6</v>
      </c>
      <c r="B6" s="11" t="s">
        <v>7</v>
      </c>
    </row>
    <row r="7" spans="1:14" x14ac:dyDescent="0.25">
      <c r="A7" s="12" t="s">
        <v>8</v>
      </c>
    </row>
    <row r="8" spans="1:14" x14ac:dyDescent="0.25">
      <c r="A8" s="10" t="s">
        <v>9</v>
      </c>
      <c r="B8" s="10" t="s">
        <v>1</v>
      </c>
      <c r="C8" s="10" t="s">
        <v>2</v>
      </c>
      <c r="D8" s="10" t="s">
        <v>3</v>
      </c>
      <c r="E8" s="10" t="s">
        <v>4</v>
      </c>
      <c r="F8" s="10" t="s">
        <v>10</v>
      </c>
      <c r="G8" s="10" t="s">
        <v>11</v>
      </c>
      <c r="H8" s="10" t="s">
        <v>12</v>
      </c>
      <c r="I8" s="10" t="s">
        <v>13</v>
      </c>
      <c r="J8" s="10" t="s">
        <v>14</v>
      </c>
      <c r="K8" s="10" t="s">
        <v>15</v>
      </c>
      <c r="L8" s="10" t="s">
        <v>16</v>
      </c>
      <c r="M8" s="10" t="s">
        <v>17</v>
      </c>
      <c r="N8" s="10" t="s">
        <v>18</v>
      </c>
    </row>
    <row r="9" spans="1:14" x14ac:dyDescent="0.25">
      <c r="A9" s="11" t="str">
        <f>B1</f>
        <v>[P] Alumina production</v>
      </c>
      <c r="B9" s="11" t="str">
        <f>B2</f>
        <v>Alumina</v>
      </c>
      <c r="C9" s="11" t="str">
        <f>B3</f>
        <v>Europe</v>
      </c>
      <c r="D9" s="13">
        <v>1</v>
      </c>
      <c r="E9" s="11" t="s">
        <v>5</v>
      </c>
      <c r="F9" s="14" t="str">
        <f>Al_Market_GLO!B1</f>
        <v>Aluminium</v>
      </c>
      <c r="G9" s="11" t="s">
        <v>19</v>
      </c>
    </row>
    <row r="10" spans="1:14" x14ac:dyDescent="0.25">
      <c r="A10" s="11" t="s">
        <v>121</v>
      </c>
      <c r="B10" s="11" t="s">
        <v>122</v>
      </c>
      <c r="C10" s="11" t="s">
        <v>22</v>
      </c>
      <c r="D10" s="11">
        <v>5.7400451893402149</v>
      </c>
      <c r="E10" s="11" t="s">
        <v>105</v>
      </c>
      <c r="F10" s="11" t="s">
        <v>24</v>
      </c>
      <c r="G10" s="11" t="s">
        <v>25</v>
      </c>
      <c r="J10" s="11" t="s">
        <v>127</v>
      </c>
    </row>
    <row r="11" spans="1:14" x14ac:dyDescent="0.25">
      <c r="A11" s="11" t="s">
        <v>32</v>
      </c>
      <c r="B11" s="11" t="s">
        <v>33</v>
      </c>
      <c r="C11" s="11" t="s">
        <v>89</v>
      </c>
      <c r="D11" s="11">
        <v>7.4898814035167502E-2</v>
      </c>
      <c r="E11" s="11" t="s">
        <v>5</v>
      </c>
      <c r="F11" s="11" t="s">
        <v>24</v>
      </c>
      <c r="G11" s="11" t="s">
        <v>25</v>
      </c>
      <c r="J11" s="11" t="s">
        <v>127</v>
      </c>
    </row>
    <row r="12" spans="1:14" x14ac:dyDescent="0.25">
      <c r="A12" s="11" t="s">
        <v>77</v>
      </c>
      <c r="B12" s="11" t="s">
        <v>78</v>
      </c>
      <c r="C12" s="11" t="s">
        <v>88</v>
      </c>
      <c r="D12" s="11">
        <v>2.1731379416234601E-2</v>
      </c>
      <c r="E12" s="11" t="s">
        <v>5</v>
      </c>
      <c r="F12" s="11" t="s">
        <v>24</v>
      </c>
      <c r="G12" s="11" t="s">
        <v>25</v>
      </c>
      <c r="J12" s="11" t="s">
        <v>127</v>
      </c>
    </row>
    <row r="13" spans="1:14" x14ac:dyDescent="0.25">
      <c r="A13" s="11" t="s">
        <v>110</v>
      </c>
      <c r="B13" s="11" t="s">
        <v>111</v>
      </c>
      <c r="C13" s="11" t="s">
        <v>88</v>
      </c>
      <c r="D13" s="11">
        <v>7.9847752502423862E-4</v>
      </c>
      <c r="E13" s="11" t="s">
        <v>5</v>
      </c>
      <c r="F13" s="11" t="s">
        <v>24</v>
      </c>
      <c r="G13" s="11" t="s">
        <v>25</v>
      </c>
      <c r="J13" s="11" t="s">
        <v>61</v>
      </c>
    </row>
    <row r="14" spans="1:14" x14ac:dyDescent="0.25">
      <c r="A14" s="11" t="s">
        <v>20</v>
      </c>
      <c r="B14" s="11" t="s">
        <v>21</v>
      </c>
      <c r="C14" s="11" t="s">
        <v>22</v>
      </c>
      <c r="D14" s="11">
        <v>1.176055148834523E-2</v>
      </c>
      <c r="E14" s="11" t="s">
        <v>23</v>
      </c>
      <c r="F14" s="11" t="s">
        <v>24</v>
      </c>
      <c r="G14" s="11" t="s">
        <v>25</v>
      </c>
      <c r="J14" s="11" t="s">
        <v>61</v>
      </c>
    </row>
    <row r="15" spans="1:14" x14ac:dyDescent="0.25">
      <c r="A15" s="11" t="s">
        <v>181</v>
      </c>
      <c r="B15" s="11" t="s">
        <v>58</v>
      </c>
      <c r="C15" s="11" t="s">
        <v>88</v>
      </c>
      <c r="D15" s="11">
        <v>0.23946015294062001</v>
      </c>
      <c r="E15" s="11" t="s">
        <v>49</v>
      </c>
      <c r="F15" s="11" t="s">
        <v>24</v>
      </c>
      <c r="G15" s="11" t="s">
        <v>25</v>
      </c>
      <c r="J15" s="11" t="s">
        <v>61</v>
      </c>
    </row>
    <row r="16" spans="1:14" x14ac:dyDescent="0.25">
      <c r="A16" s="11" t="s">
        <v>26</v>
      </c>
      <c r="B16" s="11" t="s">
        <v>27</v>
      </c>
      <c r="C16" s="11" t="s">
        <v>89</v>
      </c>
      <c r="D16" s="11">
        <v>0.1525067638301689</v>
      </c>
      <c r="E16" s="11" t="s">
        <v>28</v>
      </c>
      <c r="F16" s="11" t="s">
        <v>24</v>
      </c>
      <c r="G16" s="11" t="s">
        <v>25</v>
      </c>
      <c r="J16" s="11" t="s">
        <v>61</v>
      </c>
    </row>
    <row r="17" spans="1:10" x14ac:dyDescent="0.25">
      <c r="A17" s="11" t="s">
        <v>161</v>
      </c>
      <c r="B17" s="11" t="s">
        <v>162</v>
      </c>
      <c r="C17" s="11" t="s">
        <v>163</v>
      </c>
      <c r="D17" s="11">
        <v>9.4259379859566676E-3</v>
      </c>
      <c r="E17" s="11" t="s">
        <v>28</v>
      </c>
      <c r="F17" s="11" t="s">
        <v>24</v>
      </c>
      <c r="G17" s="11" t="s">
        <v>25</v>
      </c>
      <c r="J17" s="11" t="s">
        <v>61</v>
      </c>
    </row>
    <row r="18" spans="1:10" x14ac:dyDescent="0.25">
      <c r="A18" s="11" t="s">
        <v>36</v>
      </c>
      <c r="B18" s="11" t="s">
        <v>37</v>
      </c>
      <c r="C18" s="11" t="s">
        <v>29</v>
      </c>
      <c r="D18" s="11">
        <v>-2.90461588690215E-2</v>
      </c>
      <c r="E18" s="11" t="s">
        <v>5</v>
      </c>
      <c r="F18" s="11" t="s">
        <v>24</v>
      </c>
      <c r="G18" s="11" t="s">
        <v>25</v>
      </c>
      <c r="J18" s="11" t="s">
        <v>141</v>
      </c>
    </row>
    <row r="19" spans="1:10" x14ac:dyDescent="0.25">
      <c r="A19" s="11" t="s">
        <v>130</v>
      </c>
      <c r="B19" s="11" t="s">
        <v>131</v>
      </c>
      <c r="C19" s="11" t="s">
        <v>89</v>
      </c>
      <c r="D19" s="11">
        <v>-0.84690457578839795</v>
      </c>
      <c r="E19" s="11" t="s">
        <v>5</v>
      </c>
      <c r="F19" s="11" t="s">
        <v>24</v>
      </c>
      <c r="G19" s="11" t="s">
        <v>25</v>
      </c>
      <c r="J19" s="11" t="s">
        <v>61</v>
      </c>
    </row>
    <row r="20" spans="1:10" x14ac:dyDescent="0.25">
      <c r="A20" s="11" t="s">
        <v>36</v>
      </c>
      <c r="B20" s="11" t="s">
        <v>37</v>
      </c>
      <c r="C20" s="11" t="s">
        <v>29</v>
      </c>
      <c r="D20" s="11">
        <v>-6.3879387440215027E-2</v>
      </c>
      <c r="E20" s="11" t="s">
        <v>5</v>
      </c>
      <c r="F20" s="11" t="s">
        <v>24</v>
      </c>
      <c r="G20" s="11" t="s">
        <v>25</v>
      </c>
      <c r="J20" s="11" t="s">
        <v>127</v>
      </c>
    </row>
    <row r="21" spans="1:10" x14ac:dyDescent="0.25">
      <c r="A21" s="11" t="s">
        <v>38</v>
      </c>
      <c r="B21" s="11" t="s">
        <v>39</v>
      </c>
      <c r="C21" s="11" t="s">
        <v>88</v>
      </c>
      <c r="D21" s="11">
        <v>-4.9821882846204099E-3</v>
      </c>
      <c r="E21" s="11" t="s">
        <v>5</v>
      </c>
      <c r="F21" s="11" t="s">
        <v>24</v>
      </c>
      <c r="G21" s="11" t="s">
        <v>25</v>
      </c>
      <c r="J21" s="11" t="s">
        <v>127</v>
      </c>
    </row>
    <row r="22" spans="1:10" x14ac:dyDescent="0.25">
      <c r="A22" s="11" t="s">
        <v>48</v>
      </c>
      <c r="D22" s="11">
        <v>3.5184161142782599E-3</v>
      </c>
      <c r="E22" s="11" t="s">
        <v>49</v>
      </c>
      <c r="F22" s="11" t="s">
        <v>42</v>
      </c>
      <c r="G22" s="11" t="s">
        <v>43</v>
      </c>
      <c r="H22" s="11" t="s">
        <v>47</v>
      </c>
      <c r="J22" s="11" t="s">
        <v>127</v>
      </c>
    </row>
    <row r="23" spans="1:10" x14ac:dyDescent="0.25">
      <c r="A23" s="11" t="s">
        <v>182</v>
      </c>
      <c r="D23" s="11">
        <v>6.7471209151727201E-4</v>
      </c>
      <c r="E23" s="11" t="s">
        <v>45</v>
      </c>
      <c r="F23" s="11" t="s">
        <v>42</v>
      </c>
      <c r="G23" s="11" t="s">
        <v>43</v>
      </c>
      <c r="H23" s="11" t="s">
        <v>44</v>
      </c>
      <c r="J23" s="11" t="s">
        <v>61</v>
      </c>
    </row>
    <row r="24" spans="1:10" x14ac:dyDescent="0.25">
      <c r="A24" s="11" t="s">
        <v>46</v>
      </c>
      <c r="D24" s="11">
        <v>6.7471209151727201E-4</v>
      </c>
      <c r="E24" s="11" t="s">
        <v>45</v>
      </c>
      <c r="F24" s="11" t="s">
        <v>42</v>
      </c>
      <c r="G24" s="11" t="s">
        <v>43</v>
      </c>
      <c r="H24" s="11" t="s">
        <v>44</v>
      </c>
      <c r="J24" s="11" t="s">
        <v>61</v>
      </c>
    </row>
    <row r="25" spans="1:10" x14ac:dyDescent="0.25">
      <c r="A25" s="11" t="s">
        <v>40</v>
      </c>
      <c r="D25" s="11">
        <v>1.014240971655184E-8</v>
      </c>
      <c r="E25" s="11" t="s">
        <v>41</v>
      </c>
      <c r="F25" s="11" t="s">
        <v>42</v>
      </c>
      <c r="G25" s="11" t="s">
        <v>43</v>
      </c>
      <c r="H25" s="11" t="s">
        <v>44</v>
      </c>
      <c r="J25" s="11" t="s">
        <v>127</v>
      </c>
    </row>
    <row r="26" spans="1:10" x14ac:dyDescent="0.25">
      <c r="A26" s="11" t="s">
        <v>64</v>
      </c>
      <c r="D26" s="11">
        <v>2.6185526889415999E-5</v>
      </c>
      <c r="E26" s="11" t="s">
        <v>5</v>
      </c>
      <c r="F26" s="11" t="s">
        <v>42</v>
      </c>
      <c r="G26" s="11" t="s">
        <v>43</v>
      </c>
      <c r="H26" s="11" t="s">
        <v>63</v>
      </c>
      <c r="J26" s="11" t="s">
        <v>127</v>
      </c>
    </row>
    <row r="27" spans="1:10" x14ac:dyDescent="0.25">
      <c r="A27" s="11" t="s">
        <v>62</v>
      </c>
      <c r="D27" s="11">
        <v>1.1867932001013661E-5</v>
      </c>
      <c r="E27" s="11" t="s">
        <v>5</v>
      </c>
      <c r="F27" s="11" t="s">
        <v>42</v>
      </c>
      <c r="G27" s="11" t="s">
        <v>43</v>
      </c>
      <c r="H27" s="11" t="s">
        <v>63</v>
      </c>
      <c r="J27" s="11" t="s">
        <v>127</v>
      </c>
    </row>
    <row r="28" spans="1:10" x14ac:dyDescent="0.25">
      <c r="A28" s="11" t="s">
        <v>73</v>
      </c>
      <c r="D28" s="11">
        <v>2.449145567275852E-4</v>
      </c>
      <c r="E28" s="11" t="s">
        <v>5</v>
      </c>
      <c r="F28" s="11" t="s">
        <v>42</v>
      </c>
      <c r="G28" s="11" t="s">
        <v>43</v>
      </c>
      <c r="H28" s="11" t="s">
        <v>63</v>
      </c>
      <c r="J28" s="11" t="s">
        <v>127</v>
      </c>
    </row>
    <row r="29" spans="1:10" x14ac:dyDescent="0.25">
      <c r="A29" s="11" t="s">
        <v>118</v>
      </c>
      <c r="D29" s="11">
        <v>3.5747963989317898E-3</v>
      </c>
      <c r="E29" s="11" t="s">
        <v>49</v>
      </c>
      <c r="F29" s="11" t="s">
        <v>42</v>
      </c>
      <c r="G29" s="11" t="s">
        <v>43</v>
      </c>
      <c r="H29" s="11" t="s">
        <v>96</v>
      </c>
      <c r="J29" s="11" t="s">
        <v>127</v>
      </c>
    </row>
    <row r="30" spans="1:10" x14ac:dyDescent="0.25">
      <c r="A30" s="11" t="s">
        <v>97</v>
      </c>
      <c r="D30" s="11">
        <v>2.3290329662471301E-4</v>
      </c>
      <c r="E30" s="11" t="s">
        <v>5</v>
      </c>
      <c r="F30" s="11" t="s">
        <v>42</v>
      </c>
      <c r="G30" s="11" t="s">
        <v>43</v>
      </c>
      <c r="H30" s="11" t="s">
        <v>96</v>
      </c>
      <c r="J30" s="11" t="s">
        <v>127</v>
      </c>
    </row>
    <row r="31" spans="1:10" s="8" customFormat="1" x14ac:dyDescent="0.25"/>
    <row r="32" spans="1:10" x14ac:dyDescent="0.25">
      <c r="A32" s="10" t="s">
        <v>0</v>
      </c>
      <c r="B32" s="10" t="s">
        <v>133</v>
      </c>
    </row>
    <row r="33" spans="1:14" x14ac:dyDescent="0.25">
      <c r="A33" s="12" t="s">
        <v>1</v>
      </c>
      <c r="B33" s="11" t="s">
        <v>134</v>
      </c>
    </row>
    <row r="34" spans="1:14" x14ac:dyDescent="0.25">
      <c r="A34" s="12" t="s">
        <v>2</v>
      </c>
      <c r="B34" s="11" t="s">
        <v>180</v>
      </c>
    </row>
    <row r="35" spans="1:14" x14ac:dyDescent="0.25">
      <c r="A35" s="12" t="s">
        <v>3</v>
      </c>
      <c r="B35" s="13">
        <v>1</v>
      </c>
    </row>
    <row r="36" spans="1:14" x14ac:dyDescent="0.25">
      <c r="A36" s="12" t="s">
        <v>4</v>
      </c>
      <c r="B36" s="11" t="s">
        <v>5</v>
      </c>
    </row>
    <row r="37" spans="1:14" x14ac:dyDescent="0.25">
      <c r="A37" s="12" t="s">
        <v>6</v>
      </c>
      <c r="B37" s="11" t="s">
        <v>7</v>
      </c>
    </row>
    <row r="38" spans="1:14" x14ac:dyDescent="0.25">
      <c r="A38" s="12" t="s">
        <v>8</v>
      </c>
    </row>
    <row r="39" spans="1:14" x14ac:dyDescent="0.25">
      <c r="A39" s="10" t="s">
        <v>9</v>
      </c>
      <c r="B39" s="10" t="s">
        <v>1</v>
      </c>
      <c r="C39" s="10" t="s">
        <v>2</v>
      </c>
      <c r="D39" s="10" t="s">
        <v>3</v>
      </c>
      <c r="E39" s="10" t="s">
        <v>4</v>
      </c>
      <c r="F39" s="10" t="s">
        <v>10</v>
      </c>
      <c r="G39" s="10" t="s">
        <v>11</v>
      </c>
      <c r="H39" s="10" t="s">
        <v>12</v>
      </c>
      <c r="I39" s="10" t="s">
        <v>13</v>
      </c>
      <c r="J39" s="10" t="s">
        <v>14</v>
      </c>
      <c r="K39" s="10" t="s">
        <v>15</v>
      </c>
      <c r="L39" s="10" t="s">
        <v>16</v>
      </c>
      <c r="M39" s="10" t="s">
        <v>17</v>
      </c>
      <c r="N39" s="10" t="s">
        <v>18</v>
      </c>
    </row>
    <row r="40" spans="1:14" x14ac:dyDescent="0.25">
      <c r="A40" s="11" t="str">
        <f>B32</f>
        <v>[P] Anode/Paste production</v>
      </c>
      <c r="B40" s="11" t="str">
        <f>B33</f>
        <v>Anode/Paste</v>
      </c>
      <c r="C40" s="11" t="str">
        <f>B34</f>
        <v>Europe</v>
      </c>
      <c r="D40" s="13">
        <v>1</v>
      </c>
      <c r="E40" s="11" t="s">
        <v>5</v>
      </c>
      <c r="F40" s="14" t="str">
        <f>F9</f>
        <v>Aluminium</v>
      </c>
      <c r="G40" s="11" t="s">
        <v>19</v>
      </c>
    </row>
    <row r="41" spans="1:14" x14ac:dyDescent="0.25">
      <c r="A41" s="11" t="s">
        <v>135</v>
      </c>
      <c r="B41" s="11" t="s">
        <v>136</v>
      </c>
      <c r="C41" s="11" t="s">
        <v>22</v>
      </c>
      <c r="D41" s="11">
        <v>0.95013090276312329</v>
      </c>
      <c r="E41" s="11" t="s">
        <v>5</v>
      </c>
      <c r="F41" s="11" t="s">
        <v>24</v>
      </c>
      <c r="G41" s="11" t="s">
        <v>25</v>
      </c>
      <c r="J41" s="11" t="s">
        <v>112</v>
      </c>
    </row>
    <row r="42" spans="1:14" x14ac:dyDescent="0.25">
      <c r="A42" s="11" t="s">
        <v>137</v>
      </c>
      <c r="B42" s="11" t="s">
        <v>138</v>
      </c>
      <c r="C42" s="11" t="s">
        <v>88</v>
      </c>
      <c r="D42" s="11">
        <v>0.1568604137789443</v>
      </c>
      <c r="E42" s="11" t="s">
        <v>5</v>
      </c>
      <c r="F42" s="11" t="s">
        <v>24</v>
      </c>
      <c r="G42" s="11" t="s">
        <v>25</v>
      </c>
      <c r="J42" s="11" t="s">
        <v>112</v>
      </c>
    </row>
    <row r="43" spans="1:14" x14ac:dyDescent="0.25">
      <c r="A43" s="11" t="s">
        <v>139</v>
      </c>
      <c r="B43" s="11" t="s">
        <v>140</v>
      </c>
      <c r="C43" s="11" t="s">
        <v>22</v>
      </c>
      <c r="D43" s="11">
        <v>1.508512319517276E-3</v>
      </c>
      <c r="E43" s="11" t="s">
        <v>5</v>
      </c>
      <c r="F43" s="11" t="s">
        <v>24</v>
      </c>
      <c r="G43" s="11" t="s">
        <v>25</v>
      </c>
      <c r="J43" s="11" t="s">
        <v>116</v>
      </c>
    </row>
    <row r="44" spans="1:14" x14ac:dyDescent="0.25">
      <c r="A44" s="11" t="s">
        <v>34</v>
      </c>
      <c r="B44" s="11" t="s">
        <v>35</v>
      </c>
      <c r="C44" s="11" t="s">
        <v>22</v>
      </c>
      <c r="D44" s="11">
        <v>5.2093811249633382E-3</v>
      </c>
      <c r="E44" s="11" t="s">
        <v>5</v>
      </c>
      <c r="F44" s="11" t="s">
        <v>24</v>
      </c>
      <c r="G44" s="11" t="s">
        <v>25</v>
      </c>
      <c r="J44" s="11" t="s">
        <v>112</v>
      </c>
    </row>
    <row r="45" spans="1:14" x14ac:dyDescent="0.25">
      <c r="A45" s="11" t="s">
        <v>110</v>
      </c>
      <c r="B45" s="11" t="s">
        <v>111</v>
      </c>
      <c r="C45" s="11" t="s">
        <v>29</v>
      </c>
      <c r="D45" s="11">
        <v>1.7800156546887071E-2</v>
      </c>
      <c r="E45" s="11" t="s">
        <v>5</v>
      </c>
      <c r="F45" s="11" t="s">
        <v>24</v>
      </c>
      <c r="G45" s="11" t="s">
        <v>25</v>
      </c>
      <c r="J45" s="11" t="s">
        <v>112</v>
      </c>
    </row>
    <row r="46" spans="1:14" x14ac:dyDescent="0.25">
      <c r="A46" s="11" t="s">
        <v>20</v>
      </c>
      <c r="B46" s="11" t="s">
        <v>21</v>
      </c>
      <c r="C46" s="11" t="s">
        <v>22</v>
      </c>
      <c r="D46" s="11">
        <v>1.5884469515742239E-2</v>
      </c>
      <c r="E46" s="11" t="s">
        <v>23</v>
      </c>
      <c r="F46" s="11" t="s">
        <v>24</v>
      </c>
      <c r="G46" s="11" t="s">
        <v>25</v>
      </c>
      <c r="J46" s="11" t="s">
        <v>112</v>
      </c>
    </row>
    <row r="47" spans="1:14" x14ac:dyDescent="0.25">
      <c r="A47" s="11" t="s">
        <v>181</v>
      </c>
      <c r="B47" s="11" t="s">
        <v>58</v>
      </c>
      <c r="C47" s="11" t="s">
        <v>88</v>
      </c>
      <c r="D47" s="11">
        <v>1.235845511359334E-2</v>
      </c>
      <c r="E47" s="11" t="s">
        <v>49</v>
      </c>
      <c r="F47" s="11" t="s">
        <v>24</v>
      </c>
      <c r="G47" s="11" t="s">
        <v>25</v>
      </c>
      <c r="J47" s="11" t="s">
        <v>112</v>
      </c>
    </row>
    <row r="48" spans="1:14" x14ac:dyDescent="0.25">
      <c r="A48" s="11" t="s">
        <v>26</v>
      </c>
      <c r="B48" s="11" t="s">
        <v>27</v>
      </c>
      <c r="C48" s="11" t="s">
        <v>89</v>
      </c>
      <c r="D48" s="11">
        <v>7.1273912688307947E-2</v>
      </c>
      <c r="E48" s="11" t="s">
        <v>28</v>
      </c>
      <c r="F48" s="11" t="s">
        <v>24</v>
      </c>
      <c r="G48" s="11" t="s">
        <v>25</v>
      </c>
      <c r="J48" s="11" t="s">
        <v>112</v>
      </c>
    </row>
    <row r="49" spans="1:10" x14ac:dyDescent="0.25">
      <c r="A49" s="11" t="s">
        <v>161</v>
      </c>
      <c r="B49" s="11" t="s">
        <v>162</v>
      </c>
      <c r="C49" s="11" t="s">
        <v>163</v>
      </c>
      <c r="D49" s="11">
        <v>0.36291866037726689</v>
      </c>
      <c r="E49" s="11" t="s">
        <v>28</v>
      </c>
      <c r="F49" s="11" t="s">
        <v>24</v>
      </c>
      <c r="G49" s="11" t="s">
        <v>25</v>
      </c>
      <c r="J49" s="11" t="s">
        <v>112</v>
      </c>
    </row>
    <row r="50" spans="1:10" x14ac:dyDescent="0.25">
      <c r="A50" s="11" t="s">
        <v>142</v>
      </c>
      <c r="B50" s="11" t="s">
        <v>143</v>
      </c>
      <c r="C50" s="11" t="s">
        <v>89</v>
      </c>
      <c r="D50" s="11">
        <v>-3.1514427636760941E-3</v>
      </c>
      <c r="E50" s="11" t="s">
        <v>5</v>
      </c>
      <c r="F50" s="11" t="s">
        <v>24</v>
      </c>
      <c r="G50" s="11" t="s">
        <v>25</v>
      </c>
      <c r="J50" s="11" t="s">
        <v>127</v>
      </c>
    </row>
    <row r="51" spans="1:10" x14ac:dyDescent="0.25">
      <c r="A51" s="11" t="s">
        <v>144</v>
      </c>
      <c r="B51" s="11" t="s">
        <v>76</v>
      </c>
      <c r="C51" s="11" t="s">
        <v>88</v>
      </c>
      <c r="D51" s="11">
        <v>-5.6714516241657728E-4</v>
      </c>
      <c r="E51" s="11" t="s">
        <v>5</v>
      </c>
      <c r="F51" s="11" t="s">
        <v>24</v>
      </c>
      <c r="G51" s="11" t="s">
        <v>25</v>
      </c>
      <c r="J51" s="11" t="s">
        <v>112</v>
      </c>
    </row>
    <row r="52" spans="1:10" x14ac:dyDescent="0.25">
      <c r="A52" s="11" t="s">
        <v>36</v>
      </c>
      <c r="B52" s="11" t="s">
        <v>37</v>
      </c>
      <c r="C52" s="11" t="s">
        <v>29</v>
      </c>
      <c r="D52" s="11">
        <v>-3.7367384278709668E-3</v>
      </c>
      <c r="E52" s="11" t="s">
        <v>5</v>
      </c>
      <c r="F52" s="11" t="s">
        <v>24</v>
      </c>
      <c r="G52" s="11" t="s">
        <v>25</v>
      </c>
      <c r="J52" s="11" t="s">
        <v>116</v>
      </c>
    </row>
    <row r="53" spans="1:10" x14ac:dyDescent="0.25">
      <c r="A53" s="11" t="s">
        <v>145</v>
      </c>
      <c r="B53" s="11" t="s">
        <v>146</v>
      </c>
      <c r="C53" s="11" t="s">
        <v>29</v>
      </c>
      <c r="D53" s="11">
        <v>-1.1350965458813001E-2</v>
      </c>
      <c r="E53" s="11" t="s">
        <v>5</v>
      </c>
      <c r="F53" s="11" t="s">
        <v>24</v>
      </c>
      <c r="G53" s="11" t="s">
        <v>25</v>
      </c>
      <c r="J53" s="11" t="s">
        <v>112</v>
      </c>
    </row>
    <row r="54" spans="1:10" x14ac:dyDescent="0.25">
      <c r="A54" s="11" t="s">
        <v>153</v>
      </c>
      <c r="B54" s="11" t="s">
        <v>154</v>
      </c>
      <c r="C54" s="11" t="s">
        <v>88</v>
      </c>
      <c r="D54" s="11">
        <v>-6.367909414560567E-5</v>
      </c>
      <c r="E54" s="11" t="s">
        <v>5</v>
      </c>
      <c r="F54" s="11" t="s">
        <v>24</v>
      </c>
      <c r="G54" s="11" t="s">
        <v>25</v>
      </c>
      <c r="J54" s="11" t="s">
        <v>112</v>
      </c>
    </row>
    <row r="55" spans="1:10" x14ac:dyDescent="0.25">
      <c r="A55" s="11" t="s">
        <v>142</v>
      </c>
      <c r="B55" s="11" t="s">
        <v>143</v>
      </c>
      <c r="C55" s="11" t="s">
        <v>89</v>
      </c>
      <c r="D55" s="11">
        <v>-1.380318987964864E-3</v>
      </c>
      <c r="E55" s="11" t="s">
        <v>5</v>
      </c>
      <c r="F55" s="11" t="s">
        <v>24</v>
      </c>
      <c r="G55" s="11" t="s">
        <v>25</v>
      </c>
      <c r="J55" s="11" t="s">
        <v>141</v>
      </c>
    </row>
    <row r="56" spans="1:10" x14ac:dyDescent="0.25">
      <c r="A56" s="11" t="s">
        <v>36</v>
      </c>
      <c r="B56" s="11" t="s">
        <v>37</v>
      </c>
      <c r="C56" s="11" t="s">
        <v>29</v>
      </c>
      <c r="D56" s="11">
        <v>-4.6907568217792982E-3</v>
      </c>
      <c r="E56" s="11" t="s">
        <v>5</v>
      </c>
      <c r="F56" s="11" t="s">
        <v>24</v>
      </c>
      <c r="G56" s="11" t="s">
        <v>25</v>
      </c>
      <c r="J56" s="11" t="s">
        <v>112</v>
      </c>
    </row>
    <row r="57" spans="1:10" x14ac:dyDescent="0.25">
      <c r="A57" s="11" t="s">
        <v>38</v>
      </c>
      <c r="B57" s="11" t="s">
        <v>39</v>
      </c>
      <c r="C57" s="11" t="s">
        <v>29</v>
      </c>
      <c r="D57" s="11">
        <v>-3.9452624571910313E-3</v>
      </c>
      <c r="E57" s="11" t="s">
        <v>5</v>
      </c>
      <c r="F57" s="11" t="s">
        <v>24</v>
      </c>
      <c r="G57" s="11" t="s">
        <v>25</v>
      </c>
      <c r="J57" s="11" t="s">
        <v>112</v>
      </c>
    </row>
    <row r="58" spans="1:10" x14ac:dyDescent="0.25">
      <c r="A58" s="11" t="s">
        <v>48</v>
      </c>
      <c r="D58" s="11">
        <v>3.2553868039739441E-3</v>
      </c>
      <c r="E58" s="11" t="s">
        <v>49</v>
      </c>
      <c r="F58" s="11" t="s">
        <v>42</v>
      </c>
      <c r="G58" s="11" t="s">
        <v>43</v>
      </c>
      <c r="H58" s="11" t="s">
        <v>47</v>
      </c>
      <c r="J58" s="11" t="s">
        <v>141</v>
      </c>
    </row>
    <row r="59" spans="1:10" x14ac:dyDescent="0.25">
      <c r="A59" s="11" t="s">
        <v>168</v>
      </c>
      <c r="D59" s="11">
        <v>7.0774955168473068E-3</v>
      </c>
      <c r="E59" s="11" t="s">
        <v>49</v>
      </c>
      <c r="F59" s="11" t="s">
        <v>42</v>
      </c>
      <c r="G59" s="11" t="s">
        <v>43</v>
      </c>
      <c r="H59" s="11" t="s">
        <v>169</v>
      </c>
      <c r="J59" s="11" t="s">
        <v>141</v>
      </c>
    </row>
    <row r="60" spans="1:10" x14ac:dyDescent="0.25">
      <c r="A60" s="11" t="s">
        <v>48</v>
      </c>
      <c r="D60" s="11">
        <v>6.9425813038347247E-4</v>
      </c>
      <c r="E60" s="11" t="s">
        <v>49</v>
      </c>
      <c r="F60" s="11" t="s">
        <v>42</v>
      </c>
      <c r="G60" s="11" t="s">
        <v>43</v>
      </c>
      <c r="H60" s="11" t="s">
        <v>47</v>
      </c>
      <c r="J60" s="11" t="s">
        <v>141</v>
      </c>
    </row>
    <row r="61" spans="1:10" x14ac:dyDescent="0.25">
      <c r="A61" s="11" t="s">
        <v>64</v>
      </c>
      <c r="D61" s="11">
        <v>1.0673140708425739E-4</v>
      </c>
      <c r="E61" s="11" t="s">
        <v>5</v>
      </c>
      <c r="F61" s="11" t="s">
        <v>42</v>
      </c>
      <c r="G61" s="11" t="s">
        <v>43</v>
      </c>
      <c r="H61" s="11" t="s">
        <v>63</v>
      </c>
      <c r="J61" s="11" t="s">
        <v>141</v>
      </c>
    </row>
    <row r="62" spans="1:10" x14ac:dyDescent="0.25">
      <c r="A62" s="11" t="s">
        <v>62</v>
      </c>
      <c r="D62" s="11">
        <v>8.0494717719708153E-4</v>
      </c>
      <c r="E62" s="11" t="s">
        <v>5</v>
      </c>
      <c r="F62" s="11" t="s">
        <v>42</v>
      </c>
      <c r="G62" s="11" t="s">
        <v>43</v>
      </c>
      <c r="H62" s="11" t="s">
        <v>63</v>
      </c>
      <c r="J62" s="11" t="s">
        <v>141</v>
      </c>
    </row>
    <row r="63" spans="1:10" x14ac:dyDescent="0.25">
      <c r="A63" s="11" t="s">
        <v>73</v>
      </c>
      <c r="D63" s="11">
        <v>3.2437570032238321E-4</v>
      </c>
      <c r="E63" s="11" t="s">
        <v>5</v>
      </c>
      <c r="F63" s="11" t="s">
        <v>42</v>
      </c>
      <c r="G63" s="11" t="s">
        <v>43</v>
      </c>
      <c r="H63" s="11" t="s">
        <v>63</v>
      </c>
      <c r="J63" s="11" t="s">
        <v>141</v>
      </c>
    </row>
    <row r="64" spans="1:10" x14ac:dyDescent="0.25">
      <c r="A64" s="11" t="s">
        <v>132</v>
      </c>
      <c r="D64" s="11">
        <v>5.8809484092328932E-5</v>
      </c>
      <c r="E64" s="11" t="s">
        <v>5</v>
      </c>
      <c r="F64" s="11" t="s">
        <v>42</v>
      </c>
      <c r="G64" s="11" t="s">
        <v>43</v>
      </c>
      <c r="H64" s="11" t="s">
        <v>63</v>
      </c>
      <c r="J64" s="11" t="s">
        <v>112</v>
      </c>
    </row>
    <row r="65" spans="1:10" x14ac:dyDescent="0.25">
      <c r="A65" s="11" t="s">
        <v>106</v>
      </c>
      <c r="D65" s="11">
        <v>1.466365533315055E-5</v>
      </c>
      <c r="E65" s="11" t="s">
        <v>5</v>
      </c>
      <c r="F65" s="11" t="s">
        <v>42</v>
      </c>
      <c r="G65" s="11" t="s">
        <v>43</v>
      </c>
      <c r="H65" s="11" t="s">
        <v>63</v>
      </c>
      <c r="J65" s="11" t="s">
        <v>141</v>
      </c>
    </row>
    <row r="66" spans="1:10" x14ac:dyDescent="0.25">
      <c r="A66" s="11" t="s">
        <v>106</v>
      </c>
      <c r="D66" s="11">
        <v>1.3912963773514149E-5</v>
      </c>
      <c r="E66" s="11" t="s">
        <v>5</v>
      </c>
      <c r="F66" s="11" t="s">
        <v>42</v>
      </c>
      <c r="G66" s="11" t="s">
        <v>43</v>
      </c>
      <c r="H66" s="11" t="s">
        <v>63</v>
      </c>
      <c r="J66" s="11" t="s">
        <v>141</v>
      </c>
    </row>
    <row r="67" spans="1:10" x14ac:dyDescent="0.25">
      <c r="A67" s="11" t="s">
        <v>94</v>
      </c>
      <c r="D67" s="11">
        <v>2.9869448644489489E-6</v>
      </c>
      <c r="E67" s="11" t="s">
        <v>5</v>
      </c>
      <c r="F67" s="11" t="s">
        <v>42</v>
      </c>
      <c r="G67" s="11" t="s">
        <v>43</v>
      </c>
      <c r="H67" s="11" t="s">
        <v>63</v>
      </c>
      <c r="J67" s="11" t="s">
        <v>141</v>
      </c>
    </row>
    <row r="68" spans="1:10" x14ac:dyDescent="0.25">
      <c r="A68" s="11" t="s">
        <v>98</v>
      </c>
      <c r="D68" s="11">
        <v>1.1451330119100139E-6</v>
      </c>
      <c r="E68" s="11" t="s">
        <v>5</v>
      </c>
      <c r="F68" s="11" t="s">
        <v>42</v>
      </c>
      <c r="G68" s="11" t="s">
        <v>43</v>
      </c>
      <c r="H68" s="11" t="s">
        <v>63</v>
      </c>
      <c r="J68" s="11" t="s">
        <v>141</v>
      </c>
    </row>
    <row r="69" spans="1:10" x14ac:dyDescent="0.25">
      <c r="A69" s="11" t="s">
        <v>118</v>
      </c>
      <c r="D69" s="11">
        <v>2.5611286735904709E-3</v>
      </c>
      <c r="E69" s="11" t="s">
        <v>49</v>
      </c>
      <c r="F69" s="11" t="s">
        <v>42</v>
      </c>
      <c r="G69" s="11" t="s">
        <v>43</v>
      </c>
      <c r="H69" s="11" t="s">
        <v>96</v>
      </c>
      <c r="J69" s="11" t="s">
        <v>141</v>
      </c>
    </row>
    <row r="70" spans="1:10" x14ac:dyDescent="0.25">
      <c r="A70" s="11" t="s">
        <v>118</v>
      </c>
      <c r="D70" s="11">
        <v>7.0774955168473068E-3</v>
      </c>
      <c r="E70" s="11" t="s">
        <v>49</v>
      </c>
      <c r="F70" s="11" t="s">
        <v>42</v>
      </c>
      <c r="G70" s="11" t="s">
        <v>43</v>
      </c>
      <c r="H70" s="11" t="s">
        <v>171</v>
      </c>
      <c r="J70" s="11" t="s">
        <v>141</v>
      </c>
    </row>
    <row r="71" spans="1:10" x14ac:dyDescent="0.25">
      <c r="A71" s="11" t="s">
        <v>97</v>
      </c>
      <c r="D71" s="11">
        <v>2.477910558390376E-5</v>
      </c>
      <c r="E71" s="11" t="s">
        <v>5</v>
      </c>
      <c r="F71" s="11" t="s">
        <v>42</v>
      </c>
      <c r="G71" s="11" t="s">
        <v>43</v>
      </c>
      <c r="H71" s="11" t="s">
        <v>96</v>
      </c>
      <c r="J71" s="11" t="s">
        <v>141</v>
      </c>
    </row>
    <row r="72" spans="1:10" x14ac:dyDescent="0.25">
      <c r="A72" s="11" t="s">
        <v>106</v>
      </c>
      <c r="D72" s="11">
        <v>2.4177340524142591E-5</v>
      </c>
      <c r="E72" s="11" t="s">
        <v>5</v>
      </c>
      <c r="F72" s="11" t="s">
        <v>42</v>
      </c>
      <c r="G72" s="11" t="s">
        <v>43</v>
      </c>
      <c r="H72" s="11" t="s">
        <v>96</v>
      </c>
      <c r="J72" s="11" t="s">
        <v>141</v>
      </c>
    </row>
    <row r="73" spans="1:10" x14ac:dyDescent="0.25">
      <c r="A73" s="11" t="s">
        <v>94</v>
      </c>
      <c r="D73" s="11">
        <v>1.085423705788263E-7</v>
      </c>
      <c r="E73" s="11" t="s">
        <v>5</v>
      </c>
      <c r="F73" s="11" t="s">
        <v>42</v>
      </c>
      <c r="G73" s="11" t="s">
        <v>43</v>
      </c>
      <c r="H73" s="11" t="s">
        <v>96</v>
      </c>
      <c r="J73" s="11" t="s">
        <v>141</v>
      </c>
    </row>
    <row r="74" spans="1:10" s="8" customFormat="1" x14ac:dyDescent="0.25"/>
    <row r="75" spans="1:10" x14ac:dyDescent="0.25">
      <c r="A75" s="10" t="s">
        <v>0</v>
      </c>
      <c r="B75" s="10" t="s">
        <v>147</v>
      </c>
    </row>
    <row r="76" spans="1:10" x14ac:dyDescent="0.25">
      <c r="A76" s="12" t="s">
        <v>1</v>
      </c>
      <c r="B76" s="11" t="s">
        <v>148</v>
      </c>
    </row>
    <row r="77" spans="1:10" x14ac:dyDescent="0.25">
      <c r="A77" s="12" t="s">
        <v>2</v>
      </c>
      <c r="B77" s="11" t="s">
        <v>180</v>
      </c>
    </row>
    <row r="78" spans="1:10" x14ac:dyDescent="0.25">
      <c r="A78" s="12" t="s">
        <v>3</v>
      </c>
      <c r="B78" s="13">
        <v>1</v>
      </c>
    </row>
    <row r="79" spans="1:10" x14ac:dyDescent="0.25">
      <c r="A79" s="12" t="s">
        <v>4</v>
      </c>
      <c r="B79" s="11" t="s">
        <v>5</v>
      </c>
    </row>
    <row r="80" spans="1:10" x14ac:dyDescent="0.25">
      <c r="A80" s="12" t="s">
        <v>6</v>
      </c>
      <c r="B80" s="11" t="s">
        <v>7</v>
      </c>
    </row>
    <row r="81" spans="1:14" x14ac:dyDescent="0.25">
      <c r="A81" s="12" t="s">
        <v>8</v>
      </c>
    </row>
    <row r="82" spans="1:14" x14ac:dyDescent="0.25">
      <c r="A82" s="10" t="s">
        <v>9</v>
      </c>
      <c r="B82" s="10" t="s">
        <v>1</v>
      </c>
      <c r="C82" s="10" t="s">
        <v>2</v>
      </c>
      <c r="D82" s="10" t="s">
        <v>3</v>
      </c>
      <c r="E82" s="10" t="s">
        <v>4</v>
      </c>
      <c r="F82" s="10" t="s">
        <v>10</v>
      </c>
      <c r="G82" s="10" t="s">
        <v>11</v>
      </c>
      <c r="H82" s="10" t="s">
        <v>12</v>
      </c>
      <c r="I82" s="10" t="s">
        <v>13</v>
      </c>
      <c r="J82" s="10" t="s">
        <v>14</v>
      </c>
      <c r="K82" s="10" t="s">
        <v>15</v>
      </c>
      <c r="L82" s="10" t="s">
        <v>16</v>
      </c>
      <c r="M82" s="10" t="s">
        <v>17</v>
      </c>
      <c r="N82" s="10" t="s">
        <v>18</v>
      </c>
    </row>
    <row r="83" spans="1:14" x14ac:dyDescent="0.25">
      <c r="A83" s="11" t="str">
        <f>B75</f>
        <v>[R] Electrolysis</v>
      </c>
      <c r="B83" s="11" t="str">
        <f>B76</f>
        <v>Liquid aluminium (Al)</v>
      </c>
      <c r="C83" s="11" t="str">
        <f>B77</f>
        <v>Europe</v>
      </c>
      <c r="D83" s="13">
        <v>1</v>
      </c>
      <c r="E83" s="11" t="s">
        <v>5</v>
      </c>
      <c r="F83" s="14" t="str">
        <f>F40</f>
        <v>Aluminium</v>
      </c>
      <c r="G83" s="11" t="s">
        <v>19</v>
      </c>
    </row>
    <row r="84" spans="1:14" x14ac:dyDescent="0.25">
      <c r="A84" s="11" t="s">
        <v>121</v>
      </c>
      <c r="B84" s="11" t="s">
        <v>122</v>
      </c>
      <c r="C84" s="11" t="s">
        <v>22</v>
      </c>
      <c r="D84" s="11">
        <v>13.73687773032653</v>
      </c>
      <c r="E84" s="11" t="s">
        <v>105</v>
      </c>
      <c r="F84" s="11" t="s">
        <v>24</v>
      </c>
      <c r="G84" s="11" t="s">
        <v>25</v>
      </c>
      <c r="J84" s="11" t="s">
        <v>127</v>
      </c>
    </row>
    <row r="85" spans="1:14" x14ac:dyDescent="0.25">
      <c r="A85" s="11" t="s">
        <v>183</v>
      </c>
      <c r="B85" s="11" t="s">
        <v>184</v>
      </c>
      <c r="C85" s="11" t="s">
        <v>89</v>
      </c>
      <c r="D85" s="11">
        <v>5.8259948758309444E-3</v>
      </c>
      <c r="E85" s="11" t="s">
        <v>105</v>
      </c>
      <c r="F85" s="11" t="s">
        <v>24</v>
      </c>
      <c r="G85" s="11" t="s">
        <v>25</v>
      </c>
      <c r="J85" s="11" t="s">
        <v>112</v>
      </c>
    </row>
    <row r="86" spans="1:14" x14ac:dyDescent="0.25">
      <c r="A86" s="11" t="s">
        <v>125</v>
      </c>
      <c r="B86" s="11" t="s">
        <v>126</v>
      </c>
      <c r="C86" s="11" t="s">
        <v>88</v>
      </c>
      <c r="D86" s="11">
        <v>0.1193552150831325</v>
      </c>
      <c r="E86" s="11" t="s">
        <v>105</v>
      </c>
      <c r="F86" s="11" t="s">
        <v>24</v>
      </c>
      <c r="G86" s="11" t="s">
        <v>25</v>
      </c>
      <c r="J86" s="11" t="s">
        <v>112</v>
      </c>
    </row>
    <row r="87" spans="1:14" x14ac:dyDescent="0.25">
      <c r="A87" s="11" t="s">
        <v>139</v>
      </c>
      <c r="B87" s="11" t="s">
        <v>140</v>
      </c>
      <c r="C87" s="11" t="s">
        <v>22</v>
      </c>
      <c r="D87" s="11">
        <v>5.6308697679428353E-3</v>
      </c>
      <c r="E87" s="11" t="s">
        <v>5</v>
      </c>
      <c r="F87" s="11" t="s">
        <v>24</v>
      </c>
      <c r="G87" s="11" t="s">
        <v>25</v>
      </c>
      <c r="J87" s="11" t="s">
        <v>112</v>
      </c>
    </row>
    <row r="88" spans="1:14" x14ac:dyDescent="0.25">
      <c r="A88" s="11" t="s">
        <v>34</v>
      </c>
      <c r="B88" s="11" t="s">
        <v>35</v>
      </c>
      <c r="C88" s="11" t="s">
        <v>22</v>
      </c>
      <c r="D88" s="11">
        <v>4.5226866689191394E-3</v>
      </c>
      <c r="E88" s="11" t="s">
        <v>5</v>
      </c>
      <c r="F88" s="11" t="s">
        <v>24</v>
      </c>
      <c r="G88" s="11" t="s">
        <v>25</v>
      </c>
      <c r="J88" s="11" t="s">
        <v>141</v>
      </c>
    </row>
    <row r="89" spans="1:14" x14ac:dyDescent="0.25">
      <c r="A89" s="11" t="s">
        <v>149</v>
      </c>
      <c r="B89" s="11" t="s">
        <v>150</v>
      </c>
      <c r="C89" s="11" t="s">
        <v>22</v>
      </c>
      <c r="D89" s="11">
        <v>1.2355668414471509E-2</v>
      </c>
      <c r="E89" s="11" t="s">
        <v>5</v>
      </c>
      <c r="F89" s="11" t="s">
        <v>24</v>
      </c>
      <c r="G89" s="11" t="s">
        <v>25</v>
      </c>
      <c r="J89" s="11" t="s">
        <v>112</v>
      </c>
    </row>
    <row r="90" spans="1:14" x14ac:dyDescent="0.25">
      <c r="A90" s="11" t="s">
        <v>151</v>
      </c>
      <c r="B90" s="11" t="s">
        <v>152</v>
      </c>
      <c r="C90" s="11" t="s">
        <v>22</v>
      </c>
      <c r="D90" s="11">
        <v>1.7637574668272399E-2</v>
      </c>
      <c r="E90" s="11" t="s">
        <v>5</v>
      </c>
      <c r="F90" s="11" t="s">
        <v>24</v>
      </c>
      <c r="G90" s="11" t="s">
        <v>25</v>
      </c>
      <c r="J90" s="11" t="s">
        <v>127</v>
      </c>
    </row>
    <row r="91" spans="1:14" x14ac:dyDescent="0.25">
      <c r="A91" s="11" t="s">
        <v>26</v>
      </c>
      <c r="B91" s="11" t="s">
        <v>27</v>
      </c>
      <c r="C91" s="11" t="s">
        <v>89</v>
      </c>
      <c r="D91" s="11">
        <v>14.862838610333039</v>
      </c>
      <c r="E91" s="11" t="s">
        <v>28</v>
      </c>
      <c r="F91" s="11" t="s">
        <v>24</v>
      </c>
      <c r="G91" s="11" t="s">
        <v>25</v>
      </c>
      <c r="J91" s="11" t="s">
        <v>61</v>
      </c>
    </row>
    <row r="92" spans="1:14" x14ac:dyDescent="0.25">
      <c r="A92" s="11" t="s">
        <v>145</v>
      </c>
      <c r="B92" s="11" t="s">
        <v>146</v>
      </c>
      <c r="C92" s="11" t="s">
        <v>29</v>
      </c>
      <c r="D92" s="11">
        <v>-2.5963819982078589E-3</v>
      </c>
      <c r="E92" s="11" t="s">
        <v>5</v>
      </c>
      <c r="F92" s="11" t="s">
        <v>24</v>
      </c>
      <c r="G92" s="11" t="s">
        <v>25</v>
      </c>
      <c r="J92" s="11" t="s">
        <v>112</v>
      </c>
    </row>
    <row r="93" spans="1:14" x14ac:dyDescent="0.25">
      <c r="A93" s="11" t="s">
        <v>142</v>
      </c>
      <c r="B93" s="11" t="s">
        <v>143</v>
      </c>
      <c r="C93" s="11" t="s">
        <v>89</v>
      </c>
      <c r="D93" s="11">
        <v>-1.0415374960092709E-3</v>
      </c>
      <c r="E93" s="11" t="s">
        <v>5</v>
      </c>
      <c r="F93" s="11" t="s">
        <v>24</v>
      </c>
      <c r="G93" s="11" t="s">
        <v>25</v>
      </c>
      <c r="J93" s="11" t="s">
        <v>116</v>
      </c>
    </row>
    <row r="94" spans="1:14" x14ac:dyDescent="0.25">
      <c r="A94" s="11" t="s">
        <v>142</v>
      </c>
      <c r="B94" s="11" t="s">
        <v>143</v>
      </c>
      <c r="C94" s="11" t="s">
        <v>89</v>
      </c>
      <c r="D94" s="11">
        <v>-5.8117858316383828E-5</v>
      </c>
      <c r="E94" s="11" t="s">
        <v>5</v>
      </c>
      <c r="F94" s="11" t="s">
        <v>24</v>
      </c>
      <c r="G94" s="11" t="s">
        <v>25</v>
      </c>
      <c r="J94" s="11" t="s">
        <v>112</v>
      </c>
    </row>
    <row r="95" spans="1:14" x14ac:dyDescent="0.25">
      <c r="A95" s="11" t="s">
        <v>144</v>
      </c>
      <c r="B95" s="11" t="s">
        <v>76</v>
      </c>
      <c r="C95" s="11" t="s">
        <v>88</v>
      </c>
      <c r="D95" s="11">
        <v>-4.6364732629455997E-3</v>
      </c>
      <c r="E95" s="11" t="s">
        <v>5</v>
      </c>
      <c r="F95" s="11" t="s">
        <v>24</v>
      </c>
      <c r="G95" s="11" t="s">
        <v>25</v>
      </c>
      <c r="J95" s="11" t="s">
        <v>141</v>
      </c>
    </row>
    <row r="96" spans="1:14" x14ac:dyDescent="0.25">
      <c r="A96" s="11" t="s">
        <v>142</v>
      </c>
      <c r="B96" s="11" t="s">
        <v>143</v>
      </c>
      <c r="C96" s="11" t="s">
        <v>89</v>
      </c>
      <c r="D96" s="11">
        <v>-1.1985561274753941E-2</v>
      </c>
      <c r="E96" s="11" t="s">
        <v>5</v>
      </c>
      <c r="F96" s="11" t="s">
        <v>24</v>
      </c>
      <c r="G96" s="11" t="s">
        <v>25</v>
      </c>
      <c r="J96" s="11" t="s">
        <v>127</v>
      </c>
    </row>
    <row r="97" spans="1:10" x14ac:dyDescent="0.25">
      <c r="A97" s="11" t="s">
        <v>185</v>
      </c>
      <c r="B97" s="11" t="s">
        <v>186</v>
      </c>
      <c r="C97" s="11" t="s">
        <v>29</v>
      </c>
      <c r="D97" s="11">
        <v>-1.976090070185399E-3</v>
      </c>
      <c r="E97" s="11" t="s">
        <v>5</v>
      </c>
      <c r="F97" s="11" t="s">
        <v>24</v>
      </c>
      <c r="G97" s="11" t="s">
        <v>25</v>
      </c>
      <c r="J97" s="11" t="s">
        <v>112</v>
      </c>
    </row>
    <row r="98" spans="1:10" x14ac:dyDescent="0.25">
      <c r="A98" s="11" t="s">
        <v>145</v>
      </c>
      <c r="B98" s="11" t="s">
        <v>146</v>
      </c>
      <c r="C98" s="11" t="s">
        <v>29</v>
      </c>
      <c r="D98" s="11">
        <v>-3.2731652784898133E-2</v>
      </c>
      <c r="E98" s="11" t="s">
        <v>5</v>
      </c>
      <c r="F98" s="11" t="s">
        <v>24</v>
      </c>
      <c r="G98" s="11" t="s">
        <v>25</v>
      </c>
      <c r="J98" s="11" t="s">
        <v>141</v>
      </c>
    </row>
    <row r="99" spans="1:10" x14ac:dyDescent="0.25">
      <c r="A99" s="11" t="s">
        <v>153</v>
      </c>
      <c r="B99" s="11" t="s">
        <v>154</v>
      </c>
      <c r="C99" s="11" t="s">
        <v>88</v>
      </c>
      <c r="D99" s="11">
        <v>-1.038848916626439E-3</v>
      </c>
      <c r="E99" s="11" t="s">
        <v>5</v>
      </c>
      <c r="F99" s="11" t="s">
        <v>24</v>
      </c>
      <c r="G99" s="11" t="s">
        <v>25</v>
      </c>
      <c r="J99" s="11" t="s">
        <v>112</v>
      </c>
    </row>
    <row r="100" spans="1:10" x14ac:dyDescent="0.25">
      <c r="A100" s="11" t="s">
        <v>142</v>
      </c>
      <c r="B100" s="11" t="s">
        <v>143</v>
      </c>
      <c r="C100" s="11" t="s">
        <v>89</v>
      </c>
      <c r="D100" s="11">
        <v>-4.6574862166134598E-4</v>
      </c>
      <c r="E100" s="11" t="s">
        <v>5</v>
      </c>
      <c r="F100" s="11" t="s">
        <v>24</v>
      </c>
      <c r="G100" s="11" t="s">
        <v>25</v>
      </c>
      <c r="J100" s="11" t="s">
        <v>112</v>
      </c>
    </row>
    <row r="101" spans="1:10" x14ac:dyDescent="0.25">
      <c r="A101" s="11" t="s">
        <v>48</v>
      </c>
      <c r="D101" s="11">
        <v>3.2404899238504342E-2</v>
      </c>
      <c r="E101" s="11" t="s">
        <v>49</v>
      </c>
      <c r="F101" s="11" t="s">
        <v>42</v>
      </c>
      <c r="G101" s="11" t="s">
        <v>43</v>
      </c>
      <c r="H101" s="11" t="s">
        <v>47</v>
      </c>
      <c r="J101" s="11" t="s">
        <v>127</v>
      </c>
    </row>
    <row r="102" spans="1:10" x14ac:dyDescent="0.25">
      <c r="A102" s="11" t="s">
        <v>168</v>
      </c>
      <c r="D102" s="11">
        <v>7.6167183353468504E-2</v>
      </c>
      <c r="E102" s="11" t="s">
        <v>49</v>
      </c>
      <c r="F102" s="11" t="s">
        <v>42</v>
      </c>
      <c r="G102" s="11" t="s">
        <v>43</v>
      </c>
      <c r="H102" s="11" t="s">
        <v>169</v>
      </c>
      <c r="J102" s="11" t="s">
        <v>127</v>
      </c>
    </row>
    <row r="103" spans="1:10" x14ac:dyDescent="0.25">
      <c r="A103" s="11" t="s">
        <v>48</v>
      </c>
      <c r="D103" s="11">
        <v>1.5559735678083461E-2</v>
      </c>
      <c r="E103" s="11" t="s">
        <v>49</v>
      </c>
      <c r="F103" s="11" t="s">
        <v>42</v>
      </c>
      <c r="G103" s="11" t="s">
        <v>43</v>
      </c>
      <c r="H103" s="11" t="s">
        <v>47</v>
      </c>
      <c r="J103" s="11" t="s">
        <v>127</v>
      </c>
    </row>
    <row r="104" spans="1:10" x14ac:dyDescent="0.25">
      <c r="A104" s="11" t="s">
        <v>64</v>
      </c>
      <c r="D104" s="11">
        <v>6.8157557491040294E-4</v>
      </c>
      <c r="E104" s="11" t="s">
        <v>5</v>
      </c>
      <c r="F104" s="11" t="s">
        <v>42</v>
      </c>
      <c r="G104" s="11" t="s">
        <v>43</v>
      </c>
      <c r="H104" s="11" t="s">
        <v>63</v>
      </c>
      <c r="J104" s="11" t="s">
        <v>127</v>
      </c>
    </row>
    <row r="105" spans="1:10" x14ac:dyDescent="0.25">
      <c r="A105" s="11" t="s">
        <v>62</v>
      </c>
      <c r="D105" s="11">
        <v>7.4083724461883084E-3</v>
      </c>
      <c r="E105" s="11" t="s">
        <v>5</v>
      </c>
      <c r="F105" s="11" t="s">
        <v>42</v>
      </c>
      <c r="G105" s="11" t="s">
        <v>43</v>
      </c>
      <c r="H105" s="11" t="s">
        <v>63</v>
      </c>
      <c r="J105" s="11" t="s">
        <v>127</v>
      </c>
    </row>
    <row r="106" spans="1:10" x14ac:dyDescent="0.25">
      <c r="A106" s="11" t="s">
        <v>73</v>
      </c>
      <c r="D106" s="11">
        <v>6.7762414753248941E-4</v>
      </c>
      <c r="E106" s="11" t="s">
        <v>5</v>
      </c>
      <c r="F106" s="11" t="s">
        <v>42</v>
      </c>
      <c r="G106" s="11" t="s">
        <v>43</v>
      </c>
      <c r="H106" s="11" t="s">
        <v>63</v>
      </c>
      <c r="J106" s="11" t="s">
        <v>116</v>
      </c>
    </row>
    <row r="107" spans="1:10" x14ac:dyDescent="0.25">
      <c r="A107" s="11" t="s">
        <v>132</v>
      </c>
      <c r="D107" s="11">
        <v>1.8308870196570301E-7</v>
      </c>
      <c r="E107" s="11" t="s">
        <v>5</v>
      </c>
      <c r="F107" s="11" t="s">
        <v>42</v>
      </c>
      <c r="G107" s="11" t="s">
        <v>43</v>
      </c>
      <c r="H107" s="11" t="s">
        <v>63</v>
      </c>
      <c r="J107" s="11" t="s">
        <v>112</v>
      </c>
    </row>
    <row r="108" spans="1:10" x14ac:dyDescent="0.25">
      <c r="A108" s="11" t="s">
        <v>106</v>
      </c>
      <c r="D108" s="11">
        <v>1.3996869502030769E-4</v>
      </c>
      <c r="E108" s="11" t="s">
        <v>5</v>
      </c>
      <c r="F108" s="11" t="s">
        <v>42</v>
      </c>
      <c r="G108" s="11" t="s">
        <v>43</v>
      </c>
      <c r="H108" s="11" t="s">
        <v>63</v>
      </c>
      <c r="J108" s="11" t="s">
        <v>127</v>
      </c>
    </row>
    <row r="109" spans="1:10" x14ac:dyDescent="0.25">
      <c r="A109" s="11" t="s">
        <v>106</v>
      </c>
      <c r="D109" s="11">
        <v>2.8761399699528341E-4</v>
      </c>
      <c r="E109" s="11" t="s">
        <v>5</v>
      </c>
      <c r="F109" s="11" t="s">
        <v>42</v>
      </c>
      <c r="G109" s="11" t="s">
        <v>43</v>
      </c>
      <c r="H109" s="11" t="s">
        <v>63</v>
      </c>
      <c r="J109" s="11" t="s">
        <v>127</v>
      </c>
    </row>
    <row r="110" spans="1:10" x14ac:dyDescent="0.25">
      <c r="A110" s="11" t="s">
        <v>94</v>
      </c>
      <c r="D110" s="11">
        <v>1.7427901114796629E-5</v>
      </c>
      <c r="E110" s="11" t="s">
        <v>5</v>
      </c>
      <c r="F110" s="11" t="s">
        <v>42</v>
      </c>
      <c r="G110" s="11" t="s">
        <v>43</v>
      </c>
      <c r="H110" s="11" t="s">
        <v>63</v>
      </c>
      <c r="J110" s="11" t="s">
        <v>112</v>
      </c>
    </row>
    <row r="111" spans="1:10" x14ac:dyDescent="0.25">
      <c r="A111" s="11" t="s">
        <v>98</v>
      </c>
      <c r="D111" s="11">
        <v>5.6077293719045021E-4</v>
      </c>
      <c r="E111" s="11" t="s">
        <v>5</v>
      </c>
      <c r="F111" s="11" t="s">
        <v>42</v>
      </c>
      <c r="G111" s="11" t="s">
        <v>43</v>
      </c>
      <c r="H111" s="11" t="s">
        <v>63</v>
      </c>
      <c r="J111" s="11" t="s">
        <v>112</v>
      </c>
    </row>
    <row r="112" spans="1:10" x14ac:dyDescent="0.25">
      <c r="A112" s="11" t="s">
        <v>155</v>
      </c>
      <c r="D112" s="11">
        <v>2.1694847959391369E-5</v>
      </c>
      <c r="E112" s="11" t="s">
        <v>5</v>
      </c>
      <c r="F112" s="11" t="s">
        <v>42</v>
      </c>
      <c r="G112" s="11" t="s">
        <v>43</v>
      </c>
      <c r="H112" s="11" t="s">
        <v>63</v>
      </c>
      <c r="J112" s="11" t="s">
        <v>61</v>
      </c>
    </row>
    <row r="113" spans="1:14" x14ac:dyDescent="0.25">
      <c r="A113" s="11" t="s">
        <v>156</v>
      </c>
      <c r="D113" s="11">
        <v>1.8699657710940019E-6</v>
      </c>
      <c r="E113" s="11" t="s">
        <v>5</v>
      </c>
      <c r="F113" s="11" t="s">
        <v>42</v>
      </c>
      <c r="G113" s="11" t="s">
        <v>43</v>
      </c>
      <c r="H113" s="11" t="s">
        <v>63</v>
      </c>
      <c r="J113" s="11" t="s">
        <v>61</v>
      </c>
    </row>
    <row r="114" spans="1:14" x14ac:dyDescent="0.25">
      <c r="A114" s="11" t="s">
        <v>118</v>
      </c>
      <c r="D114" s="11">
        <v>2.1445872279815321E-2</v>
      </c>
      <c r="E114" s="11" t="s">
        <v>49</v>
      </c>
      <c r="F114" s="11" t="s">
        <v>42</v>
      </c>
      <c r="G114" s="11" t="s">
        <v>43</v>
      </c>
      <c r="H114" s="11" t="s">
        <v>96</v>
      </c>
      <c r="J114" s="11" t="s">
        <v>127</v>
      </c>
    </row>
    <row r="115" spans="1:14" x14ac:dyDescent="0.25">
      <c r="A115" s="11" t="s">
        <v>118</v>
      </c>
      <c r="D115" s="11">
        <v>7.8441141144794432E-2</v>
      </c>
      <c r="E115" s="11" t="s">
        <v>49</v>
      </c>
      <c r="F115" s="11" t="s">
        <v>42</v>
      </c>
      <c r="G115" s="11" t="s">
        <v>43</v>
      </c>
      <c r="H115" s="11" t="s">
        <v>171</v>
      </c>
      <c r="J115" s="11" t="s">
        <v>127</v>
      </c>
    </row>
    <row r="116" spans="1:14" x14ac:dyDescent="0.25">
      <c r="A116" s="11" t="s">
        <v>97</v>
      </c>
      <c r="D116" s="11">
        <v>2.2156858333323141E-4</v>
      </c>
      <c r="E116" s="11" t="s">
        <v>5</v>
      </c>
      <c r="F116" s="11" t="s">
        <v>42</v>
      </c>
      <c r="G116" s="11" t="s">
        <v>43</v>
      </c>
      <c r="H116" s="11" t="s">
        <v>96</v>
      </c>
      <c r="J116" s="11" t="s">
        <v>127</v>
      </c>
    </row>
    <row r="117" spans="1:14" x14ac:dyDescent="0.25">
      <c r="A117" s="11" t="s">
        <v>100</v>
      </c>
      <c r="D117" s="11">
        <v>6.6750880726074588E-6</v>
      </c>
      <c r="E117" s="11" t="s">
        <v>5</v>
      </c>
      <c r="F117" s="11" t="s">
        <v>42</v>
      </c>
      <c r="G117" s="11" t="s">
        <v>43</v>
      </c>
      <c r="H117" s="11" t="s">
        <v>96</v>
      </c>
      <c r="J117" s="11" t="s">
        <v>116</v>
      </c>
    </row>
    <row r="118" spans="1:14" x14ac:dyDescent="0.25">
      <c r="A118" s="11" t="s">
        <v>106</v>
      </c>
      <c r="D118" s="11">
        <v>3.2243099913632019E-4</v>
      </c>
      <c r="E118" s="11" t="s">
        <v>5</v>
      </c>
      <c r="F118" s="11" t="s">
        <v>42</v>
      </c>
      <c r="G118" s="11" t="s">
        <v>43</v>
      </c>
      <c r="H118" s="11" t="s">
        <v>96</v>
      </c>
      <c r="J118" s="11" t="s">
        <v>112</v>
      </c>
    </row>
    <row r="119" spans="1:14" x14ac:dyDescent="0.25">
      <c r="A119" s="11" t="s">
        <v>94</v>
      </c>
      <c r="D119" s="11">
        <v>5.4663201496942917E-7</v>
      </c>
      <c r="E119" s="11" t="s">
        <v>5</v>
      </c>
      <c r="F119" s="11" t="s">
        <v>42</v>
      </c>
      <c r="G119" s="11" t="s">
        <v>43</v>
      </c>
      <c r="H119" s="11" t="s">
        <v>96</v>
      </c>
      <c r="J119" s="11" t="s">
        <v>112</v>
      </c>
    </row>
    <row r="120" spans="1:14" s="8" customFormat="1" x14ac:dyDescent="0.25"/>
    <row r="121" spans="1:14" x14ac:dyDescent="0.25">
      <c r="A121" s="10" t="s">
        <v>0</v>
      </c>
      <c r="B121" s="10" t="s">
        <v>157</v>
      </c>
    </row>
    <row r="122" spans="1:14" x14ac:dyDescent="0.25">
      <c r="A122" s="12" t="s">
        <v>1</v>
      </c>
      <c r="B122" s="11" t="s">
        <v>158</v>
      </c>
    </row>
    <row r="123" spans="1:14" x14ac:dyDescent="0.25">
      <c r="A123" s="12" t="s">
        <v>2</v>
      </c>
      <c r="B123" s="11" t="s">
        <v>180</v>
      </c>
    </row>
    <row r="124" spans="1:14" x14ac:dyDescent="0.25">
      <c r="A124" s="12" t="s">
        <v>3</v>
      </c>
      <c r="B124" s="13">
        <v>1</v>
      </c>
    </row>
    <row r="125" spans="1:14" x14ac:dyDescent="0.25">
      <c r="A125" s="12" t="s">
        <v>4</v>
      </c>
      <c r="B125" s="11" t="s">
        <v>5</v>
      </c>
    </row>
    <row r="126" spans="1:14" x14ac:dyDescent="0.25">
      <c r="A126" s="12" t="s">
        <v>6</v>
      </c>
      <c r="B126" s="11" t="s">
        <v>7</v>
      </c>
    </row>
    <row r="127" spans="1:14" x14ac:dyDescent="0.25">
      <c r="A127" s="12" t="s">
        <v>8</v>
      </c>
    </row>
    <row r="128" spans="1:14" x14ac:dyDescent="0.25">
      <c r="A128" s="10" t="s">
        <v>9</v>
      </c>
      <c r="B128" s="10" t="s">
        <v>1</v>
      </c>
      <c r="C128" s="10" t="s">
        <v>2</v>
      </c>
      <c r="D128" s="10" t="s">
        <v>3</v>
      </c>
      <c r="E128" s="10" t="s">
        <v>4</v>
      </c>
      <c r="F128" s="10" t="s">
        <v>10</v>
      </c>
      <c r="G128" s="10" t="s">
        <v>11</v>
      </c>
      <c r="H128" s="10" t="s">
        <v>12</v>
      </c>
      <c r="I128" s="10" t="s">
        <v>13</v>
      </c>
      <c r="J128" s="10" t="s">
        <v>14</v>
      </c>
      <c r="K128" s="10" t="s">
        <v>15</v>
      </c>
      <c r="L128" s="10" t="s">
        <v>16</v>
      </c>
      <c r="M128" s="10" t="s">
        <v>17</v>
      </c>
      <c r="N128" s="10" t="s">
        <v>18</v>
      </c>
    </row>
    <row r="129" spans="1:10" x14ac:dyDescent="0.25">
      <c r="A129" s="11" t="str">
        <f>B121</f>
        <v>[R] Casting</v>
      </c>
      <c r="B129" s="11" t="str">
        <f>B122</f>
        <v>Al ingot</v>
      </c>
      <c r="C129" s="11" t="str">
        <f>B123</f>
        <v>Europe</v>
      </c>
      <c r="D129" s="13">
        <v>1</v>
      </c>
      <c r="E129" s="11" t="s">
        <v>5</v>
      </c>
      <c r="F129" s="14" t="str">
        <f>F83</f>
        <v>Aluminium</v>
      </c>
      <c r="G129" s="11" t="s">
        <v>19</v>
      </c>
    </row>
    <row r="130" spans="1:10" x14ac:dyDescent="0.25">
      <c r="A130" s="11" t="s">
        <v>30</v>
      </c>
      <c r="B130" s="11" t="s">
        <v>31</v>
      </c>
      <c r="C130" s="11" t="s">
        <v>22</v>
      </c>
      <c r="D130" s="11">
        <v>1.8958252347047119E-2</v>
      </c>
      <c r="E130" s="11" t="s">
        <v>5</v>
      </c>
      <c r="F130" s="11" t="s">
        <v>24</v>
      </c>
      <c r="G130" s="11" t="s">
        <v>25</v>
      </c>
      <c r="J130" s="11" t="s">
        <v>127</v>
      </c>
    </row>
    <row r="131" spans="1:10" x14ac:dyDescent="0.25">
      <c r="A131" s="11" t="s">
        <v>187</v>
      </c>
      <c r="B131" s="11" t="s">
        <v>188</v>
      </c>
      <c r="C131" s="11" t="s">
        <v>89</v>
      </c>
      <c r="D131" s="11">
        <v>4.0230226450819904E-6</v>
      </c>
      <c r="E131" s="11" t="s">
        <v>5</v>
      </c>
      <c r="F131" s="11" t="s">
        <v>24</v>
      </c>
      <c r="G131" s="11" t="s">
        <v>25</v>
      </c>
      <c r="J131" s="11" t="s">
        <v>112</v>
      </c>
    </row>
    <row r="132" spans="1:10" x14ac:dyDescent="0.25">
      <c r="A132" s="11" t="s">
        <v>79</v>
      </c>
      <c r="B132" s="11" t="s">
        <v>80</v>
      </c>
      <c r="C132" s="11" t="s">
        <v>89</v>
      </c>
      <c r="D132" s="11">
        <v>7.9185234561007204E-4</v>
      </c>
      <c r="E132" s="11" t="s">
        <v>5</v>
      </c>
      <c r="F132" s="11" t="s">
        <v>24</v>
      </c>
      <c r="G132" s="11" t="s">
        <v>25</v>
      </c>
      <c r="J132" s="11" t="s">
        <v>141</v>
      </c>
    </row>
    <row r="133" spans="1:10" x14ac:dyDescent="0.25">
      <c r="A133" s="11" t="s">
        <v>65</v>
      </c>
      <c r="B133" s="11" t="s">
        <v>66</v>
      </c>
      <c r="C133" s="11" t="s">
        <v>89</v>
      </c>
      <c r="D133" s="11">
        <v>6.8443384204204945E-5</v>
      </c>
      <c r="E133" s="11" t="s">
        <v>5</v>
      </c>
      <c r="F133" s="11" t="s">
        <v>24</v>
      </c>
      <c r="G133" s="11" t="s">
        <v>25</v>
      </c>
      <c r="J133" s="11" t="s">
        <v>112</v>
      </c>
    </row>
    <row r="134" spans="1:10" x14ac:dyDescent="0.25">
      <c r="A134" s="11" t="s">
        <v>110</v>
      </c>
      <c r="B134" s="11" t="s">
        <v>111</v>
      </c>
      <c r="C134" s="11" t="s">
        <v>29</v>
      </c>
      <c r="D134" s="11">
        <v>2.6753236105520948E-3</v>
      </c>
      <c r="E134" s="11" t="s">
        <v>5</v>
      </c>
      <c r="F134" s="11" t="s">
        <v>24</v>
      </c>
      <c r="G134" s="11" t="s">
        <v>25</v>
      </c>
      <c r="J134" s="11" t="s">
        <v>127</v>
      </c>
    </row>
    <row r="135" spans="1:10" x14ac:dyDescent="0.25">
      <c r="A135" s="11" t="s">
        <v>20</v>
      </c>
      <c r="B135" s="11" t="s">
        <v>21</v>
      </c>
      <c r="C135" s="11" t="s">
        <v>22</v>
      </c>
      <c r="D135" s="11">
        <v>1.8244528333097199E-3</v>
      </c>
      <c r="E135" s="11" t="s">
        <v>23</v>
      </c>
      <c r="F135" s="11" t="s">
        <v>24</v>
      </c>
      <c r="G135" s="11" t="s">
        <v>25</v>
      </c>
      <c r="J135" s="11" t="s">
        <v>127</v>
      </c>
    </row>
    <row r="136" spans="1:10" x14ac:dyDescent="0.25">
      <c r="A136" s="11" t="s">
        <v>181</v>
      </c>
      <c r="B136" s="11" t="s">
        <v>58</v>
      </c>
      <c r="C136" s="11" t="s">
        <v>88</v>
      </c>
      <c r="D136" s="11">
        <v>1.0040812013637389E-2</v>
      </c>
      <c r="E136" s="11" t="s">
        <v>49</v>
      </c>
      <c r="F136" s="11" t="s">
        <v>24</v>
      </c>
      <c r="G136" s="11" t="s">
        <v>25</v>
      </c>
      <c r="J136" s="11" t="s">
        <v>127</v>
      </c>
    </row>
    <row r="137" spans="1:10" x14ac:dyDescent="0.25">
      <c r="A137" s="11" t="s">
        <v>26</v>
      </c>
      <c r="B137" s="11" t="s">
        <v>27</v>
      </c>
      <c r="C137" s="11" t="s">
        <v>89</v>
      </c>
      <c r="D137" s="11">
        <v>0.1076050553597511</v>
      </c>
      <c r="E137" s="11" t="s">
        <v>28</v>
      </c>
      <c r="F137" s="11" t="s">
        <v>24</v>
      </c>
      <c r="G137" s="11" t="s">
        <v>25</v>
      </c>
      <c r="J137" s="11" t="s">
        <v>127</v>
      </c>
    </row>
    <row r="138" spans="1:10" x14ac:dyDescent="0.25">
      <c r="A138" s="11" t="s">
        <v>161</v>
      </c>
      <c r="B138" s="11" t="s">
        <v>162</v>
      </c>
      <c r="C138" s="11" t="s">
        <v>163</v>
      </c>
      <c r="D138" s="11">
        <v>5.2852864057566597E-2</v>
      </c>
      <c r="E138" s="11" t="s">
        <v>28</v>
      </c>
      <c r="F138" s="11" t="s">
        <v>24</v>
      </c>
      <c r="G138" s="11" t="s">
        <v>25</v>
      </c>
      <c r="J138" s="11" t="s">
        <v>127</v>
      </c>
    </row>
    <row r="139" spans="1:10" x14ac:dyDescent="0.25">
      <c r="A139" s="11" t="s">
        <v>142</v>
      </c>
      <c r="B139" s="11" t="s">
        <v>143</v>
      </c>
      <c r="C139" s="11" t="s">
        <v>89</v>
      </c>
      <c r="D139" s="11">
        <v>-1.4436375921603699E-4</v>
      </c>
      <c r="E139" s="11" t="s">
        <v>5</v>
      </c>
      <c r="F139" s="11" t="s">
        <v>24</v>
      </c>
      <c r="G139" s="11" t="s">
        <v>25</v>
      </c>
      <c r="J139" s="11" t="s">
        <v>112</v>
      </c>
    </row>
    <row r="140" spans="1:10" x14ac:dyDescent="0.25">
      <c r="A140" s="11" t="s">
        <v>164</v>
      </c>
      <c r="B140" s="11" t="s">
        <v>165</v>
      </c>
      <c r="C140" s="11" t="s">
        <v>89</v>
      </c>
      <c r="D140" s="11">
        <v>-1.4366578872200299E-2</v>
      </c>
      <c r="E140" s="11" t="s">
        <v>5</v>
      </c>
      <c r="F140" s="11" t="s">
        <v>24</v>
      </c>
      <c r="G140" s="11" t="s">
        <v>25</v>
      </c>
      <c r="J140" s="11" t="s">
        <v>127</v>
      </c>
    </row>
    <row r="141" spans="1:10" x14ac:dyDescent="0.25">
      <c r="A141" s="11" t="s">
        <v>176</v>
      </c>
      <c r="B141" s="11" t="s">
        <v>177</v>
      </c>
      <c r="C141" s="11" t="s">
        <v>29</v>
      </c>
      <c r="D141" s="11">
        <v>-2.789354321095542E-4</v>
      </c>
      <c r="E141" s="11" t="s">
        <v>5</v>
      </c>
      <c r="F141" s="11" t="s">
        <v>24</v>
      </c>
      <c r="G141" s="11" t="s">
        <v>25</v>
      </c>
      <c r="J141" s="11" t="s">
        <v>112</v>
      </c>
    </row>
    <row r="142" spans="1:10" x14ac:dyDescent="0.25">
      <c r="A142" s="11" t="s">
        <v>142</v>
      </c>
      <c r="B142" s="11" t="s">
        <v>143</v>
      </c>
      <c r="C142" s="11" t="s">
        <v>89</v>
      </c>
      <c r="D142" s="11">
        <v>-3.8877721900838199E-4</v>
      </c>
      <c r="E142" s="11" t="s">
        <v>5</v>
      </c>
      <c r="F142" s="11" t="s">
        <v>24</v>
      </c>
      <c r="G142" s="11" t="s">
        <v>25</v>
      </c>
      <c r="J142" s="11" t="s">
        <v>141</v>
      </c>
    </row>
    <row r="143" spans="1:10" x14ac:dyDescent="0.25">
      <c r="A143" s="11" t="s">
        <v>176</v>
      </c>
      <c r="B143" s="11" t="s">
        <v>177</v>
      </c>
      <c r="C143" s="11" t="s">
        <v>29</v>
      </c>
      <c r="D143" s="11">
        <v>-1.6864468434345421E-5</v>
      </c>
      <c r="E143" s="11" t="s">
        <v>5</v>
      </c>
      <c r="F143" s="11" t="s">
        <v>24</v>
      </c>
      <c r="G143" s="11" t="s">
        <v>25</v>
      </c>
      <c r="J143" s="11" t="s">
        <v>112</v>
      </c>
    </row>
    <row r="144" spans="1:10" x14ac:dyDescent="0.25">
      <c r="A144" s="11" t="s">
        <v>36</v>
      </c>
      <c r="B144" s="11" t="s">
        <v>37</v>
      </c>
      <c r="C144" s="11" t="s">
        <v>29</v>
      </c>
      <c r="D144" s="11">
        <v>-9.3562975802023883E-5</v>
      </c>
      <c r="E144" s="11" t="s">
        <v>5</v>
      </c>
      <c r="F144" s="11" t="s">
        <v>24</v>
      </c>
      <c r="G144" s="11" t="s">
        <v>25</v>
      </c>
      <c r="J144" s="11" t="s">
        <v>112</v>
      </c>
    </row>
    <row r="145" spans="1:10" x14ac:dyDescent="0.25">
      <c r="A145" s="11" t="s">
        <v>38</v>
      </c>
      <c r="B145" s="11" t="s">
        <v>39</v>
      </c>
      <c r="C145" s="11" t="s">
        <v>88</v>
      </c>
      <c r="D145" s="11">
        <v>-7.1531902243943094E-5</v>
      </c>
      <c r="E145" s="11" t="s">
        <v>5</v>
      </c>
      <c r="F145" s="11" t="s">
        <v>24</v>
      </c>
      <c r="G145" s="11" t="s">
        <v>25</v>
      </c>
      <c r="J145" s="11" t="s">
        <v>112</v>
      </c>
    </row>
    <row r="146" spans="1:10" x14ac:dyDescent="0.25">
      <c r="A146" s="11" t="s">
        <v>48</v>
      </c>
      <c r="D146" s="11">
        <v>7.8921943369861299E-3</v>
      </c>
      <c r="E146" s="11" t="s">
        <v>49</v>
      </c>
      <c r="F146" s="11" t="s">
        <v>42</v>
      </c>
      <c r="G146" s="11" t="s">
        <v>43</v>
      </c>
      <c r="H146" s="11" t="s">
        <v>47</v>
      </c>
      <c r="J146" s="11" t="s">
        <v>141</v>
      </c>
    </row>
    <row r="147" spans="1:10" x14ac:dyDescent="0.25">
      <c r="A147" s="11" t="s">
        <v>48</v>
      </c>
      <c r="D147" s="11">
        <v>3.2187575049133081E-4</v>
      </c>
      <c r="E147" s="11" t="s">
        <v>49</v>
      </c>
      <c r="F147" s="11" t="s">
        <v>42</v>
      </c>
      <c r="G147" s="11" t="s">
        <v>43</v>
      </c>
      <c r="H147" s="11" t="s">
        <v>47</v>
      </c>
      <c r="J147" s="11" t="s">
        <v>141</v>
      </c>
    </row>
    <row r="148" spans="1:10" x14ac:dyDescent="0.25">
      <c r="A148" s="11" t="s">
        <v>64</v>
      </c>
      <c r="D148" s="11">
        <v>7.1820355704848199E-5</v>
      </c>
      <c r="E148" s="11" t="s">
        <v>5</v>
      </c>
      <c r="F148" s="11" t="s">
        <v>42</v>
      </c>
      <c r="G148" s="11" t="s">
        <v>43</v>
      </c>
      <c r="H148" s="11" t="s">
        <v>63</v>
      </c>
      <c r="J148" s="11" t="s">
        <v>141</v>
      </c>
    </row>
    <row r="149" spans="1:10" x14ac:dyDescent="0.25">
      <c r="A149" s="11" t="s">
        <v>62</v>
      </c>
      <c r="D149" s="11">
        <v>3.37885629247606E-5</v>
      </c>
      <c r="E149" s="11" t="s">
        <v>5</v>
      </c>
      <c r="F149" s="11" t="s">
        <v>42</v>
      </c>
      <c r="G149" s="11" t="s">
        <v>43</v>
      </c>
      <c r="H149" s="11" t="s">
        <v>63</v>
      </c>
      <c r="J149" s="11" t="s">
        <v>141</v>
      </c>
    </row>
    <row r="150" spans="1:10" x14ac:dyDescent="0.25">
      <c r="A150" s="11" t="s">
        <v>73</v>
      </c>
      <c r="D150" s="11">
        <v>2.264828978648625E-4</v>
      </c>
      <c r="E150" s="11" t="s">
        <v>5</v>
      </c>
      <c r="F150" s="11" t="s">
        <v>42</v>
      </c>
      <c r="G150" s="11" t="s">
        <v>43</v>
      </c>
      <c r="H150" s="11" t="s">
        <v>63</v>
      </c>
      <c r="J150" s="11" t="s">
        <v>141</v>
      </c>
    </row>
    <row r="151" spans="1:10" x14ac:dyDescent="0.25">
      <c r="A151" s="11" t="s">
        <v>92</v>
      </c>
      <c r="D151" s="11">
        <v>5.8115145352766698E-6</v>
      </c>
      <c r="E151" s="11" t="s">
        <v>5</v>
      </c>
      <c r="F151" s="11" t="s">
        <v>42</v>
      </c>
      <c r="G151" s="11" t="s">
        <v>43</v>
      </c>
      <c r="H151" s="11" t="s">
        <v>63</v>
      </c>
      <c r="J151" s="11" t="s">
        <v>112</v>
      </c>
    </row>
    <row r="152" spans="1:10" x14ac:dyDescent="0.25">
      <c r="A152" s="11" t="s">
        <v>178</v>
      </c>
      <c r="D152" s="11">
        <v>1.217599071336269E-11</v>
      </c>
      <c r="E152" s="11" t="s">
        <v>5</v>
      </c>
      <c r="F152" s="11" t="s">
        <v>42</v>
      </c>
      <c r="G152" s="11" t="s">
        <v>43</v>
      </c>
      <c r="H152" s="11" t="s">
        <v>63</v>
      </c>
      <c r="J152" s="11" t="s">
        <v>112</v>
      </c>
    </row>
    <row r="153" spans="1:10" x14ac:dyDescent="0.25">
      <c r="A153" s="11" t="s">
        <v>118</v>
      </c>
      <c r="D153" s="11">
        <v>7.6075699152432204E-3</v>
      </c>
      <c r="E153" s="11" t="s">
        <v>49</v>
      </c>
      <c r="F153" s="11" t="s">
        <v>42</v>
      </c>
      <c r="G153" s="11" t="s">
        <v>43</v>
      </c>
      <c r="H153" s="11" t="s">
        <v>96</v>
      </c>
      <c r="J153" s="11" t="s">
        <v>112</v>
      </c>
    </row>
    <row r="154" spans="1:10" x14ac:dyDescent="0.25">
      <c r="A154" s="11" t="s">
        <v>97</v>
      </c>
      <c r="D154" s="11">
        <v>8.04178618027802E-6</v>
      </c>
      <c r="E154" s="11" t="s">
        <v>5</v>
      </c>
      <c r="F154" s="11" t="s">
        <v>42</v>
      </c>
      <c r="G154" s="11" t="s">
        <v>43</v>
      </c>
      <c r="H154" s="11" t="s">
        <v>96</v>
      </c>
      <c r="J154" s="11" t="s">
        <v>141</v>
      </c>
    </row>
    <row r="155" spans="1:10" x14ac:dyDescent="0.25">
      <c r="A155" s="11" t="s">
        <v>100</v>
      </c>
      <c r="D155" s="11">
        <v>2.0109872605631699E-8</v>
      </c>
      <c r="E155" s="11" t="s">
        <v>5</v>
      </c>
      <c r="F155" s="11" t="s">
        <v>42</v>
      </c>
      <c r="G155" s="11" t="s">
        <v>43</v>
      </c>
      <c r="H155" s="11" t="s">
        <v>96</v>
      </c>
      <c r="J155" s="11" t="s">
        <v>116</v>
      </c>
    </row>
    <row r="156" spans="1:10" s="9" customFormat="1" ht="14.1" customHeight="1" x14ac:dyDescent="0.25"/>
    <row r="157" spans="1:10" x14ac:dyDescent="0.25">
      <c r="A157" s="10" t="s">
        <v>0</v>
      </c>
      <c r="B157" s="10" t="s">
        <v>189</v>
      </c>
    </row>
    <row r="158" spans="1:10" x14ac:dyDescent="0.25">
      <c r="A158" s="12" t="s">
        <v>1</v>
      </c>
      <c r="B158" s="11" t="s">
        <v>158</v>
      </c>
    </row>
    <row r="159" spans="1:10" x14ac:dyDescent="0.25">
      <c r="A159" s="12" t="s">
        <v>2</v>
      </c>
      <c r="B159" s="11" t="s">
        <v>180</v>
      </c>
    </row>
    <row r="160" spans="1:10" x14ac:dyDescent="0.25">
      <c r="A160" s="12" t="s">
        <v>3</v>
      </c>
      <c r="B160" s="13">
        <v>1</v>
      </c>
    </row>
    <row r="161" spans="1:14" x14ac:dyDescent="0.25">
      <c r="A161" s="12" t="s">
        <v>4</v>
      </c>
      <c r="B161" s="11" t="s">
        <v>5</v>
      </c>
    </row>
    <row r="162" spans="1:14" x14ac:dyDescent="0.25">
      <c r="A162" s="12" t="s">
        <v>6</v>
      </c>
      <c r="B162" s="11" t="s">
        <v>7</v>
      </c>
    </row>
    <row r="163" spans="1:14" x14ac:dyDescent="0.25">
      <c r="A163" s="12" t="s">
        <v>8</v>
      </c>
    </row>
    <row r="164" spans="1:14" x14ac:dyDescent="0.25">
      <c r="A164" s="10" t="s">
        <v>9</v>
      </c>
      <c r="B164" s="10" t="s">
        <v>1</v>
      </c>
      <c r="C164" s="10" t="s">
        <v>2</v>
      </c>
      <c r="D164" s="10" t="s">
        <v>3</v>
      </c>
      <c r="E164" s="10" t="s">
        <v>4</v>
      </c>
      <c r="F164" s="10" t="s">
        <v>10</v>
      </c>
      <c r="G164" s="10" t="s">
        <v>11</v>
      </c>
      <c r="H164" s="10" t="s">
        <v>12</v>
      </c>
      <c r="I164" s="10" t="s">
        <v>13</v>
      </c>
      <c r="J164" s="10" t="s">
        <v>14</v>
      </c>
      <c r="K164" s="10" t="s">
        <v>15</v>
      </c>
      <c r="L164" s="10" t="s">
        <v>16</v>
      </c>
      <c r="M164" s="10" t="s">
        <v>17</v>
      </c>
      <c r="N164" s="10" t="s">
        <v>18</v>
      </c>
    </row>
    <row r="165" spans="1:14" x14ac:dyDescent="0.25">
      <c r="A165" s="11" t="str">
        <f>B157</f>
        <v>Al ingot production in Europe</v>
      </c>
      <c r="B165" s="11" t="str">
        <f>B158</f>
        <v>Al ingot</v>
      </c>
      <c r="C165" s="11" t="str">
        <f>B159</f>
        <v>Europe</v>
      </c>
      <c r="D165" s="13">
        <v>1</v>
      </c>
      <c r="E165" s="11" t="s">
        <v>5</v>
      </c>
      <c r="F165" s="14" t="str">
        <f>F129</f>
        <v>Aluminium</v>
      </c>
      <c r="G165" s="11" t="s">
        <v>19</v>
      </c>
    </row>
    <row r="166" spans="1:14" x14ac:dyDescent="0.25">
      <c r="A166" s="11" t="str">
        <f>A129</f>
        <v>[R] Casting</v>
      </c>
      <c r="B166" s="11" t="str">
        <f>B129</f>
        <v>Al ingot</v>
      </c>
      <c r="C166" s="11" t="str">
        <f>C129</f>
        <v>Europe</v>
      </c>
      <c r="D166" s="11">
        <v>1</v>
      </c>
      <c r="E166" s="11" t="str">
        <f>E129</f>
        <v>kilogram</v>
      </c>
      <c r="F166" s="14" t="str">
        <f>F129</f>
        <v>Aluminium</v>
      </c>
      <c r="G166" s="11" t="s">
        <v>25</v>
      </c>
    </row>
    <row r="167" spans="1:14" x14ac:dyDescent="0.25">
      <c r="A167" s="11" t="str">
        <f>A83</f>
        <v>[R] Electrolysis</v>
      </c>
      <c r="B167" s="11" t="str">
        <f>B83</f>
        <v>Liquid aluminium (Al)</v>
      </c>
      <c r="C167" s="11" t="str">
        <f>C83</f>
        <v>Europe</v>
      </c>
      <c r="D167" s="11">
        <v>1</v>
      </c>
      <c r="E167" s="11" t="str">
        <f>E83</f>
        <v>kilogram</v>
      </c>
      <c r="F167" s="14" t="str">
        <f>F83</f>
        <v>Aluminium</v>
      </c>
      <c r="G167" s="11" t="s">
        <v>25</v>
      </c>
    </row>
    <row r="168" spans="1:14" x14ac:dyDescent="0.25">
      <c r="A168" s="11" t="str">
        <f>A40</f>
        <v>[P] Anode/Paste production</v>
      </c>
      <c r="B168" s="11" t="str">
        <f t="shared" ref="B168:F168" si="0">B40</f>
        <v>Anode/Paste</v>
      </c>
      <c r="C168" s="11" t="str">
        <f t="shared" si="0"/>
        <v>Europe</v>
      </c>
      <c r="D168" s="11">
        <v>0.49377630028859121</v>
      </c>
      <c r="E168" s="11" t="str">
        <f t="shared" si="0"/>
        <v>kilogram</v>
      </c>
      <c r="F168" s="14" t="str">
        <f t="shared" si="0"/>
        <v>Aluminium</v>
      </c>
      <c r="G168" s="11" t="s">
        <v>25</v>
      </c>
    </row>
    <row r="169" spans="1:14" x14ac:dyDescent="0.25">
      <c r="A169" s="11" t="str">
        <f>A9</f>
        <v>[P] Alumina production</v>
      </c>
      <c r="B169" s="11" t="str">
        <f t="shared" ref="B169:F169" si="1">B9</f>
        <v>Alumina</v>
      </c>
      <c r="C169" s="11" t="str">
        <f t="shared" si="1"/>
        <v>Europe</v>
      </c>
      <c r="D169" s="11">
        <v>1.8829933993409449</v>
      </c>
      <c r="E169" s="11" t="str">
        <f t="shared" si="1"/>
        <v>kilogram</v>
      </c>
      <c r="F169" s="14" t="str">
        <f t="shared" si="1"/>
        <v>Aluminium</v>
      </c>
      <c r="G169" s="11" t="s">
        <v>25</v>
      </c>
    </row>
    <row r="170" spans="1:14" x14ac:dyDescent="0.25">
      <c r="A170" s="11" t="str">
        <f>Al_Mining_GLO!A9</f>
        <v>[M+C] Bauxite mining - Global</v>
      </c>
      <c r="B170" s="11" t="str">
        <f>Al_Mining_GLO!B9</f>
        <v>Bauxite</v>
      </c>
      <c r="C170" s="11" t="str">
        <f>Al_Mining_GLO!C9</f>
        <v>GLO</v>
      </c>
      <c r="D170" s="11">
        <v>4.4201945678926515</v>
      </c>
      <c r="E170" s="11" t="str">
        <f>Al_Mining_GLO!E9</f>
        <v>kilogram</v>
      </c>
      <c r="F170" s="14" t="str">
        <f>Al_Mining_GLO!F9</f>
        <v>Aluminium</v>
      </c>
      <c r="G170" s="11" t="s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8" tint="0.39997558519241921"/>
  </sheetPr>
  <dimension ref="A1:N121"/>
  <sheetViews>
    <sheetView workbookViewId="0">
      <selection activeCell="C127" sqref="C127"/>
    </sheetView>
  </sheetViews>
  <sheetFormatPr baseColWidth="10" defaultColWidth="8.7109375" defaultRowHeight="15" x14ac:dyDescent="0.25"/>
  <cols>
    <col min="1" max="1" width="61.5703125" style="11" bestFit="1" customWidth="1"/>
    <col min="2" max="2" width="51.5703125" style="11" bestFit="1" customWidth="1"/>
    <col min="3" max="3" width="25.85546875" style="11" bestFit="1" customWidth="1"/>
    <col min="4" max="4" width="12.7109375" style="11" bestFit="1" customWidth="1"/>
    <col min="5" max="5" width="17.5703125" style="11" bestFit="1" customWidth="1"/>
    <col min="6" max="6" width="19.7109375" style="11" bestFit="1" customWidth="1"/>
    <col min="7" max="7" width="13.28515625" style="11" bestFit="1" customWidth="1"/>
    <col min="8" max="8" width="25.28515625" style="11" bestFit="1" customWidth="1"/>
    <col min="9" max="9" width="15.5703125" style="11" bestFit="1" customWidth="1"/>
    <col min="10" max="10" width="9.7109375" style="11" bestFit="1" customWidth="1"/>
    <col min="11" max="11" width="3.5703125" style="11" bestFit="1" customWidth="1"/>
    <col min="12" max="12" width="5.42578125" style="11" bestFit="1" customWidth="1"/>
    <col min="13" max="13" width="9.5703125" style="11" bestFit="1" customWidth="1"/>
    <col min="14" max="14" width="9.85546875" style="11" bestFit="1" customWidth="1"/>
    <col min="15" max="16384" width="8.7109375" style="11"/>
  </cols>
  <sheetData>
    <row r="1" spans="1:14" x14ac:dyDescent="0.25">
      <c r="A1" s="10" t="s">
        <v>0</v>
      </c>
      <c r="B1" s="10" t="s">
        <v>119</v>
      </c>
    </row>
    <row r="2" spans="1:14" x14ac:dyDescent="0.25">
      <c r="A2" s="12" t="s">
        <v>1</v>
      </c>
      <c r="B2" s="11" t="s">
        <v>120</v>
      </c>
    </row>
    <row r="3" spans="1:14" x14ac:dyDescent="0.25">
      <c r="A3" s="12" t="s">
        <v>2</v>
      </c>
      <c r="B3" s="11" t="s">
        <v>190</v>
      </c>
    </row>
    <row r="4" spans="1:14" x14ac:dyDescent="0.25">
      <c r="A4" s="12" t="s">
        <v>3</v>
      </c>
      <c r="B4" s="13">
        <v>1</v>
      </c>
    </row>
    <row r="5" spans="1:14" x14ac:dyDescent="0.25">
      <c r="A5" s="12" t="s">
        <v>4</v>
      </c>
      <c r="B5" s="11" t="s">
        <v>5</v>
      </c>
    </row>
    <row r="6" spans="1:14" x14ac:dyDescent="0.25">
      <c r="A6" s="12" t="s">
        <v>6</v>
      </c>
      <c r="B6" s="11" t="s">
        <v>7</v>
      </c>
    </row>
    <row r="7" spans="1:14" x14ac:dyDescent="0.25">
      <c r="A7" s="12" t="s">
        <v>8</v>
      </c>
    </row>
    <row r="8" spans="1:14" x14ac:dyDescent="0.25">
      <c r="A8" s="10" t="s">
        <v>9</v>
      </c>
      <c r="B8" s="10" t="s">
        <v>1</v>
      </c>
      <c r="C8" s="10" t="s">
        <v>2</v>
      </c>
      <c r="D8" s="10" t="s">
        <v>3</v>
      </c>
      <c r="E8" s="10" t="s">
        <v>4</v>
      </c>
      <c r="F8" s="10" t="s">
        <v>10</v>
      </c>
      <c r="G8" s="10" t="s">
        <v>11</v>
      </c>
      <c r="H8" s="10" t="s">
        <v>12</v>
      </c>
      <c r="I8" s="10" t="s">
        <v>13</v>
      </c>
      <c r="J8" s="10" t="s">
        <v>14</v>
      </c>
      <c r="K8" s="10" t="s">
        <v>15</v>
      </c>
      <c r="L8" s="10" t="s">
        <v>16</v>
      </c>
      <c r="M8" s="10" t="s">
        <v>17</v>
      </c>
      <c r="N8" s="10" t="s">
        <v>18</v>
      </c>
    </row>
    <row r="9" spans="1:14" x14ac:dyDescent="0.25">
      <c r="A9" s="11" t="str">
        <f>B1</f>
        <v>[P] Alumina production</v>
      </c>
      <c r="B9" s="11" t="str">
        <f>B2</f>
        <v>Alumina</v>
      </c>
      <c r="C9" s="11" t="str">
        <f>B3</f>
        <v>Russia and Rest-of-Europe</v>
      </c>
      <c r="D9" s="13">
        <v>1</v>
      </c>
      <c r="E9" s="11" t="s">
        <v>5</v>
      </c>
      <c r="F9" s="14" t="str">
        <f>Al_Market_GLO!B1</f>
        <v>Aluminium</v>
      </c>
      <c r="G9" s="11" t="s">
        <v>19</v>
      </c>
    </row>
    <row r="10" spans="1:14" x14ac:dyDescent="0.25">
      <c r="A10" s="11" t="s">
        <v>121</v>
      </c>
      <c r="B10" s="11" t="s">
        <v>122</v>
      </c>
      <c r="C10" s="11" t="s">
        <v>22</v>
      </c>
      <c r="D10" s="11">
        <v>8.5365300000000008</v>
      </c>
      <c r="E10" s="11" t="s">
        <v>105</v>
      </c>
      <c r="F10" s="11" t="s">
        <v>24</v>
      </c>
      <c r="G10" s="11" t="s">
        <v>25</v>
      </c>
      <c r="J10" s="11" t="s">
        <v>127</v>
      </c>
    </row>
    <row r="11" spans="1:14" x14ac:dyDescent="0.25">
      <c r="A11" s="11" t="s">
        <v>125</v>
      </c>
      <c r="B11" s="11" t="s">
        <v>126</v>
      </c>
      <c r="C11" s="11" t="s">
        <v>88</v>
      </c>
      <c r="D11" s="11">
        <v>1.2288748771922431</v>
      </c>
      <c r="E11" s="11" t="s">
        <v>105</v>
      </c>
      <c r="F11" s="11" t="s">
        <v>24</v>
      </c>
      <c r="G11" s="11" t="s">
        <v>25</v>
      </c>
      <c r="J11" s="11" t="s">
        <v>127</v>
      </c>
    </row>
    <row r="12" spans="1:14" x14ac:dyDescent="0.25">
      <c r="A12" s="11" t="s">
        <v>32</v>
      </c>
      <c r="B12" s="11" t="s">
        <v>33</v>
      </c>
      <c r="C12" s="11" t="s">
        <v>89</v>
      </c>
      <c r="D12" s="11">
        <v>5.2065848718749329E-2</v>
      </c>
      <c r="E12" s="11" t="s">
        <v>5</v>
      </c>
      <c r="F12" s="11" t="s">
        <v>24</v>
      </c>
      <c r="G12" s="11" t="s">
        <v>25</v>
      </c>
      <c r="J12" s="11" t="s">
        <v>127</v>
      </c>
    </row>
    <row r="13" spans="1:14" x14ac:dyDescent="0.25">
      <c r="A13" s="11" t="s">
        <v>77</v>
      </c>
      <c r="B13" s="11" t="s">
        <v>78</v>
      </c>
      <c r="C13" s="11" t="s">
        <v>88</v>
      </c>
      <c r="D13" s="11">
        <v>8.8496503075315883E-2</v>
      </c>
      <c r="E13" s="11" t="s">
        <v>5</v>
      </c>
      <c r="F13" s="11" t="s">
        <v>24</v>
      </c>
      <c r="G13" s="11" t="s">
        <v>25</v>
      </c>
      <c r="J13" s="11" t="s">
        <v>127</v>
      </c>
    </row>
    <row r="14" spans="1:14" x14ac:dyDescent="0.25">
      <c r="A14" s="11" t="s">
        <v>57</v>
      </c>
      <c r="B14" s="11" t="s">
        <v>58</v>
      </c>
      <c r="C14" s="11" t="s">
        <v>191</v>
      </c>
      <c r="D14" s="11">
        <v>0.35226648471299038</v>
      </c>
      <c r="E14" s="11" t="s">
        <v>49</v>
      </c>
      <c r="F14" s="11" t="s">
        <v>24</v>
      </c>
      <c r="G14" s="11" t="s">
        <v>25</v>
      </c>
      <c r="J14" s="11" t="s">
        <v>127</v>
      </c>
    </row>
    <row r="15" spans="1:14" x14ac:dyDescent="0.25">
      <c r="A15" s="11" t="s">
        <v>26</v>
      </c>
      <c r="B15" s="11" t="s">
        <v>27</v>
      </c>
      <c r="C15" s="11" t="s">
        <v>89</v>
      </c>
      <c r="D15" s="11">
        <v>0.13314007347628179</v>
      </c>
      <c r="E15" s="11" t="s">
        <v>28</v>
      </c>
      <c r="F15" s="11" t="s">
        <v>24</v>
      </c>
      <c r="G15" s="11" t="s">
        <v>25</v>
      </c>
      <c r="J15" s="11" t="s">
        <v>127</v>
      </c>
    </row>
    <row r="16" spans="1:14" x14ac:dyDescent="0.25">
      <c r="A16" s="11" t="s">
        <v>161</v>
      </c>
      <c r="B16" s="11" t="s">
        <v>162</v>
      </c>
      <c r="C16" s="11" t="s">
        <v>163</v>
      </c>
      <c r="D16" s="11">
        <v>6.5116073977366281E-4</v>
      </c>
      <c r="E16" s="11" t="s">
        <v>28</v>
      </c>
      <c r="F16" s="11" t="s">
        <v>24</v>
      </c>
      <c r="G16" s="11" t="s">
        <v>25</v>
      </c>
      <c r="J16" s="11" t="s">
        <v>127</v>
      </c>
    </row>
    <row r="17" spans="1:10" x14ac:dyDescent="0.25">
      <c r="A17" s="11" t="s">
        <v>130</v>
      </c>
      <c r="B17" s="11" t="s">
        <v>131</v>
      </c>
      <c r="C17" s="11" t="s">
        <v>89</v>
      </c>
      <c r="D17" s="11">
        <v>-2.8407169669425799E-2</v>
      </c>
      <c r="E17" s="11" t="s">
        <v>5</v>
      </c>
      <c r="F17" s="11" t="s">
        <v>24</v>
      </c>
      <c r="G17" s="11" t="s">
        <v>25</v>
      </c>
      <c r="J17" s="11" t="s">
        <v>141</v>
      </c>
    </row>
    <row r="18" spans="1:10" x14ac:dyDescent="0.25">
      <c r="A18" s="11" t="s">
        <v>36</v>
      </c>
      <c r="B18" s="11" t="s">
        <v>37</v>
      </c>
      <c r="C18" s="11" t="s">
        <v>29</v>
      </c>
      <c r="D18" s="11">
        <v>-4.1387956880618353E-2</v>
      </c>
      <c r="E18" s="11" t="s">
        <v>5</v>
      </c>
      <c r="F18" s="11" t="s">
        <v>24</v>
      </c>
      <c r="G18" s="11" t="s">
        <v>25</v>
      </c>
      <c r="J18" s="11" t="s">
        <v>127</v>
      </c>
    </row>
    <row r="19" spans="1:10" x14ac:dyDescent="0.25">
      <c r="A19" s="11" t="s">
        <v>130</v>
      </c>
      <c r="B19" s="11" t="s">
        <v>131</v>
      </c>
      <c r="C19" s="11" t="s">
        <v>89</v>
      </c>
      <c r="D19" s="11">
        <v>-1.35637560411291</v>
      </c>
      <c r="E19" s="11" t="s">
        <v>5</v>
      </c>
      <c r="F19" s="11" t="s">
        <v>24</v>
      </c>
      <c r="G19" s="11" t="s">
        <v>25</v>
      </c>
      <c r="J19" s="11" t="s">
        <v>141</v>
      </c>
    </row>
    <row r="20" spans="1:10" x14ac:dyDescent="0.25">
      <c r="A20" s="11" t="s">
        <v>185</v>
      </c>
      <c r="B20" s="11" t="s">
        <v>186</v>
      </c>
      <c r="C20" s="11" t="s">
        <v>29</v>
      </c>
      <c r="D20" s="11">
        <v>-3.9536387139684867E-2</v>
      </c>
      <c r="E20" s="11" t="s">
        <v>5</v>
      </c>
      <c r="F20" s="11" t="s">
        <v>24</v>
      </c>
      <c r="G20" s="11" t="s">
        <v>25</v>
      </c>
      <c r="J20" s="11" t="s">
        <v>127</v>
      </c>
    </row>
    <row r="21" spans="1:10" x14ac:dyDescent="0.25">
      <c r="A21" s="11" t="s">
        <v>38</v>
      </c>
      <c r="B21" s="11" t="s">
        <v>39</v>
      </c>
      <c r="C21" s="11" t="s">
        <v>88</v>
      </c>
      <c r="D21" s="11">
        <v>-3.4761688663667037E-2</v>
      </c>
      <c r="E21" s="11" t="s">
        <v>5</v>
      </c>
      <c r="F21" s="11" t="s">
        <v>24</v>
      </c>
      <c r="G21" s="11" t="s">
        <v>25</v>
      </c>
      <c r="J21" s="11" t="s">
        <v>127</v>
      </c>
    </row>
    <row r="22" spans="1:10" x14ac:dyDescent="0.25">
      <c r="A22" s="11" t="s">
        <v>48</v>
      </c>
      <c r="D22" s="11">
        <v>1.6650079486404078E-2</v>
      </c>
      <c r="E22" s="11" t="s">
        <v>49</v>
      </c>
      <c r="F22" s="11" t="s">
        <v>42</v>
      </c>
      <c r="G22" s="11" t="s">
        <v>43</v>
      </c>
      <c r="H22" s="11" t="s">
        <v>47</v>
      </c>
      <c r="J22" s="11" t="s">
        <v>127</v>
      </c>
    </row>
    <row r="23" spans="1:10" x14ac:dyDescent="0.25">
      <c r="A23" s="11" t="s">
        <v>48</v>
      </c>
      <c r="D23" s="11">
        <v>7.6731596747299834E-3</v>
      </c>
      <c r="E23" s="11" t="s">
        <v>49</v>
      </c>
      <c r="F23" s="11" t="s">
        <v>42</v>
      </c>
      <c r="G23" s="11" t="s">
        <v>43</v>
      </c>
      <c r="H23" s="11" t="s">
        <v>47</v>
      </c>
      <c r="J23" s="11" t="s">
        <v>127</v>
      </c>
    </row>
    <row r="24" spans="1:10" x14ac:dyDescent="0.25">
      <c r="A24" s="11" t="s">
        <v>117</v>
      </c>
      <c r="D24" s="11">
        <v>1.94714419604643E-3</v>
      </c>
      <c r="E24" s="11" t="s">
        <v>45</v>
      </c>
      <c r="F24" s="11" t="s">
        <v>42</v>
      </c>
      <c r="G24" s="11" t="s">
        <v>43</v>
      </c>
      <c r="H24" s="11" t="s">
        <v>44</v>
      </c>
      <c r="J24" s="11" t="s">
        <v>61</v>
      </c>
    </row>
    <row r="25" spans="1:10" x14ac:dyDescent="0.25">
      <c r="A25" s="11" t="s">
        <v>46</v>
      </c>
      <c r="D25" s="11">
        <v>1.94714419604643E-3</v>
      </c>
      <c r="E25" s="11" t="s">
        <v>45</v>
      </c>
      <c r="F25" s="11" t="s">
        <v>42</v>
      </c>
      <c r="G25" s="11" t="s">
        <v>43</v>
      </c>
      <c r="H25" s="11" t="s">
        <v>44</v>
      </c>
      <c r="J25" s="11" t="s">
        <v>61</v>
      </c>
    </row>
    <row r="26" spans="1:10" x14ac:dyDescent="0.25">
      <c r="A26" s="11" t="s">
        <v>40</v>
      </c>
      <c r="D26" s="11">
        <v>4.0839521680581871E-8</v>
      </c>
      <c r="E26" s="11" t="s">
        <v>41</v>
      </c>
      <c r="F26" s="11" t="s">
        <v>42</v>
      </c>
      <c r="G26" s="11" t="s">
        <v>43</v>
      </c>
      <c r="H26" s="11" t="s">
        <v>44</v>
      </c>
      <c r="J26" s="11" t="s">
        <v>61</v>
      </c>
    </row>
    <row r="27" spans="1:10" x14ac:dyDescent="0.25">
      <c r="A27" s="11" t="s">
        <v>64</v>
      </c>
      <c r="D27" s="11">
        <v>2.8297563425666431E-4</v>
      </c>
      <c r="E27" s="11" t="s">
        <v>5</v>
      </c>
      <c r="F27" s="11" t="s">
        <v>42</v>
      </c>
      <c r="G27" s="11" t="s">
        <v>43</v>
      </c>
      <c r="H27" s="11" t="s">
        <v>63</v>
      </c>
      <c r="J27" s="11" t="s">
        <v>127</v>
      </c>
    </row>
    <row r="28" spans="1:10" x14ac:dyDescent="0.25">
      <c r="A28" s="11" t="s">
        <v>62</v>
      </c>
      <c r="D28" s="11">
        <v>4.3340026408234344E-6</v>
      </c>
      <c r="E28" s="11" t="s">
        <v>5</v>
      </c>
      <c r="F28" s="11" t="s">
        <v>42</v>
      </c>
      <c r="G28" s="11" t="s">
        <v>43</v>
      </c>
      <c r="H28" s="11" t="s">
        <v>63</v>
      </c>
      <c r="J28" s="11" t="s">
        <v>127</v>
      </c>
    </row>
    <row r="29" spans="1:10" x14ac:dyDescent="0.25">
      <c r="A29" s="11" t="s">
        <v>73</v>
      </c>
      <c r="D29" s="11">
        <v>2.6164748894533479E-4</v>
      </c>
      <c r="E29" s="11" t="s">
        <v>5</v>
      </c>
      <c r="F29" s="11" t="s">
        <v>42</v>
      </c>
      <c r="G29" s="11" t="s">
        <v>43</v>
      </c>
      <c r="H29" s="11" t="s">
        <v>63</v>
      </c>
      <c r="J29" s="11" t="s">
        <v>127</v>
      </c>
    </row>
    <row r="30" spans="1:10" x14ac:dyDescent="0.25">
      <c r="A30" s="11" t="s">
        <v>118</v>
      </c>
      <c r="D30" s="11">
        <v>9.0996817769442261E-3</v>
      </c>
      <c r="E30" s="11" t="s">
        <v>49</v>
      </c>
      <c r="F30" s="11" t="s">
        <v>42</v>
      </c>
      <c r="G30" s="11" t="s">
        <v>43</v>
      </c>
      <c r="H30" s="11" t="s">
        <v>96</v>
      </c>
      <c r="J30" s="11" t="s">
        <v>127</v>
      </c>
    </row>
    <row r="31" spans="1:10" x14ac:dyDescent="0.25">
      <c r="A31" s="11" t="s">
        <v>97</v>
      </c>
      <c r="D31" s="11">
        <v>2.275434096406364E-5</v>
      </c>
      <c r="E31" s="11" t="s">
        <v>5</v>
      </c>
      <c r="F31" s="11" t="s">
        <v>42</v>
      </c>
      <c r="G31" s="11" t="s">
        <v>43</v>
      </c>
      <c r="H31" s="11" t="s">
        <v>96</v>
      </c>
      <c r="J31" s="11" t="s">
        <v>127</v>
      </c>
    </row>
    <row r="32" spans="1:10" x14ac:dyDescent="0.25">
      <c r="A32" s="11" t="s">
        <v>100</v>
      </c>
      <c r="D32" s="11">
        <v>2.1532163247347971E-4</v>
      </c>
      <c r="E32" s="11" t="s">
        <v>5</v>
      </c>
      <c r="F32" s="11" t="s">
        <v>42</v>
      </c>
      <c r="G32" s="11" t="s">
        <v>43</v>
      </c>
      <c r="H32" s="11" t="s">
        <v>96</v>
      </c>
      <c r="J32" s="11" t="s">
        <v>127</v>
      </c>
    </row>
    <row r="33" spans="1:14" s="8" customFormat="1" x14ac:dyDescent="0.25"/>
    <row r="34" spans="1:14" x14ac:dyDescent="0.25">
      <c r="A34" s="10" t="s">
        <v>0</v>
      </c>
      <c r="B34" s="10" t="s">
        <v>133</v>
      </c>
    </row>
    <row r="35" spans="1:14" x14ac:dyDescent="0.25">
      <c r="A35" s="12" t="s">
        <v>1</v>
      </c>
      <c r="B35" s="11" t="s">
        <v>134</v>
      </c>
    </row>
    <row r="36" spans="1:14" x14ac:dyDescent="0.25">
      <c r="A36" s="12" t="s">
        <v>2</v>
      </c>
      <c r="B36" s="11" t="s">
        <v>190</v>
      </c>
    </row>
    <row r="37" spans="1:14" x14ac:dyDescent="0.25">
      <c r="A37" s="12" t="s">
        <v>3</v>
      </c>
      <c r="B37" s="13">
        <v>1</v>
      </c>
    </row>
    <row r="38" spans="1:14" x14ac:dyDescent="0.25">
      <c r="A38" s="12" t="s">
        <v>4</v>
      </c>
      <c r="B38" s="11" t="s">
        <v>5</v>
      </c>
    </row>
    <row r="39" spans="1:14" x14ac:dyDescent="0.25">
      <c r="A39" s="12" t="s">
        <v>6</v>
      </c>
      <c r="B39" s="11" t="s">
        <v>7</v>
      </c>
    </row>
    <row r="40" spans="1:14" x14ac:dyDescent="0.25">
      <c r="A40" s="12" t="s">
        <v>8</v>
      </c>
    </row>
    <row r="41" spans="1:14" x14ac:dyDescent="0.25">
      <c r="A41" s="10" t="s">
        <v>9</v>
      </c>
      <c r="B41" s="10" t="s">
        <v>1</v>
      </c>
      <c r="C41" s="10" t="s">
        <v>2</v>
      </c>
      <c r="D41" s="10" t="s">
        <v>3</v>
      </c>
      <c r="E41" s="10" t="s">
        <v>4</v>
      </c>
      <c r="F41" s="10" t="s">
        <v>10</v>
      </c>
      <c r="G41" s="10" t="s">
        <v>11</v>
      </c>
      <c r="H41" s="10" t="s">
        <v>12</v>
      </c>
      <c r="I41" s="10" t="s">
        <v>13</v>
      </c>
      <c r="J41" s="10" t="s">
        <v>14</v>
      </c>
      <c r="K41" s="10" t="s">
        <v>15</v>
      </c>
      <c r="L41" s="10" t="s">
        <v>16</v>
      </c>
      <c r="M41" s="10" t="s">
        <v>17</v>
      </c>
      <c r="N41" s="10" t="s">
        <v>18</v>
      </c>
    </row>
    <row r="42" spans="1:14" x14ac:dyDescent="0.25">
      <c r="A42" s="11" t="str">
        <f>B34</f>
        <v>[P] Anode/Paste production</v>
      </c>
      <c r="B42" s="11" t="str">
        <f>B35</f>
        <v>Anode/Paste</v>
      </c>
      <c r="C42" s="11" t="str">
        <f>B36</f>
        <v>Russia and Rest-of-Europe</v>
      </c>
      <c r="D42" s="13">
        <v>1</v>
      </c>
      <c r="E42" s="11" t="s">
        <v>5</v>
      </c>
      <c r="F42" s="14" t="str">
        <f>F9</f>
        <v>Aluminium</v>
      </c>
      <c r="G42" s="11" t="s">
        <v>19</v>
      </c>
    </row>
    <row r="43" spans="1:14" x14ac:dyDescent="0.25">
      <c r="A43" s="11" t="s">
        <v>135</v>
      </c>
      <c r="B43" s="11" t="s">
        <v>136</v>
      </c>
      <c r="C43" s="11" t="s">
        <v>22</v>
      </c>
      <c r="D43" s="11">
        <v>0.73395153942804137</v>
      </c>
      <c r="E43" s="11" t="s">
        <v>5</v>
      </c>
      <c r="F43" s="11" t="s">
        <v>24</v>
      </c>
      <c r="G43" s="11" t="s">
        <v>25</v>
      </c>
      <c r="J43" s="11" t="s">
        <v>127</v>
      </c>
    </row>
    <row r="44" spans="1:14" x14ac:dyDescent="0.25">
      <c r="A44" s="11" t="s">
        <v>137</v>
      </c>
      <c r="B44" s="11" t="s">
        <v>138</v>
      </c>
      <c r="C44" s="11" t="s">
        <v>88</v>
      </c>
      <c r="D44" s="11">
        <v>0.25679503763130029</v>
      </c>
      <c r="E44" s="11" t="s">
        <v>5</v>
      </c>
      <c r="F44" s="11" t="s">
        <v>24</v>
      </c>
      <c r="G44" s="11" t="s">
        <v>25</v>
      </c>
      <c r="J44" s="11" t="s">
        <v>127</v>
      </c>
    </row>
    <row r="45" spans="1:14" x14ac:dyDescent="0.25">
      <c r="A45" s="11" t="s">
        <v>110</v>
      </c>
      <c r="B45" s="11" t="s">
        <v>111</v>
      </c>
      <c r="C45" s="11" t="s">
        <v>88</v>
      </c>
      <c r="D45" s="11">
        <v>2.888728539308141E-2</v>
      </c>
      <c r="E45" s="11" t="s">
        <v>5</v>
      </c>
      <c r="F45" s="11" t="s">
        <v>24</v>
      </c>
      <c r="G45" s="11" t="s">
        <v>25</v>
      </c>
      <c r="J45" s="11" t="s">
        <v>127</v>
      </c>
    </row>
    <row r="46" spans="1:14" x14ac:dyDescent="0.25">
      <c r="A46" s="11" t="s">
        <v>20</v>
      </c>
      <c r="B46" s="11" t="s">
        <v>21</v>
      </c>
      <c r="C46" s="11" t="s">
        <v>22</v>
      </c>
      <c r="D46" s="11">
        <v>3.9368491295260896E-3</v>
      </c>
      <c r="E46" s="11" t="s">
        <v>23</v>
      </c>
      <c r="F46" s="11" t="s">
        <v>24</v>
      </c>
      <c r="G46" s="11" t="s">
        <v>25</v>
      </c>
      <c r="J46" s="11" t="s">
        <v>127</v>
      </c>
    </row>
    <row r="47" spans="1:14" x14ac:dyDescent="0.25">
      <c r="A47" s="11" t="s">
        <v>57</v>
      </c>
      <c r="B47" s="11" t="s">
        <v>58</v>
      </c>
      <c r="C47" s="11" t="s">
        <v>191</v>
      </c>
      <c r="D47" s="11">
        <v>6.8379891029219722E-3</v>
      </c>
      <c r="E47" s="11" t="s">
        <v>49</v>
      </c>
      <c r="F47" s="11" t="s">
        <v>24</v>
      </c>
      <c r="G47" s="11" t="s">
        <v>25</v>
      </c>
      <c r="J47" s="11" t="s">
        <v>127</v>
      </c>
    </row>
    <row r="48" spans="1:14" x14ac:dyDescent="0.25">
      <c r="A48" s="11" t="s">
        <v>26</v>
      </c>
      <c r="B48" s="11" t="s">
        <v>27</v>
      </c>
      <c r="C48" s="11" t="s">
        <v>89</v>
      </c>
      <c r="D48" s="11">
        <v>0.15145734026298929</v>
      </c>
      <c r="E48" s="11" t="s">
        <v>28</v>
      </c>
      <c r="F48" s="11" t="s">
        <v>24</v>
      </c>
      <c r="G48" s="11" t="s">
        <v>25</v>
      </c>
      <c r="J48" s="11" t="s">
        <v>127</v>
      </c>
    </row>
    <row r="49" spans="1:14" x14ac:dyDescent="0.25">
      <c r="A49" s="11" t="s">
        <v>142</v>
      </c>
      <c r="B49" s="11" t="s">
        <v>143</v>
      </c>
      <c r="C49" s="11" t="s">
        <v>89</v>
      </c>
      <c r="D49" s="11">
        <v>-4.8389751191564639E-3</v>
      </c>
      <c r="E49" s="11" t="s">
        <v>5</v>
      </c>
      <c r="F49" s="11" t="s">
        <v>24</v>
      </c>
      <c r="G49" s="11" t="s">
        <v>25</v>
      </c>
      <c r="J49" s="11" t="s">
        <v>116</v>
      </c>
    </row>
    <row r="50" spans="1:14" x14ac:dyDescent="0.25">
      <c r="A50" s="11" t="s">
        <v>145</v>
      </c>
      <c r="B50" s="11" t="s">
        <v>146</v>
      </c>
      <c r="C50" s="11" t="s">
        <v>29</v>
      </c>
      <c r="D50" s="11">
        <v>-1.008233021894493E-2</v>
      </c>
      <c r="E50" s="11" t="s">
        <v>5</v>
      </c>
      <c r="F50" s="11" t="s">
        <v>24</v>
      </c>
      <c r="G50" s="11" t="s">
        <v>25</v>
      </c>
      <c r="J50" s="11" t="s">
        <v>116</v>
      </c>
    </row>
    <row r="51" spans="1:14" s="8" customFormat="1" x14ac:dyDescent="0.25"/>
    <row r="52" spans="1:14" x14ac:dyDescent="0.25">
      <c r="A52" s="10" t="s">
        <v>0</v>
      </c>
      <c r="B52" s="10" t="s">
        <v>147</v>
      </c>
    </row>
    <row r="53" spans="1:14" x14ac:dyDescent="0.25">
      <c r="A53" s="12" t="s">
        <v>1</v>
      </c>
      <c r="B53" s="11" t="s">
        <v>148</v>
      </c>
    </row>
    <row r="54" spans="1:14" x14ac:dyDescent="0.25">
      <c r="A54" s="12" t="s">
        <v>2</v>
      </c>
      <c r="B54" s="11" t="s">
        <v>190</v>
      </c>
    </row>
    <row r="55" spans="1:14" x14ac:dyDescent="0.25">
      <c r="A55" s="12" t="s">
        <v>3</v>
      </c>
      <c r="B55" s="13">
        <v>1</v>
      </c>
    </row>
    <row r="56" spans="1:14" x14ac:dyDescent="0.25">
      <c r="A56" s="12" t="s">
        <v>4</v>
      </c>
      <c r="B56" s="11" t="s">
        <v>5</v>
      </c>
    </row>
    <row r="57" spans="1:14" x14ac:dyDescent="0.25">
      <c r="A57" s="12" t="s">
        <v>6</v>
      </c>
      <c r="B57" s="11" t="s">
        <v>7</v>
      </c>
    </row>
    <row r="58" spans="1:14" x14ac:dyDescent="0.25">
      <c r="A58" s="12" t="s">
        <v>8</v>
      </c>
    </row>
    <row r="59" spans="1:14" x14ac:dyDescent="0.25">
      <c r="A59" s="10" t="s">
        <v>9</v>
      </c>
      <c r="B59" s="10" t="s">
        <v>1</v>
      </c>
      <c r="C59" s="10" t="s">
        <v>2</v>
      </c>
      <c r="D59" s="10" t="s">
        <v>3</v>
      </c>
      <c r="E59" s="10" t="s">
        <v>4</v>
      </c>
      <c r="F59" s="10" t="s">
        <v>10</v>
      </c>
      <c r="G59" s="10" t="s">
        <v>11</v>
      </c>
      <c r="H59" s="10" t="s">
        <v>12</v>
      </c>
      <c r="I59" s="10" t="s">
        <v>13</v>
      </c>
      <c r="J59" s="10" t="s">
        <v>14</v>
      </c>
      <c r="K59" s="10" t="s">
        <v>15</v>
      </c>
      <c r="L59" s="10" t="s">
        <v>16</v>
      </c>
      <c r="M59" s="10" t="s">
        <v>17</v>
      </c>
      <c r="N59" s="10" t="s">
        <v>18</v>
      </c>
    </row>
    <row r="60" spans="1:14" x14ac:dyDescent="0.25">
      <c r="A60" s="11" t="str">
        <f>B52</f>
        <v>[R] Electrolysis</v>
      </c>
      <c r="B60" s="11" t="str">
        <f>B53</f>
        <v>Liquid aluminium (Al)</v>
      </c>
      <c r="C60" s="11" t="str">
        <f>B54</f>
        <v>Russia and Rest-of-Europe</v>
      </c>
      <c r="D60" s="13">
        <v>1</v>
      </c>
      <c r="E60" s="11" t="s">
        <v>5</v>
      </c>
      <c r="F60" s="14" t="str">
        <f>F42</f>
        <v>Aluminium</v>
      </c>
      <c r="G60" s="11" t="s">
        <v>19</v>
      </c>
    </row>
    <row r="61" spans="1:14" x14ac:dyDescent="0.25">
      <c r="A61" s="11" t="s">
        <v>121</v>
      </c>
      <c r="B61" s="11" t="s">
        <v>122</v>
      </c>
      <c r="C61" s="11" t="s">
        <v>22</v>
      </c>
      <c r="D61" s="11">
        <v>4.6214271241238123</v>
      </c>
      <c r="E61" s="11" t="s">
        <v>105</v>
      </c>
      <c r="F61" s="11" t="s">
        <v>24</v>
      </c>
      <c r="G61" s="11" t="s">
        <v>25</v>
      </c>
      <c r="J61" s="11" t="s">
        <v>127</v>
      </c>
    </row>
    <row r="62" spans="1:14" x14ac:dyDescent="0.25">
      <c r="A62" s="11" t="s">
        <v>125</v>
      </c>
      <c r="B62" s="11" t="s">
        <v>126</v>
      </c>
      <c r="C62" s="11" t="s">
        <v>88</v>
      </c>
      <c r="D62" s="11">
        <v>7.5331410922551871</v>
      </c>
      <c r="E62" s="11" t="s">
        <v>105</v>
      </c>
      <c r="F62" s="11" t="s">
        <v>24</v>
      </c>
      <c r="G62" s="11" t="s">
        <v>25</v>
      </c>
      <c r="J62" s="11" t="s">
        <v>127</v>
      </c>
    </row>
    <row r="63" spans="1:14" x14ac:dyDescent="0.25">
      <c r="A63" s="11" t="s">
        <v>149</v>
      </c>
      <c r="B63" s="11" t="s">
        <v>150</v>
      </c>
      <c r="C63" s="11" t="s">
        <v>22</v>
      </c>
      <c r="D63" s="11">
        <v>8.9397052823139336E-3</v>
      </c>
      <c r="E63" s="11" t="s">
        <v>5</v>
      </c>
      <c r="F63" s="11" t="s">
        <v>24</v>
      </c>
      <c r="G63" s="11" t="s">
        <v>25</v>
      </c>
      <c r="J63" s="11" t="s">
        <v>127</v>
      </c>
    </row>
    <row r="64" spans="1:14" x14ac:dyDescent="0.25">
      <c r="A64" s="11" t="s">
        <v>151</v>
      </c>
      <c r="B64" s="11" t="s">
        <v>152</v>
      </c>
      <c r="C64" s="11" t="s">
        <v>22</v>
      </c>
      <c r="D64" s="11">
        <v>2.2685165342886639E-2</v>
      </c>
      <c r="E64" s="11" t="s">
        <v>5</v>
      </c>
      <c r="F64" s="11" t="s">
        <v>24</v>
      </c>
      <c r="G64" s="11" t="s">
        <v>25</v>
      </c>
      <c r="J64" s="11" t="s">
        <v>127</v>
      </c>
    </row>
    <row r="65" spans="1:10" x14ac:dyDescent="0.25">
      <c r="A65" s="11" t="s">
        <v>26</v>
      </c>
      <c r="B65" s="11" t="s">
        <v>27</v>
      </c>
      <c r="C65" s="11" t="s">
        <v>89</v>
      </c>
      <c r="D65" s="11">
        <v>15.98653920465528</v>
      </c>
      <c r="E65" s="11" t="s">
        <v>28</v>
      </c>
      <c r="F65" s="11" t="s">
        <v>24</v>
      </c>
      <c r="G65" s="11" t="s">
        <v>25</v>
      </c>
      <c r="J65" s="11" t="s">
        <v>61</v>
      </c>
    </row>
    <row r="66" spans="1:10" x14ac:dyDescent="0.25">
      <c r="A66" s="11" t="s">
        <v>145</v>
      </c>
      <c r="B66" s="11" t="s">
        <v>146</v>
      </c>
      <c r="C66" s="11" t="s">
        <v>29</v>
      </c>
      <c r="D66" s="11">
        <v>-6.5159475110066912E-3</v>
      </c>
      <c r="E66" s="11" t="s">
        <v>5</v>
      </c>
      <c r="F66" s="11" t="s">
        <v>24</v>
      </c>
      <c r="G66" s="11" t="s">
        <v>25</v>
      </c>
      <c r="J66" s="11" t="s">
        <v>127</v>
      </c>
    </row>
    <row r="67" spans="1:10" x14ac:dyDescent="0.25">
      <c r="A67" s="11" t="s">
        <v>142</v>
      </c>
      <c r="B67" s="11" t="s">
        <v>143</v>
      </c>
      <c r="C67" s="11" t="s">
        <v>89</v>
      </c>
      <c r="D67" s="11">
        <v>-2.4840147430017063E-4</v>
      </c>
      <c r="E67" s="11" t="s">
        <v>5</v>
      </c>
      <c r="F67" s="11" t="s">
        <v>24</v>
      </c>
      <c r="G67" s="11" t="s">
        <v>25</v>
      </c>
      <c r="J67" s="11" t="s">
        <v>127</v>
      </c>
    </row>
    <row r="68" spans="1:10" x14ac:dyDescent="0.25">
      <c r="A68" s="11" t="s">
        <v>144</v>
      </c>
      <c r="B68" s="11" t="s">
        <v>76</v>
      </c>
      <c r="C68" s="11" t="s">
        <v>88</v>
      </c>
      <c r="D68" s="11">
        <v>-2.9154442734718369E-2</v>
      </c>
      <c r="E68" s="11" t="s">
        <v>5</v>
      </c>
      <c r="F68" s="11" t="s">
        <v>24</v>
      </c>
      <c r="G68" s="11" t="s">
        <v>25</v>
      </c>
      <c r="J68" s="11" t="s">
        <v>127</v>
      </c>
    </row>
    <row r="69" spans="1:10" x14ac:dyDescent="0.25">
      <c r="A69" s="11" t="s">
        <v>142</v>
      </c>
      <c r="B69" s="11" t="s">
        <v>143</v>
      </c>
      <c r="C69" s="11" t="s">
        <v>89</v>
      </c>
      <c r="D69" s="11">
        <v>-1.1920461251885381E-2</v>
      </c>
      <c r="E69" s="11" t="s">
        <v>5</v>
      </c>
      <c r="F69" s="11" t="s">
        <v>24</v>
      </c>
      <c r="G69" s="11" t="s">
        <v>25</v>
      </c>
      <c r="J69" s="11" t="s">
        <v>127</v>
      </c>
    </row>
    <row r="70" spans="1:10" x14ac:dyDescent="0.25">
      <c r="A70" s="11" t="s">
        <v>145</v>
      </c>
      <c r="B70" s="11" t="s">
        <v>146</v>
      </c>
      <c r="C70" s="11" t="s">
        <v>29</v>
      </c>
      <c r="D70" s="11">
        <v>-2.2753816768994559E-2</v>
      </c>
      <c r="E70" s="11" t="s">
        <v>5</v>
      </c>
      <c r="F70" s="11" t="s">
        <v>24</v>
      </c>
      <c r="G70" s="11" t="s">
        <v>25</v>
      </c>
      <c r="J70" s="11" t="s">
        <v>127</v>
      </c>
    </row>
    <row r="71" spans="1:10" x14ac:dyDescent="0.25">
      <c r="A71" s="11" t="s">
        <v>153</v>
      </c>
      <c r="B71" s="11" t="s">
        <v>154</v>
      </c>
      <c r="C71" s="11" t="s">
        <v>88</v>
      </c>
      <c r="D71" s="11">
        <v>-5.5363886699177191E-3</v>
      </c>
      <c r="E71" s="11" t="s">
        <v>5</v>
      </c>
      <c r="F71" s="11" t="s">
        <v>24</v>
      </c>
      <c r="G71" s="11" t="s">
        <v>25</v>
      </c>
      <c r="J71" s="11" t="s">
        <v>127</v>
      </c>
    </row>
    <row r="72" spans="1:10" x14ac:dyDescent="0.25">
      <c r="A72" s="11" t="s">
        <v>64</v>
      </c>
      <c r="D72" s="11">
        <v>3.8423461908432171E-3</v>
      </c>
      <c r="E72" s="11" t="s">
        <v>5</v>
      </c>
      <c r="F72" s="11" t="s">
        <v>42</v>
      </c>
      <c r="G72" s="11" t="s">
        <v>43</v>
      </c>
      <c r="H72" s="11" t="s">
        <v>63</v>
      </c>
      <c r="J72" s="11" t="s">
        <v>127</v>
      </c>
    </row>
    <row r="73" spans="1:10" x14ac:dyDescent="0.25">
      <c r="A73" s="11" t="s">
        <v>62</v>
      </c>
      <c r="D73" s="11">
        <v>7.4570517192705209E-3</v>
      </c>
      <c r="E73" s="11" t="s">
        <v>5</v>
      </c>
      <c r="F73" s="11" t="s">
        <v>42</v>
      </c>
      <c r="G73" s="11" t="s">
        <v>43</v>
      </c>
      <c r="H73" s="11" t="s">
        <v>63</v>
      </c>
      <c r="J73" s="11" t="s">
        <v>127</v>
      </c>
    </row>
    <row r="74" spans="1:10" x14ac:dyDescent="0.25">
      <c r="A74" s="11" t="s">
        <v>73</v>
      </c>
      <c r="D74" s="11">
        <v>6.4906009330243058E-4</v>
      </c>
      <c r="E74" s="11" t="s">
        <v>5</v>
      </c>
      <c r="F74" s="11" t="s">
        <v>42</v>
      </c>
      <c r="G74" s="11" t="s">
        <v>43</v>
      </c>
      <c r="H74" s="11" t="s">
        <v>63</v>
      </c>
      <c r="J74" s="11" t="s">
        <v>127</v>
      </c>
    </row>
    <row r="75" spans="1:10" x14ac:dyDescent="0.25">
      <c r="A75" s="11" t="s">
        <v>106</v>
      </c>
      <c r="D75" s="11">
        <v>9.7982819706353766E-4</v>
      </c>
      <c r="E75" s="11" t="s">
        <v>5</v>
      </c>
      <c r="F75" s="11" t="s">
        <v>42</v>
      </c>
      <c r="G75" s="11" t="s">
        <v>43</v>
      </c>
      <c r="H75" s="11" t="s">
        <v>63</v>
      </c>
      <c r="J75" s="11" t="s">
        <v>127</v>
      </c>
    </row>
    <row r="76" spans="1:10" x14ac:dyDescent="0.25">
      <c r="A76" s="11" t="s">
        <v>106</v>
      </c>
      <c r="D76" s="11">
        <v>7.0791553587516319E-4</v>
      </c>
      <c r="E76" s="11" t="s">
        <v>5</v>
      </c>
      <c r="F76" s="11" t="s">
        <v>42</v>
      </c>
      <c r="G76" s="11" t="s">
        <v>43</v>
      </c>
      <c r="H76" s="11" t="s">
        <v>63</v>
      </c>
      <c r="J76" s="11" t="s">
        <v>127</v>
      </c>
    </row>
    <row r="77" spans="1:10" x14ac:dyDescent="0.25">
      <c r="A77" s="11" t="s">
        <v>94</v>
      </c>
      <c r="D77" s="11">
        <v>6.957828957169052E-4</v>
      </c>
      <c r="E77" s="11" t="s">
        <v>5</v>
      </c>
      <c r="F77" s="11" t="s">
        <v>42</v>
      </c>
      <c r="G77" s="11" t="s">
        <v>43</v>
      </c>
      <c r="H77" s="11" t="s">
        <v>63</v>
      </c>
      <c r="J77" s="11" t="s">
        <v>127</v>
      </c>
    </row>
    <row r="78" spans="1:10" x14ac:dyDescent="0.25">
      <c r="A78" s="11" t="s">
        <v>98</v>
      </c>
      <c r="D78" s="11">
        <v>9.8651948498393904E-7</v>
      </c>
      <c r="E78" s="11" t="s">
        <v>5</v>
      </c>
      <c r="F78" s="11" t="s">
        <v>42</v>
      </c>
      <c r="G78" s="11" t="s">
        <v>43</v>
      </c>
      <c r="H78" s="11" t="s">
        <v>63</v>
      </c>
      <c r="J78" s="11" t="s">
        <v>127</v>
      </c>
    </row>
    <row r="79" spans="1:10" x14ac:dyDescent="0.25">
      <c r="A79" s="11" t="s">
        <v>155</v>
      </c>
      <c r="D79" s="11">
        <v>4.6176193437857393E-5</v>
      </c>
      <c r="E79" s="11" t="s">
        <v>5</v>
      </c>
      <c r="F79" s="11" t="s">
        <v>42</v>
      </c>
      <c r="G79" s="11" t="s">
        <v>43</v>
      </c>
      <c r="H79" s="11" t="s">
        <v>63</v>
      </c>
      <c r="J79" s="11" t="s">
        <v>61</v>
      </c>
    </row>
    <row r="80" spans="1:10" x14ac:dyDescent="0.25">
      <c r="A80" s="11" t="s">
        <v>156</v>
      </c>
      <c r="D80" s="11">
        <v>2.6748167279595909E-6</v>
      </c>
      <c r="E80" s="11" t="s">
        <v>5</v>
      </c>
      <c r="F80" s="11" t="s">
        <v>42</v>
      </c>
      <c r="G80" s="11" t="s">
        <v>43</v>
      </c>
      <c r="H80" s="11" t="s">
        <v>63</v>
      </c>
      <c r="J80" s="11" t="s">
        <v>61</v>
      </c>
    </row>
    <row r="81" spans="1:14" x14ac:dyDescent="0.25">
      <c r="A81" s="11" t="s">
        <v>97</v>
      </c>
      <c r="D81" s="11">
        <v>1.2344406121003221E-7</v>
      </c>
      <c r="E81" s="11" t="s">
        <v>5</v>
      </c>
      <c r="F81" s="11" t="s">
        <v>42</v>
      </c>
      <c r="G81" s="11" t="s">
        <v>43</v>
      </c>
      <c r="H81" s="11" t="s">
        <v>96</v>
      </c>
      <c r="J81" s="11" t="s">
        <v>127</v>
      </c>
    </row>
    <row r="82" spans="1:14" x14ac:dyDescent="0.25">
      <c r="A82" s="11" t="s">
        <v>100</v>
      </c>
      <c r="D82" s="11">
        <v>3.0990140889547819E-9</v>
      </c>
      <c r="E82" s="11" t="s">
        <v>5</v>
      </c>
      <c r="F82" s="11" t="s">
        <v>42</v>
      </c>
      <c r="G82" s="11" t="s">
        <v>43</v>
      </c>
      <c r="H82" s="11" t="s">
        <v>96</v>
      </c>
      <c r="J82" s="11" t="s">
        <v>127</v>
      </c>
    </row>
    <row r="83" spans="1:14" x14ac:dyDescent="0.25">
      <c r="A83" s="11" t="s">
        <v>106</v>
      </c>
      <c r="D83" s="11">
        <v>5.6040504775265652E-8</v>
      </c>
      <c r="E83" s="11" t="s">
        <v>5</v>
      </c>
      <c r="F83" s="11" t="s">
        <v>42</v>
      </c>
      <c r="G83" s="11" t="s">
        <v>43</v>
      </c>
      <c r="H83" s="11" t="s">
        <v>96</v>
      </c>
      <c r="J83" s="11" t="s">
        <v>127</v>
      </c>
    </row>
    <row r="84" spans="1:14" s="8" customFormat="1" x14ac:dyDescent="0.25"/>
    <row r="85" spans="1:14" x14ac:dyDescent="0.25">
      <c r="A85" s="10" t="s">
        <v>0</v>
      </c>
      <c r="B85" s="10" t="s">
        <v>157</v>
      </c>
    </row>
    <row r="86" spans="1:14" x14ac:dyDescent="0.25">
      <c r="A86" s="12" t="s">
        <v>1</v>
      </c>
      <c r="B86" s="11" t="s">
        <v>158</v>
      </c>
    </row>
    <row r="87" spans="1:14" x14ac:dyDescent="0.25">
      <c r="A87" s="12" t="s">
        <v>2</v>
      </c>
      <c r="B87" s="11" t="s">
        <v>190</v>
      </c>
    </row>
    <row r="88" spans="1:14" x14ac:dyDescent="0.25">
      <c r="A88" s="12" t="s">
        <v>3</v>
      </c>
      <c r="B88" s="13">
        <v>1</v>
      </c>
    </row>
    <row r="89" spans="1:14" x14ac:dyDescent="0.25">
      <c r="A89" s="12" t="s">
        <v>4</v>
      </c>
      <c r="B89" s="11" t="s">
        <v>5</v>
      </c>
    </row>
    <row r="90" spans="1:14" x14ac:dyDescent="0.25">
      <c r="A90" s="12" t="s">
        <v>6</v>
      </c>
      <c r="B90" s="11" t="s">
        <v>7</v>
      </c>
    </row>
    <row r="91" spans="1:14" x14ac:dyDescent="0.25">
      <c r="A91" s="12" t="s">
        <v>8</v>
      </c>
    </row>
    <row r="92" spans="1:14" x14ac:dyDescent="0.25">
      <c r="A92" s="10" t="s">
        <v>9</v>
      </c>
      <c r="B92" s="10" t="s">
        <v>1</v>
      </c>
      <c r="C92" s="10" t="s">
        <v>2</v>
      </c>
      <c r="D92" s="10" t="s">
        <v>3</v>
      </c>
      <c r="E92" s="10" t="s">
        <v>4</v>
      </c>
      <c r="F92" s="10" t="s">
        <v>10</v>
      </c>
      <c r="G92" s="10" t="s">
        <v>11</v>
      </c>
      <c r="H92" s="10" t="s">
        <v>12</v>
      </c>
      <c r="I92" s="10" t="s">
        <v>13</v>
      </c>
      <c r="J92" s="10" t="s">
        <v>14</v>
      </c>
      <c r="K92" s="10" t="s">
        <v>15</v>
      </c>
      <c r="L92" s="10" t="s">
        <v>16</v>
      </c>
      <c r="M92" s="10" t="s">
        <v>17</v>
      </c>
      <c r="N92" s="10" t="s">
        <v>18</v>
      </c>
    </row>
    <row r="93" spans="1:14" x14ac:dyDescent="0.25">
      <c r="A93" s="11" t="str">
        <f>B85</f>
        <v>[R] Casting</v>
      </c>
      <c r="B93" s="11" t="str">
        <f>B86</f>
        <v>Al ingot</v>
      </c>
      <c r="C93" s="11" t="str">
        <f>B87</f>
        <v>Russia and Rest-of-Europe</v>
      </c>
      <c r="D93" s="13">
        <v>1</v>
      </c>
      <c r="E93" s="11" t="s">
        <v>5</v>
      </c>
      <c r="F93" s="14" t="str">
        <f>F60</f>
        <v>Aluminium</v>
      </c>
      <c r="G93" s="11" t="s">
        <v>19</v>
      </c>
    </row>
    <row r="94" spans="1:14" x14ac:dyDescent="0.25">
      <c r="A94" s="11" t="s">
        <v>30</v>
      </c>
      <c r="B94" s="11" t="s">
        <v>31</v>
      </c>
      <c r="C94" s="11" t="s">
        <v>22</v>
      </c>
      <c r="D94" s="11">
        <v>1.1827169329136401E-2</v>
      </c>
      <c r="E94" s="11" t="s">
        <v>5</v>
      </c>
      <c r="F94" s="11" t="s">
        <v>24</v>
      </c>
      <c r="G94" s="11" t="s">
        <v>25</v>
      </c>
      <c r="J94" s="11" t="s">
        <v>127</v>
      </c>
    </row>
    <row r="95" spans="1:14" x14ac:dyDescent="0.25">
      <c r="A95" s="11" t="s">
        <v>187</v>
      </c>
      <c r="B95" s="11" t="s">
        <v>188</v>
      </c>
      <c r="C95" s="11" t="s">
        <v>89</v>
      </c>
      <c r="D95" s="11">
        <v>2.9234952295471909E-6</v>
      </c>
      <c r="E95" s="11" t="s">
        <v>5</v>
      </c>
      <c r="F95" s="11" t="s">
        <v>24</v>
      </c>
      <c r="G95" s="11" t="s">
        <v>25</v>
      </c>
      <c r="J95" s="11" t="s">
        <v>141</v>
      </c>
    </row>
    <row r="96" spans="1:14" x14ac:dyDescent="0.25">
      <c r="A96" s="11" t="s">
        <v>79</v>
      </c>
      <c r="B96" s="11" t="s">
        <v>80</v>
      </c>
      <c r="C96" s="11" t="s">
        <v>89</v>
      </c>
      <c r="D96" s="11">
        <v>9.1593106962428001E-4</v>
      </c>
      <c r="E96" s="11" t="s">
        <v>5</v>
      </c>
      <c r="F96" s="11" t="s">
        <v>24</v>
      </c>
      <c r="G96" s="11" t="s">
        <v>25</v>
      </c>
      <c r="J96" s="11" t="s">
        <v>127</v>
      </c>
    </row>
    <row r="97" spans="1:10" x14ac:dyDescent="0.25">
      <c r="A97" s="11" t="s">
        <v>110</v>
      </c>
      <c r="B97" s="11" t="s">
        <v>111</v>
      </c>
      <c r="C97" s="11" t="s">
        <v>88</v>
      </c>
      <c r="D97" s="11">
        <v>4.4293769931318047E-2</v>
      </c>
      <c r="E97" s="11" t="s">
        <v>5</v>
      </c>
      <c r="F97" s="11" t="s">
        <v>24</v>
      </c>
      <c r="G97" s="11" t="s">
        <v>25</v>
      </c>
      <c r="J97" s="11" t="s">
        <v>127</v>
      </c>
    </row>
    <row r="98" spans="1:10" x14ac:dyDescent="0.25">
      <c r="A98" s="11" t="s">
        <v>20</v>
      </c>
      <c r="B98" s="11" t="s">
        <v>21</v>
      </c>
      <c r="C98" s="11" t="s">
        <v>22</v>
      </c>
      <c r="D98" s="11">
        <v>2.3181712309154421E-3</v>
      </c>
      <c r="E98" s="11" t="s">
        <v>23</v>
      </c>
      <c r="F98" s="11" t="s">
        <v>24</v>
      </c>
      <c r="G98" s="11" t="s">
        <v>25</v>
      </c>
      <c r="J98" s="11" t="s">
        <v>127</v>
      </c>
    </row>
    <row r="99" spans="1:10" x14ac:dyDescent="0.25">
      <c r="A99" s="11" t="s">
        <v>57</v>
      </c>
      <c r="B99" s="11" t="s">
        <v>58</v>
      </c>
      <c r="C99" s="11" t="s">
        <v>191</v>
      </c>
      <c r="D99" s="11">
        <v>6.76436723159892E-3</v>
      </c>
      <c r="E99" s="11" t="s">
        <v>49</v>
      </c>
      <c r="F99" s="11" t="s">
        <v>24</v>
      </c>
      <c r="G99" s="11" t="s">
        <v>25</v>
      </c>
      <c r="J99" s="11" t="s">
        <v>127</v>
      </c>
    </row>
    <row r="100" spans="1:10" x14ac:dyDescent="0.25">
      <c r="A100" s="11" t="s">
        <v>26</v>
      </c>
      <c r="B100" s="11" t="s">
        <v>27</v>
      </c>
      <c r="C100" s="11" t="s">
        <v>89</v>
      </c>
      <c r="D100" s="11">
        <v>0.10882864959464671</v>
      </c>
      <c r="E100" s="11" t="s">
        <v>28</v>
      </c>
      <c r="F100" s="11" t="s">
        <v>24</v>
      </c>
      <c r="G100" s="11" t="s">
        <v>25</v>
      </c>
      <c r="J100" s="11" t="s">
        <v>127</v>
      </c>
    </row>
    <row r="101" spans="1:10" x14ac:dyDescent="0.25">
      <c r="A101" s="11" t="s">
        <v>161</v>
      </c>
      <c r="B101" s="11" t="s">
        <v>162</v>
      </c>
      <c r="C101" s="11" t="s">
        <v>163</v>
      </c>
      <c r="D101" s="11">
        <v>9.7024600507271386E-4</v>
      </c>
      <c r="E101" s="11" t="s">
        <v>28</v>
      </c>
      <c r="F101" s="11" t="s">
        <v>24</v>
      </c>
      <c r="G101" s="11" t="s">
        <v>25</v>
      </c>
      <c r="J101" s="11" t="s">
        <v>127</v>
      </c>
    </row>
    <row r="102" spans="1:10" x14ac:dyDescent="0.25">
      <c r="A102" s="11" t="s">
        <v>142</v>
      </c>
      <c r="B102" s="11" t="s">
        <v>143</v>
      </c>
      <c r="C102" s="11" t="s">
        <v>89</v>
      </c>
      <c r="D102" s="11">
        <v>-1.5514727827194139E-4</v>
      </c>
      <c r="E102" s="11" t="s">
        <v>5</v>
      </c>
      <c r="F102" s="11" t="s">
        <v>24</v>
      </c>
      <c r="G102" s="11" t="s">
        <v>25</v>
      </c>
      <c r="J102" s="11" t="s">
        <v>127</v>
      </c>
    </row>
    <row r="103" spans="1:10" x14ac:dyDescent="0.25">
      <c r="A103" s="11" t="s">
        <v>164</v>
      </c>
      <c r="B103" s="11" t="s">
        <v>165</v>
      </c>
      <c r="C103" s="11" t="s">
        <v>89</v>
      </c>
      <c r="D103" s="11">
        <v>-7.2813965476482391E-3</v>
      </c>
      <c r="E103" s="11" t="s">
        <v>5</v>
      </c>
      <c r="F103" s="11" t="s">
        <v>24</v>
      </c>
      <c r="G103" s="11" t="s">
        <v>25</v>
      </c>
      <c r="J103" s="11" t="s">
        <v>127</v>
      </c>
    </row>
    <row r="104" spans="1:10" x14ac:dyDescent="0.25">
      <c r="A104" s="11" t="s">
        <v>142</v>
      </c>
      <c r="B104" s="11" t="s">
        <v>143</v>
      </c>
      <c r="C104" s="11" t="s">
        <v>89</v>
      </c>
      <c r="D104" s="11">
        <v>-1.391843971633234E-3</v>
      </c>
      <c r="E104" s="11" t="s">
        <v>5</v>
      </c>
      <c r="F104" s="11" t="s">
        <v>24</v>
      </c>
      <c r="G104" s="11" t="s">
        <v>25</v>
      </c>
      <c r="J104" s="11" t="s">
        <v>127</v>
      </c>
    </row>
    <row r="105" spans="1:10" x14ac:dyDescent="0.25">
      <c r="A105" s="11" t="s">
        <v>164</v>
      </c>
      <c r="B105" s="11" t="s">
        <v>165</v>
      </c>
      <c r="C105" s="11" t="s">
        <v>89</v>
      </c>
      <c r="D105" s="11">
        <v>-1.6146809331265009E-4</v>
      </c>
      <c r="E105" s="11" t="s">
        <v>5</v>
      </c>
      <c r="F105" s="11" t="s">
        <v>24</v>
      </c>
      <c r="G105" s="11" t="s">
        <v>25</v>
      </c>
      <c r="J105" s="11" t="s">
        <v>127</v>
      </c>
    </row>
    <row r="106" spans="1:10" x14ac:dyDescent="0.25">
      <c r="A106" s="11" t="s">
        <v>92</v>
      </c>
      <c r="D106" s="11">
        <v>1.1705999554640599E-5</v>
      </c>
      <c r="E106" s="11" t="s">
        <v>5</v>
      </c>
      <c r="F106" s="11" t="s">
        <v>42</v>
      </c>
      <c r="G106" s="11" t="s">
        <v>43</v>
      </c>
      <c r="H106" s="11" t="s">
        <v>63</v>
      </c>
      <c r="J106" s="11" t="s">
        <v>127</v>
      </c>
    </row>
    <row r="107" spans="1:10" s="9" customFormat="1" ht="14.1" customHeight="1" x14ac:dyDescent="0.25"/>
    <row r="108" spans="1:10" x14ac:dyDescent="0.25">
      <c r="A108" s="10" t="s">
        <v>0</v>
      </c>
      <c r="B108" s="10" t="s">
        <v>192</v>
      </c>
    </row>
    <row r="109" spans="1:10" x14ac:dyDescent="0.25">
      <c r="A109" s="12" t="s">
        <v>1</v>
      </c>
      <c r="B109" s="11" t="s">
        <v>158</v>
      </c>
    </row>
    <row r="110" spans="1:10" x14ac:dyDescent="0.25">
      <c r="A110" s="12" t="s">
        <v>2</v>
      </c>
      <c r="B110" s="11" t="s">
        <v>190</v>
      </c>
    </row>
    <row r="111" spans="1:10" x14ac:dyDescent="0.25">
      <c r="A111" s="12" t="s">
        <v>3</v>
      </c>
      <c r="B111" s="13">
        <v>1</v>
      </c>
    </row>
    <row r="112" spans="1:10" x14ac:dyDescent="0.25">
      <c r="A112" s="12" t="s">
        <v>4</v>
      </c>
      <c r="B112" s="11" t="s">
        <v>5</v>
      </c>
    </row>
    <row r="113" spans="1:14" x14ac:dyDescent="0.25">
      <c r="A113" s="12" t="s">
        <v>6</v>
      </c>
      <c r="B113" s="11" t="s">
        <v>7</v>
      </c>
    </row>
    <row r="114" spans="1:14" x14ac:dyDescent="0.25">
      <c r="A114" s="12" t="s">
        <v>8</v>
      </c>
    </row>
    <row r="115" spans="1:14" x14ac:dyDescent="0.25">
      <c r="A115" s="10" t="s">
        <v>9</v>
      </c>
      <c r="B115" s="10" t="s">
        <v>1</v>
      </c>
      <c r="C115" s="10" t="s">
        <v>2</v>
      </c>
      <c r="D115" s="10" t="s">
        <v>3</v>
      </c>
      <c r="E115" s="10" t="s">
        <v>4</v>
      </c>
      <c r="F115" s="10" t="s">
        <v>10</v>
      </c>
      <c r="G115" s="10" t="s">
        <v>11</v>
      </c>
      <c r="H115" s="10" t="s">
        <v>12</v>
      </c>
      <c r="I115" s="10" t="s">
        <v>13</v>
      </c>
      <c r="J115" s="10" t="s">
        <v>14</v>
      </c>
      <c r="K115" s="10" t="s">
        <v>15</v>
      </c>
      <c r="L115" s="10" t="s">
        <v>16</v>
      </c>
      <c r="M115" s="10" t="s">
        <v>17</v>
      </c>
      <c r="N115" s="10" t="s">
        <v>18</v>
      </c>
    </row>
    <row r="116" spans="1:14" x14ac:dyDescent="0.25">
      <c r="A116" s="11" t="str">
        <f>B108</f>
        <v>Al ingot production in Russia and rest-of-Europe</v>
      </c>
      <c r="B116" s="11" t="str">
        <f>B109</f>
        <v>Al ingot</v>
      </c>
      <c r="C116" s="11" t="str">
        <f>B110</f>
        <v>Russia and Rest-of-Europe</v>
      </c>
      <c r="D116" s="13">
        <v>1</v>
      </c>
      <c r="E116" s="11" t="s">
        <v>5</v>
      </c>
      <c r="F116" s="14" t="str">
        <f>F93</f>
        <v>Aluminium</v>
      </c>
      <c r="G116" s="11" t="s">
        <v>19</v>
      </c>
    </row>
    <row r="117" spans="1:14" x14ac:dyDescent="0.25">
      <c r="A117" s="11" t="str">
        <f>A93</f>
        <v>[R] Casting</v>
      </c>
      <c r="B117" s="11" t="str">
        <f>B93</f>
        <v>Al ingot</v>
      </c>
      <c r="C117" s="11" t="str">
        <f>C93</f>
        <v>Russia and Rest-of-Europe</v>
      </c>
      <c r="D117" s="11">
        <v>1</v>
      </c>
      <c r="E117" s="11" t="str">
        <f>E93</f>
        <v>kilogram</v>
      </c>
      <c r="F117" s="14" t="str">
        <f>F93</f>
        <v>Aluminium</v>
      </c>
      <c r="G117" s="11" t="s">
        <v>25</v>
      </c>
    </row>
    <row r="118" spans="1:14" x14ac:dyDescent="0.25">
      <c r="A118" s="11" t="str">
        <f>A60</f>
        <v>[R] Electrolysis</v>
      </c>
      <c r="B118" s="11" t="str">
        <f t="shared" ref="B118:F118" si="0">B60</f>
        <v>Liquid aluminium (Al)</v>
      </c>
      <c r="C118" s="11" t="str">
        <f t="shared" si="0"/>
        <v>Russia and Rest-of-Europe</v>
      </c>
      <c r="D118" s="11">
        <v>1</v>
      </c>
      <c r="E118" s="11" t="str">
        <f t="shared" si="0"/>
        <v>kilogram</v>
      </c>
      <c r="F118" s="14" t="str">
        <f t="shared" si="0"/>
        <v>Aluminium</v>
      </c>
      <c r="G118" s="11" t="s">
        <v>25</v>
      </c>
    </row>
    <row r="119" spans="1:14" x14ac:dyDescent="0.25">
      <c r="A119" s="11" t="str">
        <f>A42</f>
        <v>[P] Anode/Paste production</v>
      </c>
      <c r="B119" s="11" t="str">
        <f t="shared" ref="B119:F119" si="1">B42</f>
        <v>Anode/Paste</v>
      </c>
      <c r="C119" s="11" t="str">
        <f t="shared" si="1"/>
        <v>Russia and Rest-of-Europe</v>
      </c>
      <c r="D119" s="11">
        <v>0.52222096094959203</v>
      </c>
      <c r="E119" s="11" t="str">
        <f t="shared" si="1"/>
        <v>kilogram</v>
      </c>
      <c r="F119" s="14" t="str">
        <f t="shared" si="1"/>
        <v>Aluminium</v>
      </c>
      <c r="G119" s="11" t="s">
        <v>25</v>
      </c>
    </row>
    <row r="120" spans="1:14" x14ac:dyDescent="0.25">
      <c r="A120" s="11" t="str">
        <f>A9</f>
        <v>[P] Alumina production</v>
      </c>
      <c r="B120" s="11" t="str">
        <f t="shared" ref="B120:F120" si="2">B9</f>
        <v>Alumina</v>
      </c>
      <c r="C120" s="11" t="str">
        <f t="shared" si="2"/>
        <v>Russia and Rest-of-Europe</v>
      </c>
      <c r="D120" s="11">
        <v>1.922109931512719</v>
      </c>
      <c r="E120" s="11" t="str">
        <f t="shared" si="2"/>
        <v>kilogram</v>
      </c>
      <c r="F120" s="14" t="str">
        <f t="shared" si="2"/>
        <v>Aluminium</v>
      </c>
      <c r="G120" s="11" t="s">
        <v>25</v>
      </c>
    </row>
    <row r="121" spans="1:14" x14ac:dyDescent="0.25">
      <c r="A121" s="11" t="str">
        <f>Al_Mining_GLO!A9</f>
        <v>[M+C] Bauxite mining - Global</v>
      </c>
      <c r="B121" s="11" t="str">
        <f>Al_Mining_GLO!B9</f>
        <v>Bauxite</v>
      </c>
      <c r="C121" s="11" t="str">
        <f>Al_Mining_GLO!C9</f>
        <v>GLO</v>
      </c>
      <c r="D121" s="11">
        <v>4.8941435847061898</v>
      </c>
      <c r="E121" s="11" t="str">
        <f>Al_Mining_GLO!E9</f>
        <v>kilogram</v>
      </c>
      <c r="F121" s="14" t="str">
        <f>Al_Mining_GLO!F9</f>
        <v>Aluminium</v>
      </c>
      <c r="G121" s="11" t="s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8" tint="0.39997558519241921"/>
  </sheetPr>
  <dimension ref="A1:N111"/>
  <sheetViews>
    <sheetView workbookViewId="0">
      <selection activeCell="D111" sqref="D111"/>
    </sheetView>
  </sheetViews>
  <sheetFormatPr baseColWidth="10" defaultColWidth="8.7109375" defaultRowHeight="15" x14ac:dyDescent="0.25"/>
  <cols>
    <col min="1" max="1" width="58.140625" style="11" bestFit="1" customWidth="1"/>
    <col min="2" max="2" width="58.42578125" style="11" bestFit="1" customWidth="1"/>
    <col min="3" max="3" width="38" style="11" bestFit="1" customWidth="1"/>
    <col min="4" max="4" width="12.7109375" style="11" bestFit="1" customWidth="1"/>
    <col min="5" max="5" width="13.140625" style="11" bestFit="1" customWidth="1"/>
    <col min="6" max="6" width="19.7109375" style="11" bestFit="1" customWidth="1"/>
    <col min="7" max="7" width="13.28515625" style="11" bestFit="1" customWidth="1"/>
    <col min="8" max="8" width="25.28515625" style="11" bestFit="1" customWidth="1"/>
    <col min="9" max="9" width="15.5703125" style="11" bestFit="1" customWidth="1"/>
    <col min="10" max="10" width="9.7109375" style="11" bestFit="1" customWidth="1"/>
    <col min="11" max="11" width="3.5703125" style="11" bestFit="1" customWidth="1"/>
    <col min="12" max="12" width="5.42578125" style="11" bestFit="1" customWidth="1"/>
    <col min="13" max="13" width="9.5703125" style="11" bestFit="1" customWidth="1"/>
    <col min="14" max="14" width="9.85546875" style="11" bestFit="1" customWidth="1"/>
    <col min="15" max="16384" width="8.7109375" style="11"/>
  </cols>
  <sheetData>
    <row r="1" spans="1:14" x14ac:dyDescent="0.25">
      <c r="A1" s="10" t="s">
        <v>0</v>
      </c>
      <c r="B1" s="10" t="s">
        <v>133</v>
      </c>
    </row>
    <row r="2" spans="1:14" x14ac:dyDescent="0.25">
      <c r="A2" s="12" t="s">
        <v>1</v>
      </c>
      <c r="B2" s="11" t="s">
        <v>134</v>
      </c>
    </row>
    <row r="3" spans="1:14" x14ac:dyDescent="0.25">
      <c r="A3" s="12" t="s">
        <v>2</v>
      </c>
      <c r="B3" s="11" t="s">
        <v>193</v>
      </c>
    </row>
    <row r="4" spans="1:14" x14ac:dyDescent="0.25">
      <c r="A4" s="12" t="s">
        <v>3</v>
      </c>
      <c r="B4" s="13">
        <v>1</v>
      </c>
    </row>
    <row r="5" spans="1:14" x14ac:dyDescent="0.25">
      <c r="A5" s="12" t="s">
        <v>4</v>
      </c>
      <c r="B5" s="11" t="s">
        <v>5</v>
      </c>
    </row>
    <row r="6" spans="1:14" x14ac:dyDescent="0.25">
      <c r="A6" s="12" t="s">
        <v>6</v>
      </c>
      <c r="B6" s="11" t="s">
        <v>7</v>
      </c>
    </row>
    <row r="7" spans="1:14" x14ac:dyDescent="0.25">
      <c r="A7" s="12" t="s">
        <v>8</v>
      </c>
    </row>
    <row r="8" spans="1:14" x14ac:dyDescent="0.25">
      <c r="A8" s="10" t="s">
        <v>9</v>
      </c>
      <c r="B8" s="10" t="s">
        <v>1</v>
      </c>
      <c r="C8" s="10" t="s">
        <v>2</v>
      </c>
      <c r="D8" s="10" t="s">
        <v>3</v>
      </c>
      <c r="E8" s="10" t="s">
        <v>4</v>
      </c>
      <c r="F8" s="10" t="s">
        <v>10</v>
      </c>
      <c r="G8" s="10" t="s">
        <v>11</v>
      </c>
      <c r="H8" s="10" t="s">
        <v>12</v>
      </c>
      <c r="I8" s="10" t="s">
        <v>13</v>
      </c>
      <c r="J8" s="10" t="s">
        <v>14</v>
      </c>
      <c r="K8" s="10" t="s">
        <v>15</v>
      </c>
      <c r="L8" s="10" t="s">
        <v>16</v>
      </c>
      <c r="M8" s="10" t="s">
        <v>17</v>
      </c>
      <c r="N8" s="10" t="s">
        <v>18</v>
      </c>
    </row>
    <row r="9" spans="1:14" x14ac:dyDescent="0.25">
      <c r="A9" s="11" t="str">
        <f>B1</f>
        <v>[P] Anode/Paste production</v>
      </c>
      <c r="B9" s="11" t="str">
        <f>B2</f>
        <v>Anode/Paste</v>
      </c>
      <c r="C9" s="11" t="str">
        <f>B3</f>
        <v>Gulf Cooperation Council (GCC) countries</v>
      </c>
      <c r="D9" s="13">
        <v>1</v>
      </c>
      <c r="E9" s="11" t="s">
        <v>5</v>
      </c>
      <c r="F9" s="14" t="str">
        <f>Al_Market_GLO!B1</f>
        <v>Aluminium</v>
      </c>
      <c r="G9" s="11" t="s">
        <v>19</v>
      </c>
    </row>
    <row r="10" spans="1:14" x14ac:dyDescent="0.25">
      <c r="A10" s="11" t="s">
        <v>135</v>
      </c>
      <c r="B10" s="11" t="s">
        <v>136</v>
      </c>
      <c r="C10" s="11" t="s">
        <v>22</v>
      </c>
      <c r="D10" s="11">
        <v>0.871389548703976</v>
      </c>
      <c r="E10" s="11" t="s">
        <v>5</v>
      </c>
      <c r="F10" s="11" t="s">
        <v>24</v>
      </c>
      <c r="G10" s="11" t="s">
        <v>25</v>
      </c>
      <c r="J10" s="11" t="s">
        <v>61</v>
      </c>
    </row>
    <row r="11" spans="1:14" x14ac:dyDescent="0.25">
      <c r="A11" s="11" t="s">
        <v>137</v>
      </c>
      <c r="B11" s="11" t="s">
        <v>138</v>
      </c>
      <c r="C11" s="11" t="s">
        <v>29</v>
      </c>
      <c r="D11" s="11">
        <v>0.13900171454798799</v>
      </c>
      <c r="E11" s="11" t="s">
        <v>5</v>
      </c>
      <c r="F11" s="11" t="s">
        <v>24</v>
      </c>
      <c r="G11" s="11" t="s">
        <v>25</v>
      </c>
      <c r="J11" s="11" t="s">
        <v>61</v>
      </c>
    </row>
    <row r="12" spans="1:14" x14ac:dyDescent="0.25">
      <c r="A12" s="11" t="s">
        <v>139</v>
      </c>
      <c r="B12" s="11" t="s">
        <v>140</v>
      </c>
      <c r="C12" s="11" t="s">
        <v>22</v>
      </c>
      <c r="D12" s="11">
        <v>8.1716006853142504E-4</v>
      </c>
      <c r="E12" s="11" t="s">
        <v>5</v>
      </c>
      <c r="F12" s="11" t="s">
        <v>24</v>
      </c>
      <c r="G12" s="11" t="s">
        <v>25</v>
      </c>
      <c r="J12" s="11" t="s">
        <v>141</v>
      </c>
    </row>
    <row r="13" spans="1:14" x14ac:dyDescent="0.25">
      <c r="A13" s="11" t="s">
        <v>34</v>
      </c>
      <c r="B13" s="11" t="s">
        <v>35</v>
      </c>
      <c r="C13" s="11" t="s">
        <v>22</v>
      </c>
      <c r="D13" s="11">
        <v>3.1437047073678199E-3</v>
      </c>
      <c r="E13" s="11" t="s">
        <v>5</v>
      </c>
      <c r="F13" s="11" t="s">
        <v>24</v>
      </c>
      <c r="G13" s="11" t="s">
        <v>25</v>
      </c>
      <c r="J13" s="11" t="s">
        <v>116</v>
      </c>
    </row>
    <row r="14" spans="1:14" x14ac:dyDescent="0.25">
      <c r="A14" s="11" t="s">
        <v>57</v>
      </c>
      <c r="B14" s="11" t="s">
        <v>58</v>
      </c>
      <c r="C14" s="11" t="s">
        <v>29</v>
      </c>
      <c r="D14" s="11">
        <v>6.4112962261524145E-2</v>
      </c>
      <c r="E14" s="11" t="s">
        <v>49</v>
      </c>
      <c r="F14" s="11" t="s">
        <v>24</v>
      </c>
      <c r="G14" s="11" t="s">
        <v>25</v>
      </c>
      <c r="J14" s="11" t="s">
        <v>61</v>
      </c>
    </row>
    <row r="15" spans="1:14" x14ac:dyDescent="0.25">
      <c r="A15" s="11" t="s">
        <v>113</v>
      </c>
      <c r="B15" s="11" t="s">
        <v>114</v>
      </c>
      <c r="C15" s="11" t="s">
        <v>194</v>
      </c>
      <c r="D15" s="11">
        <v>2.2908334829834998E-2</v>
      </c>
      <c r="E15" s="11" t="s">
        <v>28</v>
      </c>
      <c r="F15" s="11" t="s">
        <v>24</v>
      </c>
      <c r="G15" s="11" t="s">
        <v>25</v>
      </c>
      <c r="J15" s="11" t="s">
        <v>61</v>
      </c>
    </row>
    <row r="16" spans="1:14" x14ac:dyDescent="0.25">
      <c r="A16" s="11" t="s">
        <v>142</v>
      </c>
      <c r="B16" s="11" t="s">
        <v>143</v>
      </c>
      <c r="C16" s="11" t="s">
        <v>29</v>
      </c>
      <c r="D16" s="11">
        <v>-6.4577558484517694E-5</v>
      </c>
      <c r="E16" s="11" t="s">
        <v>5</v>
      </c>
      <c r="F16" s="11" t="s">
        <v>24</v>
      </c>
      <c r="G16" s="11" t="s">
        <v>25</v>
      </c>
      <c r="J16" s="11" t="s">
        <v>127</v>
      </c>
    </row>
    <row r="17" spans="1:10" x14ac:dyDescent="0.25">
      <c r="A17" s="11" t="s">
        <v>144</v>
      </c>
      <c r="B17" s="11" t="s">
        <v>76</v>
      </c>
      <c r="C17" s="11" t="s">
        <v>29</v>
      </c>
      <c r="D17" s="11">
        <v>-1.4343283159628801E-4</v>
      </c>
      <c r="E17" s="11" t="s">
        <v>5</v>
      </c>
      <c r="F17" s="11" t="s">
        <v>24</v>
      </c>
      <c r="G17" s="11" t="s">
        <v>25</v>
      </c>
      <c r="J17" s="11" t="s">
        <v>112</v>
      </c>
    </row>
    <row r="18" spans="1:10" x14ac:dyDescent="0.25">
      <c r="A18" s="11" t="s">
        <v>145</v>
      </c>
      <c r="B18" s="11" t="s">
        <v>146</v>
      </c>
      <c r="C18" s="11" t="s">
        <v>29</v>
      </c>
      <c r="D18" s="11">
        <v>-4.7778914022960986E-3</v>
      </c>
      <c r="E18" s="11" t="s">
        <v>5</v>
      </c>
      <c r="F18" s="11" t="s">
        <v>24</v>
      </c>
      <c r="G18" s="11" t="s">
        <v>25</v>
      </c>
      <c r="J18" s="11" t="s">
        <v>141</v>
      </c>
    </row>
    <row r="19" spans="1:10" x14ac:dyDescent="0.25">
      <c r="A19" s="11" t="s">
        <v>142</v>
      </c>
      <c r="B19" s="11" t="s">
        <v>143</v>
      </c>
      <c r="C19" s="11" t="s">
        <v>29</v>
      </c>
      <c r="D19" s="11">
        <v>-1.6966145939219699E-3</v>
      </c>
      <c r="E19" s="11" t="s">
        <v>5</v>
      </c>
      <c r="F19" s="11" t="s">
        <v>24</v>
      </c>
      <c r="G19" s="11" t="s">
        <v>25</v>
      </c>
      <c r="J19" s="11" t="s">
        <v>141</v>
      </c>
    </row>
    <row r="20" spans="1:10" x14ac:dyDescent="0.25">
      <c r="A20" s="11" t="s">
        <v>64</v>
      </c>
      <c r="D20" s="11">
        <v>3.4964449037387597E-4</v>
      </c>
      <c r="E20" s="11" t="s">
        <v>5</v>
      </c>
      <c r="F20" s="11" t="s">
        <v>42</v>
      </c>
      <c r="G20" s="11" t="s">
        <v>43</v>
      </c>
      <c r="H20" s="11" t="s">
        <v>63</v>
      </c>
      <c r="J20" s="11" t="s">
        <v>127</v>
      </c>
    </row>
    <row r="21" spans="1:10" x14ac:dyDescent="0.25">
      <c r="A21" s="11" t="s">
        <v>62</v>
      </c>
      <c r="D21" s="11">
        <v>6.8948674956059199E-4</v>
      </c>
      <c r="E21" s="11" t="s">
        <v>5</v>
      </c>
      <c r="F21" s="11" t="s">
        <v>42</v>
      </c>
      <c r="G21" s="11" t="s">
        <v>43</v>
      </c>
      <c r="H21" s="11" t="s">
        <v>63</v>
      </c>
      <c r="J21" s="11" t="s">
        <v>127</v>
      </c>
    </row>
    <row r="22" spans="1:10" x14ac:dyDescent="0.25">
      <c r="A22" s="11" t="s">
        <v>73</v>
      </c>
      <c r="D22" s="11">
        <v>2.26739556480041E-4</v>
      </c>
      <c r="E22" s="11" t="s">
        <v>5</v>
      </c>
      <c r="F22" s="11" t="s">
        <v>42</v>
      </c>
      <c r="G22" s="11" t="s">
        <v>43</v>
      </c>
      <c r="H22" s="11" t="s">
        <v>63</v>
      </c>
      <c r="J22" s="11" t="s">
        <v>127</v>
      </c>
    </row>
    <row r="23" spans="1:10" x14ac:dyDescent="0.25">
      <c r="A23" s="11" t="s">
        <v>106</v>
      </c>
      <c r="D23" s="11">
        <v>2.9677976554447498E-7</v>
      </c>
      <c r="E23" s="11" t="s">
        <v>5</v>
      </c>
      <c r="F23" s="11" t="s">
        <v>42</v>
      </c>
      <c r="G23" s="11" t="s">
        <v>43</v>
      </c>
      <c r="H23" s="11" t="s">
        <v>63</v>
      </c>
      <c r="J23" s="11" t="s">
        <v>127</v>
      </c>
    </row>
    <row r="24" spans="1:10" x14ac:dyDescent="0.25">
      <c r="A24" s="11" t="s">
        <v>106</v>
      </c>
      <c r="D24" s="11">
        <v>2.9335962582782101E-5</v>
      </c>
      <c r="E24" s="11" t="s">
        <v>5</v>
      </c>
      <c r="F24" s="11" t="s">
        <v>42</v>
      </c>
      <c r="G24" s="11" t="s">
        <v>43</v>
      </c>
      <c r="H24" s="11" t="s">
        <v>63</v>
      </c>
      <c r="J24" s="11" t="s">
        <v>127</v>
      </c>
    </row>
    <row r="25" spans="1:10" x14ac:dyDescent="0.25">
      <c r="A25" s="11" t="s">
        <v>94</v>
      </c>
      <c r="D25" s="11">
        <v>2.0235908089219999E-5</v>
      </c>
      <c r="E25" s="11" t="s">
        <v>5</v>
      </c>
      <c r="F25" s="11" t="s">
        <v>42</v>
      </c>
      <c r="G25" s="11" t="s">
        <v>43</v>
      </c>
      <c r="H25" s="11" t="s">
        <v>63</v>
      </c>
      <c r="J25" s="11" t="s">
        <v>127</v>
      </c>
    </row>
    <row r="26" spans="1:10" x14ac:dyDescent="0.25">
      <c r="A26" s="11" t="s">
        <v>98</v>
      </c>
      <c r="D26" s="11">
        <v>2.21850947356071E-8</v>
      </c>
      <c r="E26" s="11" t="s">
        <v>5</v>
      </c>
      <c r="F26" s="11" t="s">
        <v>42</v>
      </c>
      <c r="G26" s="11" t="s">
        <v>43</v>
      </c>
      <c r="H26" s="11" t="s">
        <v>63</v>
      </c>
      <c r="J26" s="11" t="s">
        <v>112</v>
      </c>
    </row>
    <row r="27" spans="1:10" x14ac:dyDescent="0.25">
      <c r="A27" s="11" t="s">
        <v>100</v>
      </c>
      <c r="D27" s="11">
        <v>7.3602186878584497E-5</v>
      </c>
      <c r="E27" s="11" t="s">
        <v>5</v>
      </c>
      <c r="F27" s="11" t="s">
        <v>42</v>
      </c>
      <c r="G27" s="11" t="s">
        <v>43</v>
      </c>
      <c r="H27" s="11" t="s">
        <v>96</v>
      </c>
      <c r="J27" s="11" t="s">
        <v>112</v>
      </c>
    </row>
    <row r="28" spans="1:10" s="8" customFormat="1" x14ac:dyDescent="0.25"/>
    <row r="29" spans="1:10" x14ac:dyDescent="0.25">
      <c r="A29" s="10" t="s">
        <v>0</v>
      </c>
      <c r="B29" s="10" t="s">
        <v>147</v>
      </c>
    </row>
    <row r="30" spans="1:10" x14ac:dyDescent="0.25">
      <c r="A30" s="12" t="s">
        <v>1</v>
      </c>
      <c r="B30" s="11" t="s">
        <v>148</v>
      </c>
    </row>
    <row r="31" spans="1:10" x14ac:dyDescent="0.25">
      <c r="A31" s="12" t="s">
        <v>2</v>
      </c>
      <c r="B31" s="11" t="s">
        <v>193</v>
      </c>
    </row>
    <row r="32" spans="1:10" x14ac:dyDescent="0.25">
      <c r="A32" s="12" t="s">
        <v>3</v>
      </c>
      <c r="B32" s="13">
        <v>1</v>
      </c>
    </row>
    <row r="33" spans="1:14" x14ac:dyDescent="0.25">
      <c r="A33" s="12" t="s">
        <v>4</v>
      </c>
      <c r="B33" s="11" t="s">
        <v>5</v>
      </c>
    </row>
    <row r="34" spans="1:14" x14ac:dyDescent="0.25">
      <c r="A34" s="12" t="s">
        <v>6</v>
      </c>
      <c r="B34" s="11" t="s">
        <v>7</v>
      </c>
    </row>
    <row r="35" spans="1:14" x14ac:dyDescent="0.25">
      <c r="A35" s="12" t="s">
        <v>8</v>
      </c>
    </row>
    <row r="36" spans="1:14" x14ac:dyDescent="0.25">
      <c r="A36" s="10" t="s">
        <v>9</v>
      </c>
      <c r="B36" s="10" t="s">
        <v>1</v>
      </c>
      <c r="C36" s="10" t="s">
        <v>2</v>
      </c>
      <c r="D36" s="10" t="s">
        <v>3</v>
      </c>
      <c r="E36" s="10" t="s">
        <v>4</v>
      </c>
      <c r="F36" s="10" t="s">
        <v>10</v>
      </c>
      <c r="G36" s="10" t="s">
        <v>11</v>
      </c>
      <c r="H36" s="10" t="s">
        <v>12</v>
      </c>
      <c r="I36" s="10" t="s">
        <v>13</v>
      </c>
      <c r="J36" s="10" t="s">
        <v>14</v>
      </c>
      <c r="K36" s="10" t="s">
        <v>15</v>
      </c>
      <c r="L36" s="10" t="s">
        <v>16</v>
      </c>
      <c r="M36" s="10" t="s">
        <v>17</v>
      </c>
      <c r="N36" s="10" t="s">
        <v>18</v>
      </c>
    </row>
    <row r="37" spans="1:14" x14ac:dyDescent="0.25">
      <c r="A37" s="11" t="str">
        <f>B29</f>
        <v>[R] Electrolysis</v>
      </c>
      <c r="B37" s="11" t="str">
        <f>B30</f>
        <v>Liquid aluminium (Al)</v>
      </c>
      <c r="C37" s="11" t="str">
        <f>B31</f>
        <v>Gulf Cooperation Council (GCC) countries</v>
      </c>
      <c r="D37" s="13">
        <v>1</v>
      </c>
      <c r="E37" s="11" t="s">
        <v>5</v>
      </c>
      <c r="F37" s="14" t="str">
        <f>F9</f>
        <v>Aluminium</v>
      </c>
      <c r="G37" s="11" t="s">
        <v>19</v>
      </c>
    </row>
    <row r="38" spans="1:14" x14ac:dyDescent="0.25">
      <c r="A38" s="11" t="s">
        <v>121</v>
      </c>
      <c r="B38" s="11" t="s">
        <v>122</v>
      </c>
      <c r="C38" s="11" t="s">
        <v>22</v>
      </c>
      <c r="D38" s="11">
        <v>20.027573627128199</v>
      </c>
      <c r="E38" s="11" t="s">
        <v>105</v>
      </c>
      <c r="F38" s="11" t="s">
        <v>24</v>
      </c>
      <c r="G38" s="11" t="s">
        <v>25</v>
      </c>
      <c r="J38" s="11" t="s">
        <v>127</v>
      </c>
    </row>
    <row r="39" spans="1:14" x14ac:dyDescent="0.25">
      <c r="A39" s="11" t="s">
        <v>123</v>
      </c>
      <c r="B39" s="11" t="s">
        <v>124</v>
      </c>
      <c r="C39" s="11" t="s">
        <v>29</v>
      </c>
      <c r="D39" s="11">
        <v>1.1591252158840539E-3</v>
      </c>
      <c r="E39" s="11" t="s">
        <v>105</v>
      </c>
      <c r="F39" s="11" t="s">
        <v>24</v>
      </c>
      <c r="G39" s="11" t="s">
        <v>25</v>
      </c>
      <c r="J39" s="11" t="s">
        <v>127</v>
      </c>
    </row>
    <row r="40" spans="1:14" x14ac:dyDescent="0.25">
      <c r="A40" s="11" t="s">
        <v>139</v>
      </c>
      <c r="B40" s="11" t="s">
        <v>140</v>
      </c>
      <c r="C40" s="11" t="s">
        <v>22</v>
      </c>
      <c r="D40" s="11">
        <v>5.223047361125506E-3</v>
      </c>
      <c r="E40" s="11" t="s">
        <v>5</v>
      </c>
      <c r="F40" s="11" t="s">
        <v>24</v>
      </c>
      <c r="G40" s="11" t="s">
        <v>25</v>
      </c>
      <c r="J40" s="11" t="s">
        <v>127</v>
      </c>
    </row>
    <row r="41" spans="1:14" x14ac:dyDescent="0.25">
      <c r="A41" s="11" t="s">
        <v>34</v>
      </c>
      <c r="B41" s="11" t="s">
        <v>35</v>
      </c>
      <c r="C41" s="11" t="s">
        <v>22</v>
      </c>
      <c r="D41" s="11">
        <v>4.6287583184333398E-3</v>
      </c>
      <c r="E41" s="11" t="s">
        <v>5</v>
      </c>
      <c r="F41" s="11" t="s">
        <v>24</v>
      </c>
      <c r="G41" s="11" t="s">
        <v>25</v>
      </c>
      <c r="J41" s="11" t="s">
        <v>127</v>
      </c>
    </row>
    <row r="42" spans="1:14" x14ac:dyDescent="0.25">
      <c r="A42" s="11" t="s">
        <v>149</v>
      </c>
      <c r="B42" s="11" t="s">
        <v>150</v>
      </c>
      <c r="C42" s="11" t="s">
        <v>22</v>
      </c>
      <c r="D42" s="11">
        <v>5.4461746399367397E-3</v>
      </c>
      <c r="E42" s="11" t="s">
        <v>5</v>
      </c>
      <c r="F42" s="11" t="s">
        <v>24</v>
      </c>
      <c r="G42" s="11" t="s">
        <v>25</v>
      </c>
      <c r="J42" s="11" t="s">
        <v>127</v>
      </c>
    </row>
    <row r="43" spans="1:14" x14ac:dyDescent="0.25">
      <c r="A43" s="11" t="s">
        <v>151</v>
      </c>
      <c r="B43" s="11" t="s">
        <v>152</v>
      </c>
      <c r="C43" s="11" t="s">
        <v>22</v>
      </c>
      <c r="D43" s="11">
        <v>1.5895372354233502E-2</v>
      </c>
      <c r="E43" s="11" t="s">
        <v>5</v>
      </c>
      <c r="F43" s="11" t="s">
        <v>24</v>
      </c>
      <c r="G43" s="11" t="s">
        <v>25</v>
      </c>
      <c r="J43" s="11" t="s">
        <v>127</v>
      </c>
    </row>
    <row r="44" spans="1:14" x14ac:dyDescent="0.25">
      <c r="A44" s="11" t="s">
        <v>113</v>
      </c>
      <c r="B44" s="11" t="s">
        <v>114</v>
      </c>
      <c r="C44" s="11" t="s">
        <v>194</v>
      </c>
      <c r="D44" s="11">
        <v>15.1260154439735</v>
      </c>
      <c r="E44" s="11" t="s">
        <v>28</v>
      </c>
      <c r="F44" s="11" t="s">
        <v>24</v>
      </c>
      <c r="G44" s="11" t="s">
        <v>25</v>
      </c>
      <c r="J44" s="11" t="s">
        <v>61</v>
      </c>
    </row>
    <row r="45" spans="1:14" x14ac:dyDescent="0.25">
      <c r="A45" s="11" t="s">
        <v>145</v>
      </c>
      <c r="B45" s="11" t="s">
        <v>146</v>
      </c>
      <c r="C45" s="11" t="s">
        <v>29</v>
      </c>
      <c r="D45" s="11">
        <v>-7.5490496557530946E-3</v>
      </c>
      <c r="E45" s="11" t="s">
        <v>5</v>
      </c>
      <c r="F45" s="11" t="s">
        <v>24</v>
      </c>
      <c r="G45" s="11" t="s">
        <v>25</v>
      </c>
      <c r="J45" s="11" t="s">
        <v>127</v>
      </c>
    </row>
    <row r="46" spans="1:14" x14ac:dyDescent="0.25">
      <c r="A46" s="11" t="s">
        <v>142</v>
      </c>
      <c r="B46" s="11" t="s">
        <v>143</v>
      </c>
      <c r="C46" s="11" t="s">
        <v>29</v>
      </c>
      <c r="D46" s="11">
        <v>-5.2635913567556291E-3</v>
      </c>
      <c r="E46" s="11" t="s">
        <v>5</v>
      </c>
      <c r="F46" s="11" t="s">
        <v>24</v>
      </c>
      <c r="G46" s="11" t="s">
        <v>25</v>
      </c>
      <c r="J46" s="11" t="s">
        <v>127</v>
      </c>
    </row>
    <row r="47" spans="1:14" x14ac:dyDescent="0.25">
      <c r="A47" s="11" t="s">
        <v>144</v>
      </c>
      <c r="B47" s="11" t="s">
        <v>76</v>
      </c>
      <c r="C47" s="11" t="s">
        <v>29</v>
      </c>
      <c r="D47" s="11">
        <v>-6.07677312787716E-3</v>
      </c>
      <c r="E47" s="11" t="s">
        <v>5</v>
      </c>
      <c r="F47" s="11" t="s">
        <v>24</v>
      </c>
      <c r="G47" s="11" t="s">
        <v>25</v>
      </c>
      <c r="J47" s="11" t="s">
        <v>141</v>
      </c>
    </row>
    <row r="48" spans="1:14" x14ac:dyDescent="0.25">
      <c r="A48" s="11" t="s">
        <v>142</v>
      </c>
      <c r="B48" s="11" t="s">
        <v>143</v>
      </c>
      <c r="C48" s="11" t="s">
        <v>29</v>
      </c>
      <c r="D48" s="11">
        <v>-6.6524474564355392E-3</v>
      </c>
      <c r="E48" s="11" t="s">
        <v>5</v>
      </c>
      <c r="F48" s="11" t="s">
        <v>24</v>
      </c>
      <c r="G48" s="11" t="s">
        <v>25</v>
      </c>
      <c r="J48" s="11" t="s">
        <v>141</v>
      </c>
    </row>
    <row r="49" spans="1:10" x14ac:dyDescent="0.25">
      <c r="A49" s="11" t="s">
        <v>36</v>
      </c>
      <c r="B49" s="11" t="s">
        <v>37</v>
      </c>
      <c r="C49" s="11" t="s">
        <v>29</v>
      </c>
      <c r="D49" s="11">
        <v>-3.1164799981716599E-6</v>
      </c>
      <c r="E49" s="11" t="s">
        <v>5</v>
      </c>
      <c r="F49" s="11" t="s">
        <v>24</v>
      </c>
      <c r="G49" s="11" t="s">
        <v>25</v>
      </c>
      <c r="J49" s="11" t="s">
        <v>112</v>
      </c>
    </row>
    <row r="50" spans="1:10" x14ac:dyDescent="0.25">
      <c r="A50" s="11" t="s">
        <v>145</v>
      </c>
      <c r="B50" s="11" t="s">
        <v>146</v>
      </c>
      <c r="C50" s="11" t="s">
        <v>29</v>
      </c>
      <c r="D50" s="11">
        <v>-7.2717866624005519E-4</v>
      </c>
      <c r="E50" s="11" t="s">
        <v>5</v>
      </c>
      <c r="F50" s="11" t="s">
        <v>24</v>
      </c>
      <c r="G50" s="11" t="s">
        <v>25</v>
      </c>
      <c r="J50" s="11" t="s">
        <v>112</v>
      </c>
    </row>
    <row r="51" spans="1:10" x14ac:dyDescent="0.25">
      <c r="A51" s="11" t="s">
        <v>153</v>
      </c>
      <c r="B51" s="11" t="s">
        <v>154</v>
      </c>
      <c r="C51" s="11" t="s">
        <v>29</v>
      </c>
      <c r="D51" s="11">
        <v>-4.10665372796966E-6</v>
      </c>
      <c r="E51" s="11" t="s">
        <v>5</v>
      </c>
      <c r="F51" s="11" t="s">
        <v>24</v>
      </c>
      <c r="G51" s="11" t="s">
        <v>25</v>
      </c>
      <c r="J51" s="11" t="s">
        <v>112</v>
      </c>
    </row>
    <row r="52" spans="1:10" x14ac:dyDescent="0.25">
      <c r="A52" s="11" t="s">
        <v>142</v>
      </c>
      <c r="B52" s="11" t="s">
        <v>143</v>
      </c>
      <c r="C52" s="11" t="s">
        <v>29</v>
      </c>
      <c r="D52" s="11">
        <v>-2.856636804946827E-4</v>
      </c>
      <c r="E52" s="11" t="s">
        <v>5</v>
      </c>
      <c r="F52" s="11" t="s">
        <v>24</v>
      </c>
      <c r="G52" s="11" t="s">
        <v>25</v>
      </c>
      <c r="J52" s="11" t="s">
        <v>127</v>
      </c>
    </row>
    <row r="53" spans="1:10" x14ac:dyDescent="0.25">
      <c r="A53" s="11" t="s">
        <v>168</v>
      </c>
      <c r="D53" s="11">
        <v>9.7267860552813598E-2</v>
      </c>
      <c r="E53" s="11" t="s">
        <v>49</v>
      </c>
      <c r="F53" s="11" t="s">
        <v>42</v>
      </c>
      <c r="G53" s="11" t="s">
        <v>43</v>
      </c>
      <c r="H53" s="11" t="s">
        <v>169</v>
      </c>
      <c r="J53" s="11" t="s">
        <v>127</v>
      </c>
    </row>
    <row r="54" spans="1:10" x14ac:dyDescent="0.25">
      <c r="A54" s="11" t="s">
        <v>168</v>
      </c>
      <c r="D54" s="11">
        <v>5.6065969609012146E-3</v>
      </c>
      <c r="E54" s="11" t="s">
        <v>49</v>
      </c>
      <c r="F54" s="11" t="s">
        <v>42</v>
      </c>
      <c r="G54" s="11" t="s">
        <v>43</v>
      </c>
      <c r="H54" s="11" t="s">
        <v>169</v>
      </c>
      <c r="J54" s="11" t="s">
        <v>127</v>
      </c>
    </row>
    <row r="55" spans="1:10" x14ac:dyDescent="0.25">
      <c r="A55" s="11" t="s">
        <v>64</v>
      </c>
      <c r="D55" s="11">
        <v>7.7612996887899903E-4</v>
      </c>
      <c r="E55" s="11" t="s">
        <v>5</v>
      </c>
      <c r="F55" s="11" t="s">
        <v>42</v>
      </c>
      <c r="G55" s="11" t="s">
        <v>43</v>
      </c>
      <c r="H55" s="11" t="s">
        <v>63</v>
      </c>
      <c r="J55" s="11" t="s">
        <v>127</v>
      </c>
    </row>
    <row r="56" spans="1:10" x14ac:dyDescent="0.25">
      <c r="A56" s="11" t="s">
        <v>62</v>
      </c>
      <c r="D56" s="11">
        <v>1.1519342088416601E-2</v>
      </c>
      <c r="E56" s="11" t="s">
        <v>5</v>
      </c>
      <c r="F56" s="11" t="s">
        <v>42</v>
      </c>
      <c r="G56" s="11" t="s">
        <v>43</v>
      </c>
      <c r="H56" s="11" t="s">
        <v>63</v>
      </c>
      <c r="J56" s="11" t="s">
        <v>127</v>
      </c>
    </row>
    <row r="57" spans="1:10" x14ac:dyDescent="0.25">
      <c r="A57" s="11" t="s">
        <v>132</v>
      </c>
      <c r="D57" s="11">
        <v>4.7393293459374176E-9</v>
      </c>
      <c r="E57" s="11" t="s">
        <v>5</v>
      </c>
      <c r="F57" s="11" t="s">
        <v>42</v>
      </c>
      <c r="G57" s="11" t="s">
        <v>43</v>
      </c>
      <c r="H57" s="11" t="s">
        <v>63</v>
      </c>
      <c r="J57" s="11" t="s">
        <v>112</v>
      </c>
    </row>
    <row r="58" spans="1:10" x14ac:dyDescent="0.25">
      <c r="A58" s="11" t="s">
        <v>106</v>
      </c>
      <c r="D58" s="11">
        <v>1.18547041330248E-4</v>
      </c>
      <c r="E58" s="11" t="s">
        <v>5</v>
      </c>
      <c r="F58" s="11" t="s">
        <v>42</v>
      </c>
      <c r="G58" s="11" t="s">
        <v>43</v>
      </c>
      <c r="H58" s="11" t="s">
        <v>63</v>
      </c>
      <c r="J58" s="11" t="s">
        <v>127</v>
      </c>
    </row>
    <row r="59" spans="1:10" x14ac:dyDescent="0.25">
      <c r="A59" s="11" t="s">
        <v>106</v>
      </c>
      <c r="D59" s="11">
        <v>2.6331201316675998E-4</v>
      </c>
      <c r="E59" s="11" t="s">
        <v>5</v>
      </c>
      <c r="F59" s="11" t="s">
        <v>42</v>
      </c>
      <c r="G59" s="11" t="s">
        <v>43</v>
      </c>
      <c r="H59" s="11" t="s">
        <v>63</v>
      </c>
      <c r="J59" s="11" t="s">
        <v>127</v>
      </c>
    </row>
    <row r="60" spans="1:10" x14ac:dyDescent="0.25">
      <c r="A60" s="11" t="s">
        <v>94</v>
      </c>
      <c r="D60" s="11">
        <v>5.40667223320504E-7</v>
      </c>
      <c r="E60" s="11" t="s">
        <v>5</v>
      </c>
      <c r="F60" s="11" t="s">
        <v>42</v>
      </c>
      <c r="G60" s="11" t="s">
        <v>43</v>
      </c>
      <c r="H60" s="11" t="s">
        <v>63</v>
      </c>
      <c r="J60" s="11" t="s">
        <v>112</v>
      </c>
    </row>
    <row r="61" spans="1:10" x14ac:dyDescent="0.25">
      <c r="A61" s="11" t="s">
        <v>155</v>
      </c>
      <c r="D61" s="11">
        <v>2.9606467922541399E-5</v>
      </c>
      <c r="E61" s="11" t="s">
        <v>5</v>
      </c>
      <c r="F61" s="11" t="s">
        <v>42</v>
      </c>
      <c r="G61" s="11" t="s">
        <v>43</v>
      </c>
      <c r="H61" s="11" t="s">
        <v>63</v>
      </c>
      <c r="J61" s="11" t="s">
        <v>61</v>
      </c>
    </row>
    <row r="62" spans="1:10" x14ac:dyDescent="0.25">
      <c r="A62" s="11" t="s">
        <v>156</v>
      </c>
      <c r="D62" s="11">
        <v>1.1483886221564501E-6</v>
      </c>
      <c r="E62" s="11" t="s">
        <v>5</v>
      </c>
      <c r="F62" s="11" t="s">
        <v>42</v>
      </c>
      <c r="G62" s="11" t="s">
        <v>43</v>
      </c>
      <c r="H62" s="11" t="s">
        <v>63</v>
      </c>
      <c r="J62" s="11" t="s">
        <v>61</v>
      </c>
    </row>
    <row r="63" spans="1:10" x14ac:dyDescent="0.25">
      <c r="A63" s="11" t="s">
        <v>118</v>
      </c>
      <c r="D63" s="11">
        <v>9.1661263591912401E-2</v>
      </c>
      <c r="E63" s="11" t="s">
        <v>49</v>
      </c>
      <c r="F63" s="11" t="s">
        <v>42</v>
      </c>
      <c r="G63" s="11" t="s">
        <v>43</v>
      </c>
      <c r="H63" s="11" t="s">
        <v>171</v>
      </c>
      <c r="J63" s="11" t="s">
        <v>127</v>
      </c>
    </row>
    <row r="64" spans="1:10" x14ac:dyDescent="0.25">
      <c r="A64" s="11" t="s">
        <v>97</v>
      </c>
      <c r="D64" s="11">
        <v>6.6775550941615706E-4</v>
      </c>
      <c r="E64" s="11" t="s">
        <v>5</v>
      </c>
      <c r="F64" s="11" t="s">
        <v>42</v>
      </c>
      <c r="G64" s="11" t="s">
        <v>43</v>
      </c>
      <c r="H64" s="11" t="s">
        <v>96</v>
      </c>
      <c r="J64" s="11" t="s">
        <v>112</v>
      </c>
    </row>
    <row r="65" spans="1:14" x14ac:dyDescent="0.25">
      <c r="A65" s="11" t="s">
        <v>106</v>
      </c>
      <c r="D65" s="11">
        <v>1.2520415801552901E-3</v>
      </c>
      <c r="E65" s="11" t="s">
        <v>5</v>
      </c>
      <c r="F65" s="11" t="s">
        <v>42</v>
      </c>
      <c r="G65" s="11" t="s">
        <v>43</v>
      </c>
      <c r="H65" s="11" t="s">
        <v>96</v>
      </c>
      <c r="J65" s="11" t="s">
        <v>112</v>
      </c>
    </row>
    <row r="66" spans="1:14" s="8" customFormat="1" x14ac:dyDescent="0.25"/>
    <row r="67" spans="1:14" x14ac:dyDescent="0.25">
      <c r="A67" s="10" t="s">
        <v>0</v>
      </c>
      <c r="B67" s="10" t="s">
        <v>157</v>
      </c>
    </row>
    <row r="68" spans="1:14" x14ac:dyDescent="0.25">
      <c r="A68" s="12" t="s">
        <v>1</v>
      </c>
      <c r="B68" s="11" t="s">
        <v>158</v>
      </c>
    </row>
    <row r="69" spans="1:14" x14ac:dyDescent="0.25">
      <c r="A69" s="12" t="s">
        <v>2</v>
      </c>
      <c r="B69" s="11" t="s">
        <v>193</v>
      </c>
    </row>
    <row r="70" spans="1:14" x14ac:dyDescent="0.25">
      <c r="A70" s="12" t="s">
        <v>3</v>
      </c>
      <c r="B70" s="13">
        <v>1</v>
      </c>
    </row>
    <row r="71" spans="1:14" x14ac:dyDescent="0.25">
      <c r="A71" s="12" t="s">
        <v>4</v>
      </c>
      <c r="B71" s="11" t="s">
        <v>5</v>
      </c>
    </row>
    <row r="72" spans="1:14" x14ac:dyDescent="0.25">
      <c r="A72" s="12" t="s">
        <v>6</v>
      </c>
      <c r="B72" s="11" t="s">
        <v>7</v>
      </c>
    </row>
    <row r="73" spans="1:14" x14ac:dyDescent="0.25">
      <c r="A73" s="12" t="s">
        <v>8</v>
      </c>
    </row>
    <row r="74" spans="1:14" x14ac:dyDescent="0.25">
      <c r="A74" s="10" t="s">
        <v>9</v>
      </c>
      <c r="B74" s="10" t="s">
        <v>1</v>
      </c>
      <c r="C74" s="10" t="s">
        <v>2</v>
      </c>
      <c r="D74" s="10" t="s">
        <v>3</v>
      </c>
      <c r="E74" s="10" t="s">
        <v>4</v>
      </c>
      <c r="F74" s="10" t="s">
        <v>10</v>
      </c>
      <c r="G74" s="10" t="s">
        <v>11</v>
      </c>
      <c r="H74" s="10" t="s">
        <v>12</v>
      </c>
      <c r="I74" s="10" t="s">
        <v>13</v>
      </c>
      <c r="J74" s="10" t="s">
        <v>14</v>
      </c>
      <c r="K74" s="10" t="s">
        <v>15</v>
      </c>
      <c r="L74" s="10" t="s">
        <v>16</v>
      </c>
      <c r="M74" s="10" t="s">
        <v>17</v>
      </c>
      <c r="N74" s="10" t="s">
        <v>18</v>
      </c>
    </row>
    <row r="75" spans="1:14" x14ac:dyDescent="0.25">
      <c r="A75" s="11" t="str">
        <f>B67</f>
        <v>[R] Casting</v>
      </c>
      <c r="B75" s="11" t="str">
        <f>B68</f>
        <v>Al ingot</v>
      </c>
      <c r="C75" s="11" t="str">
        <f>B69</f>
        <v>Gulf Cooperation Council (GCC) countries</v>
      </c>
      <c r="D75" s="13">
        <v>1</v>
      </c>
      <c r="E75" s="11" t="s">
        <v>5</v>
      </c>
      <c r="F75" s="14" t="str">
        <f>F37</f>
        <v>Aluminium</v>
      </c>
      <c r="G75" s="11" t="s">
        <v>19</v>
      </c>
    </row>
    <row r="76" spans="1:14" x14ac:dyDescent="0.25">
      <c r="A76" s="11" t="s">
        <v>30</v>
      </c>
      <c r="B76" s="11" t="s">
        <v>31</v>
      </c>
      <c r="C76" s="11" t="s">
        <v>22</v>
      </c>
      <c r="D76" s="11">
        <v>2.032488605093807E-2</v>
      </c>
      <c r="E76" s="11" t="s">
        <v>5</v>
      </c>
      <c r="F76" s="11" t="s">
        <v>24</v>
      </c>
      <c r="G76" s="11" t="s">
        <v>25</v>
      </c>
      <c r="J76" s="11" t="s">
        <v>127</v>
      </c>
    </row>
    <row r="77" spans="1:14" x14ac:dyDescent="0.25">
      <c r="A77" s="11" t="s">
        <v>187</v>
      </c>
      <c r="B77" s="11" t="s">
        <v>188</v>
      </c>
      <c r="C77" s="11" t="s">
        <v>29</v>
      </c>
      <c r="D77" s="11">
        <v>7.3271477402039495E-8</v>
      </c>
      <c r="E77" s="11" t="s">
        <v>5</v>
      </c>
      <c r="F77" s="11" t="s">
        <v>24</v>
      </c>
      <c r="G77" s="11" t="s">
        <v>25</v>
      </c>
      <c r="J77" s="11" t="s">
        <v>127</v>
      </c>
    </row>
    <row r="78" spans="1:14" x14ac:dyDescent="0.25">
      <c r="A78" s="11" t="s">
        <v>79</v>
      </c>
      <c r="B78" s="11" t="s">
        <v>80</v>
      </c>
      <c r="C78" s="11" t="s">
        <v>29</v>
      </c>
      <c r="D78" s="11">
        <v>1.0342587673135969E-3</v>
      </c>
      <c r="E78" s="11" t="s">
        <v>5</v>
      </c>
      <c r="F78" s="11" t="s">
        <v>24</v>
      </c>
      <c r="G78" s="11" t="s">
        <v>25</v>
      </c>
      <c r="J78" s="11" t="s">
        <v>127</v>
      </c>
    </row>
    <row r="79" spans="1:14" x14ac:dyDescent="0.25">
      <c r="A79" s="11" t="s">
        <v>65</v>
      </c>
      <c r="B79" s="11" t="s">
        <v>66</v>
      </c>
      <c r="C79" s="11" t="s">
        <v>29</v>
      </c>
      <c r="D79" s="11">
        <v>1.3418154632026161E-4</v>
      </c>
      <c r="E79" s="11" t="s">
        <v>5</v>
      </c>
      <c r="F79" s="11" t="s">
        <v>24</v>
      </c>
      <c r="G79" s="11" t="s">
        <v>25</v>
      </c>
      <c r="J79" s="11" t="s">
        <v>141</v>
      </c>
    </row>
    <row r="80" spans="1:14" x14ac:dyDescent="0.25">
      <c r="A80" s="11" t="s">
        <v>57</v>
      </c>
      <c r="B80" s="11" t="s">
        <v>58</v>
      </c>
      <c r="C80" s="11" t="s">
        <v>29</v>
      </c>
      <c r="D80" s="11">
        <v>3.5496159100359359E-2</v>
      </c>
      <c r="E80" s="11" t="s">
        <v>49</v>
      </c>
      <c r="F80" s="11" t="s">
        <v>24</v>
      </c>
      <c r="G80" s="11" t="s">
        <v>25</v>
      </c>
      <c r="J80" s="11" t="s">
        <v>61</v>
      </c>
    </row>
    <row r="81" spans="1:10" x14ac:dyDescent="0.25">
      <c r="A81" s="11" t="s">
        <v>113</v>
      </c>
      <c r="B81" s="11" t="s">
        <v>114</v>
      </c>
      <c r="C81" s="11" t="s">
        <v>194</v>
      </c>
      <c r="D81" s="11">
        <v>7.7077247003581109E-2</v>
      </c>
      <c r="E81" s="11" t="s">
        <v>28</v>
      </c>
      <c r="F81" s="11" t="s">
        <v>24</v>
      </c>
      <c r="G81" s="11" t="s">
        <v>25</v>
      </c>
      <c r="J81" s="11" t="s">
        <v>61</v>
      </c>
    </row>
    <row r="82" spans="1:10" x14ac:dyDescent="0.25">
      <c r="A82" s="11" t="s">
        <v>164</v>
      </c>
      <c r="B82" s="11" t="s">
        <v>165</v>
      </c>
      <c r="C82" s="11" t="s">
        <v>29</v>
      </c>
      <c r="D82" s="11">
        <v>-1.0404778051143799E-2</v>
      </c>
      <c r="E82" s="11" t="s">
        <v>5</v>
      </c>
      <c r="F82" s="11" t="s">
        <v>24</v>
      </c>
      <c r="G82" s="11" t="s">
        <v>25</v>
      </c>
      <c r="J82" s="11" t="s">
        <v>127</v>
      </c>
    </row>
    <row r="83" spans="1:10" x14ac:dyDescent="0.25">
      <c r="A83" s="11" t="s">
        <v>176</v>
      </c>
      <c r="B83" s="11" t="s">
        <v>177</v>
      </c>
      <c r="C83" s="11" t="s">
        <v>29</v>
      </c>
      <c r="D83" s="11">
        <v>-1.0142887565888169E-3</v>
      </c>
      <c r="E83" s="11" t="s">
        <v>5</v>
      </c>
      <c r="F83" s="11" t="s">
        <v>24</v>
      </c>
      <c r="G83" s="11" t="s">
        <v>25</v>
      </c>
      <c r="J83" s="11" t="s">
        <v>112</v>
      </c>
    </row>
    <row r="84" spans="1:10" x14ac:dyDescent="0.25">
      <c r="A84" s="11" t="s">
        <v>142</v>
      </c>
      <c r="B84" s="11" t="s">
        <v>143</v>
      </c>
      <c r="C84" s="11" t="s">
        <v>29</v>
      </c>
      <c r="D84" s="11">
        <v>-1.56852091892508E-3</v>
      </c>
      <c r="E84" s="11" t="s">
        <v>5</v>
      </c>
      <c r="F84" s="11" t="s">
        <v>24</v>
      </c>
      <c r="G84" s="11" t="s">
        <v>25</v>
      </c>
      <c r="J84" s="11" t="s">
        <v>127</v>
      </c>
    </row>
    <row r="85" spans="1:10" x14ac:dyDescent="0.25">
      <c r="A85" s="11" t="s">
        <v>36</v>
      </c>
      <c r="B85" s="11" t="s">
        <v>37</v>
      </c>
      <c r="C85" s="11" t="s">
        <v>29</v>
      </c>
      <c r="D85" s="11">
        <v>-2.39753285820128E-4</v>
      </c>
      <c r="E85" s="11" t="s">
        <v>5</v>
      </c>
      <c r="F85" s="11" t="s">
        <v>24</v>
      </c>
      <c r="G85" s="11" t="s">
        <v>25</v>
      </c>
      <c r="J85" s="11" t="s">
        <v>112</v>
      </c>
    </row>
    <row r="86" spans="1:10" x14ac:dyDescent="0.25">
      <c r="A86" s="11" t="s">
        <v>48</v>
      </c>
      <c r="D86" s="11">
        <v>3.7971231670464801E-5</v>
      </c>
      <c r="E86" s="11" t="s">
        <v>49</v>
      </c>
      <c r="F86" s="11" t="s">
        <v>42</v>
      </c>
      <c r="G86" s="11" t="s">
        <v>43</v>
      </c>
      <c r="H86" s="11" t="s">
        <v>47</v>
      </c>
      <c r="J86" s="11" t="s">
        <v>141</v>
      </c>
    </row>
    <row r="87" spans="1:10" x14ac:dyDescent="0.25">
      <c r="A87" s="11" t="s">
        <v>168</v>
      </c>
      <c r="D87" s="11">
        <v>2.4820537868037638E-2</v>
      </c>
      <c r="E87" s="11" t="s">
        <v>49</v>
      </c>
      <c r="F87" s="11" t="s">
        <v>42</v>
      </c>
      <c r="G87" s="11" t="s">
        <v>43</v>
      </c>
      <c r="H87" s="11" t="s">
        <v>169</v>
      </c>
      <c r="J87" s="11" t="s">
        <v>112</v>
      </c>
    </row>
    <row r="88" spans="1:10" x14ac:dyDescent="0.25">
      <c r="A88" s="11" t="s">
        <v>48</v>
      </c>
      <c r="D88" s="11">
        <v>1.2524959991222901E-5</v>
      </c>
      <c r="E88" s="11" t="s">
        <v>49</v>
      </c>
      <c r="F88" s="11" t="s">
        <v>42</v>
      </c>
      <c r="G88" s="11" t="s">
        <v>43</v>
      </c>
      <c r="H88" s="11" t="s">
        <v>47</v>
      </c>
      <c r="J88" s="11" t="s">
        <v>141</v>
      </c>
    </row>
    <row r="89" spans="1:10" x14ac:dyDescent="0.25">
      <c r="A89" s="11" t="s">
        <v>168</v>
      </c>
      <c r="D89" s="11">
        <v>3.449062301908903E-4</v>
      </c>
      <c r="E89" s="11" t="s">
        <v>49</v>
      </c>
      <c r="F89" s="11" t="s">
        <v>42</v>
      </c>
      <c r="G89" s="11" t="s">
        <v>43</v>
      </c>
      <c r="H89" s="11" t="s">
        <v>169</v>
      </c>
      <c r="J89" s="11" t="s">
        <v>112</v>
      </c>
    </row>
    <row r="90" spans="1:10" x14ac:dyDescent="0.25">
      <c r="A90" s="11" t="s">
        <v>64</v>
      </c>
      <c r="D90" s="11">
        <v>4.6087178930046994E-6</v>
      </c>
      <c r="E90" s="11" t="s">
        <v>5</v>
      </c>
      <c r="F90" s="11" t="s">
        <v>42</v>
      </c>
      <c r="G90" s="11" t="s">
        <v>43</v>
      </c>
      <c r="H90" s="11" t="s">
        <v>63</v>
      </c>
      <c r="J90" s="11" t="s">
        <v>112</v>
      </c>
    </row>
    <row r="91" spans="1:10" x14ac:dyDescent="0.25">
      <c r="A91" s="11" t="s">
        <v>62</v>
      </c>
      <c r="D91" s="11">
        <v>3.888953057735913E-6</v>
      </c>
      <c r="E91" s="11" t="s">
        <v>5</v>
      </c>
      <c r="F91" s="11" t="s">
        <v>42</v>
      </c>
      <c r="G91" s="11" t="s">
        <v>43</v>
      </c>
      <c r="H91" s="11" t="s">
        <v>63</v>
      </c>
      <c r="J91" s="11" t="s">
        <v>112</v>
      </c>
    </row>
    <row r="92" spans="1:10" x14ac:dyDescent="0.25">
      <c r="A92" s="11" t="s">
        <v>73</v>
      </c>
      <c r="D92" s="11">
        <v>1.3062200177894139E-5</v>
      </c>
      <c r="E92" s="11" t="s">
        <v>5</v>
      </c>
      <c r="F92" s="11" t="s">
        <v>42</v>
      </c>
      <c r="G92" s="11" t="s">
        <v>43</v>
      </c>
      <c r="H92" s="11" t="s">
        <v>63</v>
      </c>
      <c r="J92" s="11" t="s">
        <v>112</v>
      </c>
    </row>
    <row r="93" spans="1:10" x14ac:dyDescent="0.25">
      <c r="A93" s="11" t="s">
        <v>92</v>
      </c>
      <c r="D93" s="11">
        <v>3.4665651678014701E-6</v>
      </c>
      <c r="E93" s="11" t="s">
        <v>5</v>
      </c>
      <c r="F93" s="11" t="s">
        <v>42</v>
      </c>
      <c r="G93" s="11" t="s">
        <v>43</v>
      </c>
      <c r="H93" s="11" t="s">
        <v>63</v>
      </c>
      <c r="J93" s="11" t="s">
        <v>112</v>
      </c>
    </row>
    <row r="94" spans="1:10" x14ac:dyDescent="0.25">
      <c r="A94" s="11" t="s">
        <v>48</v>
      </c>
      <c r="D94" s="11">
        <v>2.5446271679241902E-5</v>
      </c>
      <c r="E94" s="11" t="s">
        <v>49</v>
      </c>
      <c r="F94" s="11" t="s">
        <v>42</v>
      </c>
      <c r="G94" s="11" t="s">
        <v>43</v>
      </c>
      <c r="H94" s="11" t="s">
        <v>170</v>
      </c>
      <c r="J94" s="11" t="s">
        <v>141</v>
      </c>
    </row>
    <row r="95" spans="1:10" x14ac:dyDescent="0.25">
      <c r="A95" s="11" t="s">
        <v>118</v>
      </c>
      <c r="D95" s="11">
        <v>2.4475631637846749E-2</v>
      </c>
      <c r="E95" s="11" t="s">
        <v>49</v>
      </c>
      <c r="F95" s="11" t="s">
        <v>42</v>
      </c>
      <c r="G95" s="11" t="s">
        <v>43</v>
      </c>
      <c r="H95" s="11" t="s">
        <v>96</v>
      </c>
      <c r="J95" s="11" t="s">
        <v>112</v>
      </c>
    </row>
    <row r="96" spans="1:10" x14ac:dyDescent="0.25">
      <c r="A96" s="11" t="s">
        <v>97</v>
      </c>
      <c r="D96" s="11">
        <v>3.2408269817793998E-6</v>
      </c>
      <c r="E96" s="11" t="s">
        <v>5</v>
      </c>
      <c r="F96" s="11" t="s">
        <v>42</v>
      </c>
      <c r="G96" s="11" t="s">
        <v>43</v>
      </c>
      <c r="H96" s="11" t="s">
        <v>96</v>
      </c>
      <c r="J96" s="11" t="s">
        <v>141</v>
      </c>
    </row>
    <row r="97" spans="1:14" x14ac:dyDescent="0.25">
      <c r="A97" s="11" t="s">
        <v>100</v>
      </c>
      <c r="D97" s="11">
        <v>1.1411775300230101E-6</v>
      </c>
      <c r="E97" s="11" t="s">
        <v>5</v>
      </c>
      <c r="F97" s="11" t="s">
        <v>42</v>
      </c>
      <c r="G97" s="11" t="s">
        <v>43</v>
      </c>
      <c r="H97" s="11" t="s">
        <v>96</v>
      </c>
      <c r="J97" s="11" t="s">
        <v>141</v>
      </c>
    </row>
    <row r="98" spans="1:14" s="9" customFormat="1" ht="14.1" customHeight="1" x14ac:dyDescent="0.25"/>
    <row r="99" spans="1:14" x14ac:dyDescent="0.25">
      <c r="A99" s="10" t="s">
        <v>0</v>
      </c>
      <c r="B99" s="10" t="s">
        <v>195</v>
      </c>
    </row>
    <row r="100" spans="1:14" x14ac:dyDescent="0.25">
      <c r="A100" s="12" t="s">
        <v>1</v>
      </c>
      <c r="B100" s="11" t="s">
        <v>158</v>
      </c>
    </row>
    <row r="101" spans="1:14" x14ac:dyDescent="0.25">
      <c r="A101" s="12" t="s">
        <v>2</v>
      </c>
      <c r="B101" s="11" t="s">
        <v>193</v>
      </c>
    </row>
    <row r="102" spans="1:14" x14ac:dyDescent="0.25">
      <c r="A102" s="12" t="s">
        <v>3</v>
      </c>
      <c r="B102" s="13">
        <v>1</v>
      </c>
    </row>
    <row r="103" spans="1:14" x14ac:dyDescent="0.25">
      <c r="A103" s="12" t="s">
        <v>4</v>
      </c>
      <c r="B103" s="11" t="s">
        <v>5</v>
      </c>
    </row>
    <row r="104" spans="1:14" x14ac:dyDescent="0.25">
      <c r="A104" s="12" t="s">
        <v>6</v>
      </c>
      <c r="B104" s="11" t="s">
        <v>7</v>
      </c>
    </row>
    <row r="105" spans="1:14" x14ac:dyDescent="0.25">
      <c r="A105" s="12" t="s">
        <v>8</v>
      </c>
    </row>
    <row r="106" spans="1:14" x14ac:dyDescent="0.25">
      <c r="A106" s="10" t="s">
        <v>9</v>
      </c>
      <c r="B106" s="10" t="s">
        <v>1</v>
      </c>
      <c r="C106" s="10" t="s">
        <v>2</v>
      </c>
      <c r="D106" s="10" t="s">
        <v>3</v>
      </c>
      <c r="E106" s="10" t="s">
        <v>4</v>
      </c>
      <c r="F106" s="10" t="s">
        <v>10</v>
      </c>
      <c r="G106" s="10" t="s">
        <v>11</v>
      </c>
      <c r="H106" s="10" t="s">
        <v>12</v>
      </c>
      <c r="I106" s="10" t="s">
        <v>13</v>
      </c>
      <c r="J106" s="10" t="s">
        <v>14</v>
      </c>
      <c r="K106" s="10" t="s">
        <v>15</v>
      </c>
      <c r="L106" s="10" t="s">
        <v>16</v>
      </c>
      <c r="M106" s="10" t="s">
        <v>17</v>
      </c>
      <c r="N106" s="10" t="s">
        <v>18</v>
      </c>
    </row>
    <row r="107" spans="1:14" x14ac:dyDescent="0.25">
      <c r="A107" s="11" t="str">
        <f>B99</f>
        <v>Al ingot production in Gulf Cooperation Council (GCC) countries</v>
      </c>
      <c r="B107" s="11" t="str">
        <f>B100</f>
        <v>Al ingot</v>
      </c>
      <c r="C107" s="11" t="str">
        <f>B101</f>
        <v>Gulf Cooperation Council (GCC) countries</v>
      </c>
      <c r="D107" s="13">
        <v>1</v>
      </c>
      <c r="E107" s="11" t="s">
        <v>5</v>
      </c>
      <c r="F107" s="14" t="str">
        <f>F75</f>
        <v>Aluminium</v>
      </c>
      <c r="G107" s="11" t="s">
        <v>19</v>
      </c>
    </row>
    <row r="108" spans="1:14" x14ac:dyDescent="0.25">
      <c r="A108" s="11" t="str">
        <f>A75</f>
        <v>[R] Casting</v>
      </c>
      <c r="B108" s="11" t="str">
        <f>B75</f>
        <v>Al ingot</v>
      </c>
      <c r="C108" s="11" t="str">
        <f>C75</f>
        <v>Gulf Cooperation Council (GCC) countries</v>
      </c>
      <c r="D108" s="11">
        <v>1</v>
      </c>
      <c r="E108" s="11" t="str">
        <f>E75</f>
        <v>kilogram</v>
      </c>
      <c r="F108" s="14" t="str">
        <f>F75</f>
        <v>Aluminium</v>
      </c>
      <c r="G108" s="11" t="s">
        <v>25</v>
      </c>
    </row>
    <row r="109" spans="1:14" x14ac:dyDescent="0.25">
      <c r="A109" s="11" t="str">
        <f>A37</f>
        <v>[R] Electrolysis</v>
      </c>
      <c r="B109" s="11" t="str">
        <f t="shared" ref="B109:F109" si="0">B37</f>
        <v>Liquid aluminium (Al)</v>
      </c>
      <c r="C109" s="11" t="str">
        <f t="shared" si="0"/>
        <v>Gulf Cooperation Council (GCC) countries</v>
      </c>
      <c r="D109" s="11">
        <v>1</v>
      </c>
      <c r="E109" s="11" t="str">
        <f t="shared" si="0"/>
        <v>kilogram</v>
      </c>
      <c r="F109" s="14" t="str">
        <f t="shared" si="0"/>
        <v>Aluminium</v>
      </c>
      <c r="G109" s="11" t="s">
        <v>25</v>
      </c>
    </row>
    <row r="110" spans="1:14" x14ac:dyDescent="0.25">
      <c r="A110" s="11" t="str">
        <f>A9</f>
        <v>[P] Anode/Paste production</v>
      </c>
      <c r="B110" s="11" t="str">
        <f t="shared" ref="B110:F110" si="1">B9</f>
        <v>Anode/Paste</v>
      </c>
      <c r="C110" s="11" t="str">
        <f t="shared" si="1"/>
        <v>Gulf Cooperation Council (GCC) countries</v>
      </c>
      <c r="D110" s="11">
        <v>0.56324034389965905</v>
      </c>
      <c r="E110" s="11" t="str">
        <f t="shared" si="1"/>
        <v>kilogram</v>
      </c>
      <c r="F110" s="14" t="str">
        <f t="shared" si="1"/>
        <v>Aluminium</v>
      </c>
      <c r="G110" s="11" t="s">
        <v>25</v>
      </c>
    </row>
    <row r="111" spans="1:14" x14ac:dyDescent="0.25">
      <c r="A111" s="11" t="str">
        <f>Al_Mining_GLO!A83</f>
        <v>Global alumina production</v>
      </c>
      <c r="B111" s="11" t="str">
        <f>Al_Mining_GLO!B83</f>
        <v>Alumina</v>
      </c>
      <c r="C111" s="11" t="str">
        <f>Al_Mining_GLO!C83</f>
        <v>GLO</v>
      </c>
      <c r="D111" s="11">
        <v>1.9343763002290599</v>
      </c>
      <c r="E111" s="11" t="str">
        <f>Al_Mining_GLO!E83</f>
        <v>kilogram</v>
      </c>
      <c r="F111" s="14" t="str">
        <f>Al_Mining_GLO!F83</f>
        <v>Aluminium</v>
      </c>
      <c r="G111" s="11" t="s">
        <v>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8" tint="0.39997558519241921"/>
  </sheetPr>
  <dimension ref="A1:N100"/>
  <sheetViews>
    <sheetView workbookViewId="0">
      <selection activeCell="D101" sqref="D101"/>
    </sheetView>
  </sheetViews>
  <sheetFormatPr baseColWidth="10" defaultColWidth="8.7109375" defaultRowHeight="15" x14ac:dyDescent="0.25"/>
  <cols>
    <col min="1" max="1" width="56.7109375" style="11" bestFit="1" customWidth="1"/>
    <col min="2" max="2" width="46.7109375" style="11" bestFit="1" customWidth="1"/>
    <col min="3" max="3" width="14.140625" style="11" bestFit="1" customWidth="1"/>
    <col min="4" max="4" width="12.7109375" style="11" bestFit="1" customWidth="1"/>
    <col min="5" max="5" width="13.140625" style="11" bestFit="1" customWidth="1"/>
    <col min="6" max="6" width="19.7109375" style="11" bestFit="1" customWidth="1"/>
    <col min="7" max="7" width="13.28515625" style="11" bestFit="1" customWidth="1"/>
    <col min="8" max="8" width="25.28515625" style="11" bestFit="1" customWidth="1"/>
    <col min="9" max="9" width="15.5703125" style="11" bestFit="1" customWidth="1"/>
    <col min="10" max="10" width="9.7109375" style="11" bestFit="1" customWidth="1"/>
    <col min="11" max="11" width="3.5703125" style="11" bestFit="1" customWidth="1"/>
    <col min="12" max="12" width="5.42578125" style="11" bestFit="1" customWidth="1"/>
    <col min="13" max="13" width="9.5703125" style="11" bestFit="1" customWidth="1"/>
    <col min="14" max="14" width="9.85546875" style="11" bestFit="1" customWidth="1"/>
    <col min="15" max="16384" width="8.7109375" style="11"/>
  </cols>
  <sheetData>
    <row r="1" spans="1:14" x14ac:dyDescent="0.25">
      <c r="A1" s="10" t="s">
        <v>0</v>
      </c>
      <c r="B1" s="10" t="s">
        <v>133</v>
      </c>
    </row>
    <row r="2" spans="1:14" x14ac:dyDescent="0.25">
      <c r="A2" s="12" t="s">
        <v>1</v>
      </c>
      <c r="B2" s="11" t="s">
        <v>134</v>
      </c>
    </row>
    <row r="3" spans="1:14" x14ac:dyDescent="0.25">
      <c r="A3" s="12" t="s">
        <v>2</v>
      </c>
      <c r="B3" s="11" t="s">
        <v>196</v>
      </c>
    </row>
    <row r="4" spans="1:14" x14ac:dyDescent="0.25">
      <c r="A4" s="12" t="s">
        <v>3</v>
      </c>
      <c r="B4" s="13">
        <v>1</v>
      </c>
    </row>
    <row r="5" spans="1:14" x14ac:dyDescent="0.25">
      <c r="A5" s="12" t="s">
        <v>4</v>
      </c>
      <c r="B5" s="11" t="s">
        <v>5</v>
      </c>
    </row>
    <row r="6" spans="1:14" x14ac:dyDescent="0.25">
      <c r="A6" s="12" t="s">
        <v>6</v>
      </c>
      <c r="B6" s="11" t="s">
        <v>7</v>
      </c>
    </row>
    <row r="7" spans="1:14" x14ac:dyDescent="0.25">
      <c r="A7" s="12" t="s">
        <v>8</v>
      </c>
    </row>
    <row r="8" spans="1:14" x14ac:dyDescent="0.25">
      <c r="A8" s="10" t="s">
        <v>9</v>
      </c>
      <c r="B8" s="10" t="s">
        <v>1</v>
      </c>
      <c r="C8" s="10" t="s">
        <v>2</v>
      </c>
      <c r="D8" s="10" t="s">
        <v>3</v>
      </c>
      <c r="E8" s="10" t="s">
        <v>4</v>
      </c>
      <c r="F8" s="10" t="s">
        <v>10</v>
      </c>
      <c r="G8" s="10" t="s">
        <v>11</v>
      </c>
      <c r="H8" s="10" t="s">
        <v>12</v>
      </c>
      <c r="I8" s="10" t="s">
        <v>13</v>
      </c>
      <c r="J8" s="10" t="s">
        <v>14</v>
      </c>
      <c r="K8" s="10" t="s">
        <v>15</v>
      </c>
      <c r="L8" s="10" t="s">
        <v>16</v>
      </c>
      <c r="M8" s="10" t="s">
        <v>17</v>
      </c>
      <c r="N8" s="10" t="s">
        <v>18</v>
      </c>
    </row>
    <row r="9" spans="1:14" x14ac:dyDescent="0.25">
      <c r="A9" s="11" t="str">
        <f>B1</f>
        <v>[P] Anode/Paste production</v>
      </c>
      <c r="B9" s="11" t="str">
        <f>B2</f>
        <v>Anode/Paste</v>
      </c>
      <c r="C9" s="11" t="str">
        <f>B3</f>
        <v>Africa</v>
      </c>
      <c r="D9" s="13">
        <v>1</v>
      </c>
      <c r="E9" s="11" t="s">
        <v>5</v>
      </c>
      <c r="F9" s="14" t="str">
        <f>Al_Market_GLO!B1</f>
        <v>Aluminium</v>
      </c>
      <c r="G9" s="11" t="s">
        <v>19</v>
      </c>
    </row>
    <row r="10" spans="1:14" x14ac:dyDescent="0.25">
      <c r="A10" s="11" t="s">
        <v>135</v>
      </c>
      <c r="B10" s="11" t="s">
        <v>136</v>
      </c>
      <c r="C10" s="11" t="s">
        <v>22</v>
      </c>
      <c r="D10" s="11">
        <v>1.4079477729853249</v>
      </c>
      <c r="E10" s="11" t="s">
        <v>5</v>
      </c>
      <c r="F10" s="11" t="s">
        <v>24</v>
      </c>
      <c r="G10" s="11" t="s">
        <v>25</v>
      </c>
      <c r="J10" s="11" t="s">
        <v>127</v>
      </c>
    </row>
    <row r="11" spans="1:14" x14ac:dyDescent="0.25">
      <c r="A11" s="11" t="s">
        <v>137</v>
      </c>
      <c r="B11" s="11" t="s">
        <v>138</v>
      </c>
      <c r="C11" s="11" t="s">
        <v>29</v>
      </c>
      <c r="D11" s="11">
        <v>0.22526057923887999</v>
      </c>
      <c r="E11" s="11" t="s">
        <v>5</v>
      </c>
      <c r="F11" s="11" t="s">
        <v>24</v>
      </c>
      <c r="G11" s="11" t="s">
        <v>25</v>
      </c>
      <c r="J11" s="11" t="s">
        <v>127</v>
      </c>
    </row>
    <row r="12" spans="1:14" x14ac:dyDescent="0.25">
      <c r="A12" s="11" t="s">
        <v>139</v>
      </c>
      <c r="B12" s="11" t="s">
        <v>140</v>
      </c>
      <c r="C12" s="11" t="s">
        <v>22</v>
      </c>
      <c r="D12" s="11">
        <v>2.711687147499346E-3</v>
      </c>
      <c r="E12" s="11" t="s">
        <v>5</v>
      </c>
      <c r="F12" s="11" t="s">
        <v>24</v>
      </c>
      <c r="G12" s="11" t="s">
        <v>25</v>
      </c>
      <c r="J12" s="11" t="s">
        <v>112</v>
      </c>
    </row>
    <row r="13" spans="1:14" x14ac:dyDescent="0.25">
      <c r="A13" s="11" t="s">
        <v>34</v>
      </c>
      <c r="B13" s="11" t="s">
        <v>35</v>
      </c>
      <c r="C13" s="11" t="s">
        <v>22</v>
      </c>
      <c r="D13" s="11">
        <v>3.2625226907705522E-3</v>
      </c>
      <c r="E13" s="11" t="s">
        <v>5</v>
      </c>
      <c r="F13" s="11" t="s">
        <v>24</v>
      </c>
      <c r="G13" s="11" t="s">
        <v>25</v>
      </c>
      <c r="J13" s="11" t="s">
        <v>112</v>
      </c>
    </row>
    <row r="14" spans="1:14" x14ac:dyDescent="0.25">
      <c r="A14" s="11" t="s">
        <v>57</v>
      </c>
      <c r="B14" s="11" t="s">
        <v>58</v>
      </c>
      <c r="C14" s="11" t="s">
        <v>29</v>
      </c>
      <c r="D14" s="11">
        <v>9.7697568549713468E-2</v>
      </c>
      <c r="E14" s="11" t="s">
        <v>49</v>
      </c>
      <c r="F14" s="11" t="s">
        <v>24</v>
      </c>
      <c r="G14" s="11" t="s">
        <v>25</v>
      </c>
      <c r="J14" s="11" t="s">
        <v>127</v>
      </c>
    </row>
    <row r="15" spans="1:14" x14ac:dyDescent="0.25">
      <c r="A15" s="11" t="s">
        <v>113</v>
      </c>
      <c r="B15" s="11" t="s">
        <v>114</v>
      </c>
      <c r="C15" s="11" t="s">
        <v>197</v>
      </c>
      <c r="D15" s="11">
        <v>0.17191348992696309</v>
      </c>
      <c r="E15" s="11" t="s">
        <v>28</v>
      </c>
      <c r="F15" s="11" t="s">
        <v>24</v>
      </c>
      <c r="G15" s="11" t="s">
        <v>25</v>
      </c>
      <c r="J15" s="11" t="s">
        <v>127</v>
      </c>
    </row>
    <row r="16" spans="1:14" x14ac:dyDescent="0.25">
      <c r="A16" s="11" t="s">
        <v>142</v>
      </c>
      <c r="B16" s="11" t="s">
        <v>143</v>
      </c>
      <c r="C16" s="11" t="s">
        <v>29</v>
      </c>
      <c r="D16" s="11">
        <v>-6.4377819935919154E-3</v>
      </c>
      <c r="E16" s="11" t="s">
        <v>5</v>
      </c>
      <c r="F16" s="11" t="s">
        <v>24</v>
      </c>
      <c r="G16" s="11" t="s">
        <v>25</v>
      </c>
      <c r="J16" s="11" t="s">
        <v>127</v>
      </c>
    </row>
    <row r="17" spans="1:10" x14ac:dyDescent="0.25">
      <c r="A17" s="11" t="s">
        <v>144</v>
      </c>
      <c r="B17" s="11" t="s">
        <v>76</v>
      </c>
      <c r="C17" s="11" t="s">
        <v>29</v>
      </c>
      <c r="D17" s="11">
        <v>-3.0251290837565942E-4</v>
      </c>
      <c r="E17" s="11" t="s">
        <v>5</v>
      </c>
      <c r="F17" s="11" t="s">
        <v>24</v>
      </c>
      <c r="G17" s="11" t="s">
        <v>25</v>
      </c>
      <c r="J17" s="11" t="s">
        <v>127</v>
      </c>
    </row>
    <row r="18" spans="1:10" x14ac:dyDescent="0.25">
      <c r="A18" s="11" t="s">
        <v>36</v>
      </c>
      <c r="B18" s="11" t="s">
        <v>37</v>
      </c>
      <c r="C18" s="11" t="s">
        <v>29</v>
      </c>
      <c r="D18" s="11">
        <v>-7.1364807075399283E-4</v>
      </c>
      <c r="E18" s="11" t="s">
        <v>5</v>
      </c>
      <c r="F18" s="11" t="s">
        <v>24</v>
      </c>
      <c r="G18" s="11" t="s">
        <v>25</v>
      </c>
      <c r="J18" s="11" t="s">
        <v>127</v>
      </c>
    </row>
    <row r="19" spans="1:10" x14ac:dyDescent="0.25">
      <c r="A19" s="11" t="s">
        <v>145</v>
      </c>
      <c r="B19" s="11" t="s">
        <v>146</v>
      </c>
      <c r="C19" s="11" t="s">
        <v>29</v>
      </c>
      <c r="D19" s="11">
        <v>-3.144905580667802E-3</v>
      </c>
      <c r="E19" s="11" t="s">
        <v>5</v>
      </c>
      <c r="F19" s="11" t="s">
        <v>24</v>
      </c>
      <c r="G19" s="11" t="s">
        <v>25</v>
      </c>
      <c r="J19" s="11" t="s">
        <v>127</v>
      </c>
    </row>
    <row r="20" spans="1:10" x14ac:dyDescent="0.25">
      <c r="A20" s="11" t="s">
        <v>153</v>
      </c>
      <c r="B20" s="11" t="s">
        <v>154</v>
      </c>
      <c r="C20" s="11" t="s">
        <v>29</v>
      </c>
      <c r="D20" s="11">
        <v>-3.3985002223633511E-4</v>
      </c>
      <c r="E20" s="11" t="s">
        <v>5</v>
      </c>
      <c r="F20" s="11" t="s">
        <v>24</v>
      </c>
      <c r="G20" s="11" t="s">
        <v>25</v>
      </c>
      <c r="J20" s="11" t="s">
        <v>127</v>
      </c>
    </row>
    <row r="21" spans="1:10" x14ac:dyDescent="0.25">
      <c r="A21" s="11" t="s">
        <v>36</v>
      </c>
      <c r="B21" s="11" t="s">
        <v>37</v>
      </c>
      <c r="C21" s="11" t="s">
        <v>29</v>
      </c>
      <c r="D21" s="11">
        <v>-3.4577622827622499E-3</v>
      </c>
      <c r="E21" s="11" t="s">
        <v>5</v>
      </c>
      <c r="F21" s="11" t="s">
        <v>24</v>
      </c>
      <c r="G21" s="11" t="s">
        <v>25</v>
      </c>
      <c r="J21" s="11" t="s">
        <v>127</v>
      </c>
    </row>
    <row r="22" spans="1:10" x14ac:dyDescent="0.25">
      <c r="A22" s="11" t="s">
        <v>69</v>
      </c>
      <c r="B22" s="11" t="s">
        <v>70</v>
      </c>
      <c r="C22" s="11" t="s">
        <v>29</v>
      </c>
      <c r="D22" s="11">
        <v>-2.8797073454515159E-3</v>
      </c>
      <c r="E22" s="11" t="s">
        <v>5</v>
      </c>
      <c r="F22" s="11" t="s">
        <v>24</v>
      </c>
      <c r="G22" s="11" t="s">
        <v>25</v>
      </c>
      <c r="J22" s="11" t="s">
        <v>127</v>
      </c>
    </row>
    <row r="23" spans="1:10" x14ac:dyDescent="0.25">
      <c r="A23" s="11" t="s">
        <v>48</v>
      </c>
      <c r="D23" s="11">
        <v>1.324830409176308E-5</v>
      </c>
      <c r="E23" s="11" t="s">
        <v>49</v>
      </c>
      <c r="F23" s="11" t="s">
        <v>42</v>
      </c>
      <c r="G23" s="11" t="s">
        <v>43</v>
      </c>
      <c r="H23" s="11" t="s">
        <v>47</v>
      </c>
      <c r="J23" s="11" t="s">
        <v>112</v>
      </c>
    </row>
    <row r="24" spans="1:10" x14ac:dyDescent="0.25">
      <c r="A24" s="11" t="s">
        <v>48</v>
      </c>
      <c r="D24" s="11">
        <v>1.324830409176308E-5</v>
      </c>
      <c r="E24" s="11" t="s">
        <v>49</v>
      </c>
      <c r="F24" s="11" t="s">
        <v>42</v>
      </c>
      <c r="G24" s="11" t="s">
        <v>43</v>
      </c>
      <c r="H24" s="11" t="s">
        <v>47</v>
      </c>
      <c r="J24" s="11" t="s">
        <v>112</v>
      </c>
    </row>
    <row r="25" spans="1:10" x14ac:dyDescent="0.25">
      <c r="A25" s="11" t="s">
        <v>64</v>
      </c>
      <c r="D25" s="11">
        <v>1.0697214902326861E-3</v>
      </c>
      <c r="E25" s="11" t="s">
        <v>5</v>
      </c>
      <c r="F25" s="11" t="s">
        <v>42</v>
      </c>
      <c r="G25" s="11" t="s">
        <v>43</v>
      </c>
      <c r="H25" s="11" t="s">
        <v>63</v>
      </c>
      <c r="J25" s="11" t="s">
        <v>112</v>
      </c>
    </row>
    <row r="26" spans="1:10" x14ac:dyDescent="0.25">
      <c r="A26" s="11" t="s">
        <v>62</v>
      </c>
      <c r="D26" s="11">
        <v>1.1686695340159289E-3</v>
      </c>
      <c r="E26" s="11" t="s">
        <v>5</v>
      </c>
      <c r="F26" s="11" t="s">
        <v>42</v>
      </c>
      <c r="G26" s="11" t="s">
        <v>43</v>
      </c>
      <c r="H26" s="11" t="s">
        <v>63</v>
      </c>
      <c r="J26" s="11" t="s">
        <v>112</v>
      </c>
    </row>
    <row r="27" spans="1:10" x14ac:dyDescent="0.25">
      <c r="A27" s="11" t="s">
        <v>73</v>
      </c>
      <c r="D27" s="11">
        <v>2.4792468551471142E-3</v>
      </c>
      <c r="E27" s="11" t="s">
        <v>5</v>
      </c>
      <c r="F27" s="11" t="s">
        <v>42</v>
      </c>
      <c r="G27" s="11" t="s">
        <v>43</v>
      </c>
      <c r="H27" s="11" t="s">
        <v>63</v>
      </c>
      <c r="J27" s="11" t="s">
        <v>112</v>
      </c>
    </row>
    <row r="28" spans="1:10" x14ac:dyDescent="0.25">
      <c r="A28" s="11" t="s">
        <v>106</v>
      </c>
      <c r="D28" s="11">
        <v>1.056082634103807E-5</v>
      </c>
      <c r="E28" s="11" t="s">
        <v>5</v>
      </c>
      <c r="F28" s="11" t="s">
        <v>42</v>
      </c>
      <c r="G28" s="11" t="s">
        <v>43</v>
      </c>
      <c r="H28" s="11" t="s">
        <v>63</v>
      </c>
      <c r="J28" s="11" t="s">
        <v>112</v>
      </c>
    </row>
    <row r="29" spans="1:10" s="8" customFormat="1" x14ac:dyDescent="0.25"/>
    <row r="30" spans="1:10" x14ac:dyDescent="0.25">
      <c r="A30" s="10" t="s">
        <v>0</v>
      </c>
      <c r="B30" s="10" t="s">
        <v>147</v>
      </c>
    </row>
    <row r="31" spans="1:10" x14ac:dyDescent="0.25">
      <c r="A31" s="12" t="s">
        <v>1</v>
      </c>
      <c r="B31" s="11" t="s">
        <v>148</v>
      </c>
    </row>
    <row r="32" spans="1:10" x14ac:dyDescent="0.25">
      <c r="A32" s="12" t="s">
        <v>2</v>
      </c>
      <c r="B32" s="11" t="s">
        <v>196</v>
      </c>
    </row>
    <row r="33" spans="1:14" x14ac:dyDescent="0.25">
      <c r="A33" s="12" t="s">
        <v>3</v>
      </c>
      <c r="B33" s="13">
        <v>1</v>
      </c>
    </row>
    <row r="34" spans="1:14" x14ac:dyDescent="0.25">
      <c r="A34" s="12" t="s">
        <v>4</v>
      </c>
      <c r="B34" s="11" t="s">
        <v>5</v>
      </c>
    </row>
    <row r="35" spans="1:14" x14ac:dyDescent="0.25">
      <c r="A35" s="12" t="s">
        <v>6</v>
      </c>
      <c r="B35" s="11" t="s">
        <v>7</v>
      </c>
    </row>
    <row r="36" spans="1:14" x14ac:dyDescent="0.25">
      <c r="A36" s="12" t="s">
        <v>8</v>
      </c>
    </row>
    <row r="37" spans="1:14" x14ac:dyDescent="0.25">
      <c r="A37" s="10" t="s">
        <v>9</v>
      </c>
      <c r="B37" s="10" t="s">
        <v>1</v>
      </c>
      <c r="C37" s="10" t="s">
        <v>2</v>
      </c>
      <c r="D37" s="10" t="s">
        <v>3</v>
      </c>
      <c r="E37" s="10" t="s">
        <v>4</v>
      </c>
      <c r="F37" s="10" t="s">
        <v>10</v>
      </c>
      <c r="G37" s="10" t="s">
        <v>11</v>
      </c>
      <c r="H37" s="10" t="s">
        <v>12</v>
      </c>
      <c r="I37" s="10" t="s">
        <v>13</v>
      </c>
      <c r="J37" s="10" t="s">
        <v>14</v>
      </c>
      <c r="K37" s="10" t="s">
        <v>15</v>
      </c>
      <c r="L37" s="10" t="s">
        <v>16</v>
      </c>
      <c r="M37" s="10" t="s">
        <v>17</v>
      </c>
      <c r="N37" s="10" t="s">
        <v>18</v>
      </c>
    </row>
    <row r="38" spans="1:14" x14ac:dyDescent="0.25">
      <c r="A38" s="11" t="str">
        <f>B30</f>
        <v>[R] Electrolysis</v>
      </c>
      <c r="B38" s="11" t="str">
        <f>B31</f>
        <v>Liquid aluminium (Al)</v>
      </c>
      <c r="C38" s="11" t="str">
        <f>B32</f>
        <v>Africa</v>
      </c>
      <c r="D38" s="13">
        <v>1</v>
      </c>
      <c r="E38" s="11" t="s">
        <v>5</v>
      </c>
      <c r="F38" s="14" t="str">
        <f>F9</f>
        <v>Aluminium</v>
      </c>
      <c r="G38" s="11" t="s">
        <v>19</v>
      </c>
    </row>
    <row r="39" spans="1:14" x14ac:dyDescent="0.25">
      <c r="A39" s="11" t="s">
        <v>121</v>
      </c>
      <c r="B39" s="11" t="s">
        <v>122</v>
      </c>
      <c r="C39" s="11" t="s">
        <v>22</v>
      </c>
      <c r="D39" s="11">
        <v>8.4544284454557168</v>
      </c>
      <c r="E39" s="11" t="s">
        <v>105</v>
      </c>
      <c r="F39" s="11" t="s">
        <v>24</v>
      </c>
      <c r="G39" s="11" t="s">
        <v>25</v>
      </c>
      <c r="J39" s="11" t="s">
        <v>127</v>
      </c>
    </row>
    <row r="40" spans="1:14" x14ac:dyDescent="0.25">
      <c r="A40" s="11" t="s">
        <v>123</v>
      </c>
      <c r="B40" s="11" t="s">
        <v>124</v>
      </c>
      <c r="C40" s="11" t="s">
        <v>29</v>
      </c>
      <c r="D40" s="11">
        <v>5.9908726760898319E-2</v>
      </c>
      <c r="E40" s="11" t="s">
        <v>105</v>
      </c>
      <c r="F40" s="11" t="s">
        <v>24</v>
      </c>
      <c r="G40" s="11" t="s">
        <v>25</v>
      </c>
      <c r="J40" s="11" t="s">
        <v>127</v>
      </c>
    </row>
    <row r="41" spans="1:14" x14ac:dyDescent="0.25">
      <c r="A41" s="11" t="s">
        <v>139</v>
      </c>
      <c r="B41" s="11" t="s">
        <v>140</v>
      </c>
      <c r="C41" s="11" t="s">
        <v>22</v>
      </c>
      <c r="D41" s="11">
        <v>6.8669213331774394E-3</v>
      </c>
      <c r="E41" s="11" t="s">
        <v>5</v>
      </c>
      <c r="F41" s="11" t="s">
        <v>24</v>
      </c>
      <c r="G41" s="11" t="s">
        <v>25</v>
      </c>
      <c r="J41" s="11" t="s">
        <v>112</v>
      </c>
    </row>
    <row r="42" spans="1:14" x14ac:dyDescent="0.25">
      <c r="A42" s="11" t="s">
        <v>34</v>
      </c>
      <c r="B42" s="11" t="s">
        <v>35</v>
      </c>
      <c r="C42" s="11" t="s">
        <v>22</v>
      </c>
      <c r="D42" s="11">
        <v>4.3976217940551836E-3</v>
      </c>
      <c r="E42" s="11" t="s">
        <v>5</v>
      </c>
      <c r="F42" s="11" t="s">
        <v>24</v>
      </c>
      <c r="G42" s="11" t="s">
        <v>25</v>
      </c>
      <c r="J42" s="11" t="s">
        <v>112</v>
      </c>
    </row>
    <row r="43" spans="1:14" x14ac:dyDescent="0.25">
      <c r="A43" s="11" t="s">
        <v>149</v>
      </c>
      <c r="B43" s="11" t="s">
        <v>150</v>
      </c>
      <c r="C43" s="11" t="s">
        <v>22</v>
      </c>
      <c r="D43" s="11">
        <v>5.9807861619403839E-3</v>
      </c>
      <c r="E43" s="11" t="s">
        <v>5</v>
      </c>
      <c r="F43" s="11" t="s">
        <v>24</v>
      </c>
      <c r="G43" s="11" t="s">
        <v>25</v>
      </c>
      <c r="J43" s="11" t="s">
        <v>112</v>
      </c>
    </row>
    <row r="44" spans="1:14" x14ac:dyDescent="0.25">
      <c r="A44" s="11" t="s">
        <v>151</v>
      </c>
      <c r="B44" s="11" t="s">
        <v>152</v>
      </c>
      <c r="C44" s="11" t="s">
        <v>22</v>
      </c>
      <c r="D44" s="11">
        <v>1.8177367507018729E-2</v>
      </c>
      <c r="E44" s="11" t="s">
        <v>5</v>
      </c>
      <c r="F44" s="11" t="s">
        <v>24</v>
      </c>
      <c r="G44" s="11" t="s">
        <v>25</v>
      </c>
      <c r="J44" s="11" t="s">
        <v>127</v>
      </c>
    </row>
    <row r="45" spans="1:14" x14ac:dyDescent="0.25">
      <c r="A45" s="11" t="s">
        <v>113</v>
      </c>
      <c r="B45" s="11" t="s">
        <v>114</v>
      </c>
      <c r="C45" s="11" t="s">
        <v>197</v>
      </c>
      <c r="D45" s="11">
        <v>14.526792587370309</v>
      </c>
      <c r="E45" s="11" t="s">
        <v>28</v>
      </c>
      <c r="F45" s="11" t="s">
        <v>24</v>
      </c>
      <c r="G45" s="11" t="s">
        <v>25</v>
      </c>
      <c r="J45" s="11" t="s">
        <v>61</v>
      </c>
    </row>
    <row r="46" spans="1:14" x14ac:dyDescent="0.25">
      <c r="A46" s="11" t="s">
        <v>144</v>
      </c>
      <c r="B46" s="11" t="s">
        <v>76</v>
      </c>
      <c r="C46" s="11" t="s">
        <v>29</v>
      </c>
      <c r="D46" s="11">
        <v>-4.5183013595825128E-3</v>
      </c>
      <c r="E46" s="11" t="s">
        <v>5</v>
      </c>
      <c r="F46" s="11" t="s">
        <v>24</v>
      </c>
      <c r="G46" s="11" t="s">
        <v>25</v>
      </c>
      <c r="J46" s="11" t="s">
        <v>127</v>
      </c>
    </row>
    <row r="47" spans="1:14" x14ac:dyDescent="0.25">
      <c r="A47" s="11" t="s">
        <v>142</v>
      </c>
      <c r="B47" s="11" t="s">
        <v>143</v>
      </c>
      <c r="C47" s="11" t="s">
        <v>29</v>
      </c>
      <c r="D47" s="11">
        <v>-7.9826927130423105E-3</v>
      </c>
      <c r="E47" s="11" t="s">
        <v>5</v>
      </c>
      <c r="F47" s="11" t="s">
        <v>24</v>
      </c>
      <c r="G47" s="11" t="s">
        <v>25</v>
      </c>
      <c r="J47" s="11" t="s">
        <v>127</v>
      </c>
    </row>
    <row r="48" spans="1:14" x14ac:dyDescent="0.25">
      <c r="A48" s="11" t="s">
        <v>36</v>
      </c>
      <c r="B48" s="11" t="s">
        <v>37</v>
      </c>
      <c r="C48" s="11" t="s">
        <v>29</v>
      </c>
      <c r="D48" s="11">
        <v>-4.856479075832879E-5</v>
      </c>
      <c r="E48" s="11" t="s">
        <v>5</v>
      </c>
      <c r="F48" s="11" t="s">
        <v>24</v>
      </c>
      <c r="G48" s="11" t="s">
        <v>25</v>
      </c>
      <c r="J48" s="11" t="s">
        <v>127</v>
      </c>
    </row>
    <row r="49" spans="1:10" x14ac:dyDescent="0.25">
      <c r="A49" s="11" t="s">
        <v>145</v>
      </c>
      <c r="B49" s="11" t="s">
        <v>146</v>
      </c>
      <c r="C49" s="11" t="s">
        <v>29</v>
      </c>
      <c r="D49" s="11">
        <v>-6.1573746291047494E-3</v>
      </c>
      <c r="E49" s="11" t="s">
        <v>5</v>
      </c>
      <c r="F49" s="11" t="s">
        <v>24</v>
      </c>
      <c r="G49" s="11" t="s">
        <v>25</v>
      </c>
      <c r="J49" s="11" t="s">
        <v>127</v>
      </c>
    </row>
    <row r="50" spans="1:10" x14ac:dyDescent="0.25">
      <c r="A50" s="11" t="s">
        <v>142</v>
      </c>
      <c r="B50" s="11" t="s">
        <v>143</v>
      </c>
      <c r="C50" s="11" t="s">
        <v>29</v>
      </c>
      <c r="D50" s="11">
        <v>-2.945543350445537E-5</v>
      </c>
      <c r="E50" s="11" t="s">
        <v>5</v>
      </c>
      <c r="F50" s="11" t="s">
        <v>24</v>
      </c>
      <c r="G50" s="11" t="s">
        <v>25</v>
      </c>
      <c r="J50" s="11" t="s">
        <v>127</v>
      </c>
    </row>
    <row r="51" spans="1:10" x14ac:dyDescent="0.25">
      <c r="A51" s="11" t="s">
        <v>48</v>
      </c>
      <c r="D51" s="11">
        <v>8.2251407849754895E-4</v>
      </c>
      <c r="E51" s="11" t="s">
        <v>49</v>
      </c>
      <c r="F51" s="11" t="s">
        <v>42</v>
      </c>
      <c r="G51" s="11" t="s">
        <v>43</v>
      </c>
      <c r="H51" s="11" t="s">
        <v>47</v>
      </c>
      <c r="J51" s="11" t="s">
        <v>127</v>
      </c>
    </row>
    <row r="52" spans="1:10" x14ac:dyDescent="0.25">
      <c r="A52" s="11" t="s">
        <v>48</v>
      </c>
      <c r="D52" s="11">
        <v>2.8608798384746538E-4</v>
      </c>
      <c r="E52" s="11" t="s">
        <v>49</v>
      </c>
      <c r="F52" s="11" t="s">
        <v>42</v>
      </c>
      <c r="G52" s="11" t="s">
        <v>43</v>
      </c>
      <c r="H52" s="11" t="s">
        <v>47</v>
      </c>
      <c r="J52" s="11" t="s">
        <v>127</v>
      </c>
    </row>
    <row r="53" spans="1:10" x14ac:dyDescent="0.25">
      <c r="A53" s="11" t="s">
        <v>64</v>
      </c>
      <c r="D53" s="11">
        <v>4.3093775996717052E-4</v>
      </c>
      <c r="E53" s="11" t="s">
        <v>5</v>
      </c>
      <c r="F53" s="11" t="s">
        <v>42</v>
      </c>
      <c r="G53" s="11" t="s">
        <v>43</v>
      </c>
      <c r="H53" s="11" t="s">
        <v>63</v>
      </c>
      <c r="J53" s="11" t="s">
        <v>127</v>
      </c>
    </row>
    <row r="54" spans="1:10" x14ac:dyDescent="0.25">
      <c r="A54" s="11" t="s">
        <v>62</v>
      </c>
      <c r="D54" s="11">
        <v>1.410401821527096E-2</v>
      </c>
      <c r="E54" s="11" t="s">
        <v>5</v>
      </c>
      <c r="F54" s="11" t="s">
        <v>42</v>
      </c>
      <c r="G54" s="11" t="s">
        <v>43</v>
      </c>
      <c r="H54" s="11" t="s">
        <v>63</v>
      </c>
      <c r="J54" s="11" t="s">
        <v>127</v>
      </c>
    </row>
    <row r="55" spans="1:10" x14ac:dyDescent="0.25">
      <c r="A55" s="11" t="s">
        <v>106</v>
      </c>
      <c r="D55" s="11">
        <v>5.8790387905318503E-4</v>
      </c>
      <c r="E55" s="11" t="s">
        <v>5</v>
      </c>
      <c r="F55" s="11" t="s">
        <v>42</v>
      </c>
      <c r="G55" s="11" t="s">
        <v>43</v>
      </c>
      <c r="H55" s="11" t="s">
        <v>63</v>
      </c>
      <c r="J55" s="11" t="s">
        <v>112</v>
      </c>
    </row>
    <row r="56" spans="1:10" x14ac:dyDescent="0.25">
      <c r="A56" s="11" t="s">
        <v>106</v>
      </c>
      <c r="D56" s="11">
        <v>3.6791882499457608E-4</v>
      </c>
      <c r="E56" s="11" t="s">
        <v>5</v>
      </c>
      <c r="F56" s="11" t="s">
        <v>42</v>
      </c>
      <c r="G56" s="11" t="s">
        <v>43</v>
      </c>
      <c r="H56" s="11" t="s">
        <v>63</v>
      </c>
      <c r="J56" s="11" t="s">
        <v>127</v>
      </c>
    </row>
    <row r="57" spans="1:10" x14ac:dyDescent="0.25">
      <c r="A57" s="11" t="s">
        <v>155</v>
      </c>
      <c r="D57" s="11">
        <v>2.322666365036111E-5</v>
      </c>
      <c r="E57" s="11" t="s">
        <v>5</v>
      </c>
      <c r="F57" s="11" t="s">
        <v>42</v>
      </c>
      <c r="G57" s="11" t="s">
        <v>43</v>
      </c>
      <c r="H57" s="11" t="s">
        <v>63</v>
      </c>
      <c r="J57" s="11" t="s">
        <v>61</v>
      </c>
    </row>
    <row r="58" spans="1:10" x14ac:dyDescent="0.25">
      <c r="A58" s="11" t="s">
        <v>156</v>
      </c>
      <c r="D58" s="11">
        <v>1.110709368410493E-7</v>
      </c>
      <c r="E58" s="11" t="s">
        <v>5</v>
      </c>
      <c r="F58" s="11" t="s">
        <v>42</v>
      </c>
      <c r="G58" s="11" t="s">
        <v>43</v>
      </c>
      <c r="H58" s="11" t="s">
        <v>63</v>
      </c>
      <c r="J58" s="11" t="s">
        <v>61</v>
      </c>
    </row>
    <row r="59" spans="1:10" x14ac:dyDescent="0.25">
      <c r="A59" s="11" t="s">
        <v>118</v>
      </c>
      <c r="D59" s="11">
        <v>5.3642609465008378E-4</v>
      </c>
      <c r="E59" s="11" t="s">
        <v>49</v>
      </c>
      <c r="F59" s="11" t="s">
        <v>42</v>
      </c>
      <c r="G59" s="11" t="s">
        <v>43</v>
      </c>
      <c r="H59" s="11" t="s">
        <v>96</v>
      </c>
      <c r="J59" s="11" t="s">
        <v>127</v>
      </c>
    </row>
    <row r="60" spans="1:10" x14ac:dyDescent="0.25">
      <c r="A60" s="11" t="s">
        <v>106</v>
      </c>
      <c r="D60" s="11">
        <v>5.198617192258092E-6</v>
      </c>
      <c r="E60" s="11" t="s">
        <v>5</v>
      </c>
      <c r="F60" s="11" t="s">
        <v>42</v>
      </c>
      <c r="G60" s="11" t="s">
        <v>43</v>
      </c>
      <c r="H60" s="11" t="s">
        <v>96</v>
      </c>
      <c r="J60" s="11" t="s">
        <v>112</v>
      </c>
    </row>
    <row r="61" spans="1:10" s="8" customFormat="1" x14ac:dyDescent="0.25"/>
    <row r="62" spans="1:10" x14ac:dyDescent="0.25">
      <c r="A62" s="10" t="s">
        <v>0</v>
      </c>
      <c r="B62" s="10" t="s">
        <v>157</v>
      </c>
    </row>
    <row r="63" spans="1:10" x14ac:dyDescent="0.25">
      <c r="A63" s="12" t="s">
        <v>1</v>
      </c>
      <c r="B63" s="11" t="s">
        <v>158</v>
      </c>
    </row>
    <row r="64" spans="1:10" x14ac:dyDescent="0.25">
      <c r="A64" s="12" t="s">
        <v>2</v>
      </c>
      <c r="B64" s="11" t="s">
        <v>196</v>
      </c>
    </row>
    <row r="65" spans="1:14" x14ac:dyDescent="0.25">
      <c r="A65" s="12" t="s">
        <v>3</v>
      </c>
      <c r="B65" s="13">
        <v>1</v>
      </c>
    </row>
    <row r="66" spans="1:14" x14ac:dyDescent="0.25">
      <c r="A66" s="12" t="s">
        <v>4</v>
      </c>
      <c r="B66" s="11" t="s">
        <v>5</v>
      </c>
    </row>
    <row r="67" spans="1:14" x14ac:dyDescent="0.25">
      <c r="A67" s="12" t="s">
        <v>6</v>
      </c>
      <c r="B67" s="11" t="s">
        <v>7</v>
      </c>
    </row>
    <row r="68" spans="1:14" x14ac:dyDescent="0.25">
      <c r="A68" s="12" t="s">
        <v>8</v>
      </c>
    </row>
    <row r="69" spans="1:14" x14ac:dyDescent="0.25">
      <c r="A69" s="10" t="s">
        <v>9</v>
      </c>
      <c r="B69" s="10" t="s">
        <v>1</v>
      </c>
      <c r="C69" s="10" t="s">
        <v>2</v>
      </c>
      <c r="D69" s="10" t="s">
        <v>3</v>
      </c>
      <c r="E69" s="10" t="s">
        <v>4</v>
      </c>
      <c r="F69" s="10" t="s">
        <v>10</v>
      </c>
      <c r="G69" s="10" t="s">
        <v>11</v>
      </c>
      <c r="H69" s="10" t="s">
        <v>12</v>
      </c>
      <c r="I69" s="10" t="s">
        <v>13</v>
      </c>
      <c r="J69" s="10" t="s">
        <v>14</v>
      </c>
      <c r="K69" s="10" t="s">
        <v>15</v>
      </c>
      <c r="L69" s="10" t="s">
        <v>16</v>
      </c>
      <c r="M69" s="10" t="s">
        <v>17</v>
      </c>
      <c r="N69" s="10" t="s">
        <v>18</v>
      </c>
    </row>
    <row r="70" spans="1:14" x14ac:dyDescent="0.25">
      <c r="A70" s="11" t="str">
        <f>B62</f>
        <v>[R] Casting</v>
      </c>
      <c r="B70" s="11" t="str">
        <f>B63</f>
        <v>Al ingot</v>
      </c>
      <c r="C70" s="11" t="str">
        <f>B64</f>
        <v>Africa</v>
      </c>
      <c r="D70" s="13">
        <v>1</v>
      </c>
      <c r="E70" s="11" t="s">
        <v>5</v>
      </c>
      <c r="F70" s="14" t="str">
        <f>F38</f>
        <v>Aluminium</v>
      </c>
      <c r="G70" s="11" t="s">
        <v>19</v>
      </c>
    </row>
    <row r="71" spans="1:14" x14ac:dyDescent="0.25">
      <c r="A71" s="11" t="s">
        <v>30</v>
      </c>
      <c r="B71" s="11" t="s">
        <v>31</v>
      </c>
      <c r="C71" s="11" t="s">
        <v>22</v>
      </c>
      <c r="D71" s="11">
        <v>1.732218940862378E-8</v>
      </c>
      <c r="E71" s="11" t="s">
        <v>5</v>
      </c>
      <c r="F71" s="11" t="s">
        <v>24</v>
      </c>
      <c r="G71" s="11" t="s">
        <v>25</v>
      </c>
      <c r="J71" s="11" t="s">
        <v>141</v>
      </c>
    </row>
    <row r="72" spans="1:14" x14ac:dyDescent="0.25">
      <c r="A72" s="11" t="s">
        <v>57</v>
      </c>
      <c r="B72" s="11" t="s">
        <v>58</v>
      </c>
      <c r="C72" s="11" t="s">
        <v>29</v>
      </c>
      <c r="D72" s="11">
        <v>1.839415905979842E-2</v>
      </c>
      <c r="E72" s="11" t="s">
        <v>49</v>
      </c>
      <c r="F72" s="11" t="s">
        <v>24</v>
      </c>
      <c r="G72" s="11" t="s">
        <v>25</v>
      </c>
      <c r="J72" s="11" t="s">
        <v>141</v>
      </c>
    </row>
    <row r="73" spans="1:14" x14ac:dyDescent="0.25">
      <c r="A73" s="11" t="s">
        <v>113</v>
      </c>
      <c r="B73" s="11" t="s">
        <v>114</v>
      </c>
      <c r="C73" s="11" t="s">
        <v>197</v>
      </c>
      <c r="D73" s="11">
        <v>5.6559859898813673E-2</v>
      </c>
      <c r="E73" s="11" t="s">
        <v>28</v>
      </c>
      <c r="F73" s="11" t="s">
        <v>24</v>
      </c>
      <c r="G73" s="11" t="s">
        <v>25</v>
      </c>
      <c r="J73" s="11" t="s">
        <v>141</v>
      </c>
    </row>
    <row r="74" spans="1:14" x14ac:dyDescent="0.25">
      <c r="A74" s="11" t="s">
        <v>142</v>
      </c>
      <c r="B74" s="11" t="s">
        <v>143</v>
      </c>
      <c r="C74" s="11" t="s">
        <v>29</v>
      </c>
      <c r="D74" s="11">
        <v>-5.53010896870314E-5</v>
      </c>
      <c r="E74" s="11" t="s">
        <v>5</v>
      </c>
      <c r="F74" s="11" t="s">
        <v>24</v>
      </c>
      <c r="G74" s="11" t="s">
        <v>25</v>
      </c>
      <c r="J74" s="11" t="s">
        <v>141</v>
      </c>
    </row>
    <row r="75" spans="1:14" x14ac:dyDescent="0.25">
      <c r="A75" s="11" t="s">
        <v>164</v>
      </c>
      <c r="B75" s="11" t="s">
        <v>165</v>
      </c>
      <c r="C75" s="11" t="s">
        <v>29</v>
      </c>
      <c r="D75" s="11">
        <v>-7.7134678766331878E-3</v>
      </c>
      <c r="E75" s="11" t="s">
        <v>5</v>
      </c>
      <c r="F75" s="11" t="s">
        <v>24</v>
      </c>
      <c r="G75" s="11" t="s">
        <v>25</v>
      </c>
      <c r="J75" s="11" t="s">
        <v>141</v>
      </c>
    </row>
    <row r="76" spans="1:14" x14ac:dyDescent="0.25">
      <c r="A76" s="11" t="s">
        <v>142</v>
      </c>
      <c r="B76" s="11" t="s">
        <v>143</v>
      </c>
      <c r="C76" s="11" t="s">
        <v>29</v>
      </c>
      <c r="D76" s="11">
        <v>-1.636946899114947E-4</v>
      </c>
      <c r="E76" s="11" t="s">
        <v>5</v>
      </c>
      <c r="F76" s="11" t="s">
        <v>24</v>
      </c>
      <c r="G76" s="11" t="s">
        <v>25</v>
      </c>
      <c r="J76" s="11" t="s">
        <v>141</v>
      </c>
    </row>
    <row r="77" spans="1:14" x14ac:dyDescent="0.25">
      <c r="A77" s="11" t="s">
        <v>36</v>
      </c>
      <c r="B77" s="11" t="s">
        <v>37</v>
      </c>
      <c r="C77" s="11" t="s">
        <v>29</v>
      </c>
      <c r="D77" s="11">
        <v>-1.959246279049246E-4</v>
      </c>
      <c r="E77" s="11" t="s">
        <v>5</v>
      </c>
      <c r="F77" s="11" t="s">
        <v>24</v>
      </c>
      <c r="G77" s="11" t="s">
        <v>25</v>
      </c>
      <c r="J77" s="11" t="s">
        <v>112</v>
      </c>
    </row>
    <row r="78" spans="1:14" x14ac:dyDescent="0.25">
      <c r="A78" s="11" t="s">
        <v>38</v>
      </c>
      <c r="B78" s="11" t="s">
        <v>39</v>
      </c>
      <c r="C78" s="11" t="s">
        <v>29</v>
      </c>
      <c r="D78" s="11">
        <v>-4.3682084872262057E-5</v>
      </c>
      <c r="E78" s="11" t="s">
        <v>5</v>
      </c>
      <c r="F78" s="11" t="s">
        <v>24</v>
      </c>
      <c r="G78" s="11" t="s">
        <v>25</v>
      </c>
      <c r="J78" s="11" t="s">
        <v>112</v>
      </c>
    </row>
    <row r="79" spans="1:14" x14ac:dyDescent="0.25">
      <c r="A79" s="11" t="s">
        <v>48</v>
      </c>
      <c r="D79" s="11">
        <v>6.7609709272221864E-4</v>
      </c>
      <c r="E79" s="11" t="s">
        <v>49</v>
      </c>
      <c r="F79" s="11" t="s">
        <v>42</v>
      </c>
      <c r="G79" s="11" t="s">
        <v>43</v>
      </c>
      <c r="H79" s="11" t="s">
        <v>47</v>
      </c>
      <c r="J79" s="11" t="s">
        <v>141</v>
      </c>
    </row>
    <row r="80" spans="1:14" x14ac:dyDescent="0.25">
      <c r="A80" s="11" t="s">
        <v>48</v>
      </c>
      <c r="D80" s="11">
        <v>4.3061313626371509E-4</v>
      </c>
      <c r="E80" s="11" t="s">
        <v>49</v>
      </c>
      <c r="F80" s="11" t="s">
        <v>42</v>
      </c>
      <c r="G80" s="11" t="s">
        <v>43</v>
      </c>
      <c r="H80" s="11" t="s">
        <v>47</v>
      </c>
      <c r="J80" s="11" t="s">
        <v>141</v>
      </c>
    </row>
    <row r="81" spans="1:14" x14ac:dyDescent="0.25">
      <c r="A81" s="11" t="s">
        <v>64</v>
      </c>
      <c r="D81" s="11">
        <v>5.8027861822931181E-6</v>
      </c>
      <c r="E81" s="11" t="s">
        <v>5</v>
      </c>
      <c r="F81" s="11" t="s">
        <v>42</v>
      </c>
      <c r="G81" s="11" t="s">
        <v>43</v>
      </c>
      <c r="H81" s="11" t="s">
        <v>63</v>
      </c>
      <c r="J81" s="11" t="s">
        <v>112</v>
      </c>
    </row>
    <row r="82" spans="1:14" x14ac:dyDescent="0.25">
      <c r="A82" s="11" t="s">
        <v>62</v>
      </c>
      <c r="D82" s="11">
        <v>2.740204586082861E-7</v>
      </c>
      <c r="E82" s="11" t="s">
        <v>5</v>
      </c>
      <c r="F82" s="11" t="s">
        <v>42</v>
      </c>
      <c r="G82" s="11" t="s">
        <v>43</v>
      </c>
      <c r="H82" s="11" t="s">
        <v>63</v>
      </c>
      <c r="J82" s="11" t="s">
        <v>112</v>
      </c>
    </row>
    <row r="83" spans="1:14" x14ac:dyDescent="0.25">
      <c r="A83" s="11" t="s">
        <v>73</v>
      </c>
      <c r="D83" s="11">
        <v>8.4623965158441283E-6</v>
      </c>
      <c r="E83" s="11" t="s">
        <v>5</v>
      </c>
      <c r="F83" s="11" t="s">
        <v>42</v>
      </c>
      <c r="G83" s="11" t="s">
        <v>43</v>
      </c>
      <c r="H83" s="11" t="s">
        <v>63</v>
      </c>
      <c r="J83" s="11" t="s">
        <v>112</v>
      </c>
    </row>
    <row r="84" spans="1:14" x14ac:dyDescent="0.25">
      <c r="A84" s="11" t="s">
        <v>118</v>
      </c>
      <c r="D84" s="11">
        <v>2.454839564585035E-4</v>
      </c>
      <c r="E84" s="11" t="s">
        <v>49</v>
      </c>
      <c r="F84" s="11" t="s">
        <v>42</v>
      </c>
      <c r="G84" s="11" t="s">
        <v>43</v>
      </c>
      <c r="H84" s="11" t="s">
        <v>96</v>
      </c>
      <c r="J84" s="11" t="s">
        <v>141</v>
      </c>
    </row>
    <row r="85" spans="1:14" x14ac:dyDescent="0.25">
      <c r="A85" s="11" t="s">
        <v>97</v>
      </c>
      <c r="D85" s="11">
        <v>2.288876771904507E-6</v>
      </c>
      <c r="E85" s="11" t="s">
        <v>5</v>
      </c>
      <c r="F85" s="11" t="s">
        <v>42</v>
      </c>
      <c r="G85" s="11" t="s">
        <v>43</v>
      </c>
      <c r="H85" s="11" t="s">
        <v>96</v>
      </c>
      <c r="J85" s="11" t="s">
        <v>112</v>
      </c>
    </row>
    <row r="86" spans="1:14" x14ac:dyDescent="0.25">
      <c r="A86" s="11" t="s">
        <v>100</v>
      </c>
      <c r="D86" s="11">
        <v>5.0613190590001075E-7</v>
      </c>
      <c r="E86" s="11" t="s">
        <v>5</v>
      </c>
      <c r="F86" s="11" t="s">
        <v>42</v>
      </c>
      <c r="G86" s="11" t="s">
        <v>43</v>
      </c>
      <c r="H86" s="11" t="s">
        <v>96</v>
      </c>
      <c r="J86" s="11" t="s">
        <v>112</v>
      </c>
    </row>
    <row r="87" spans="1:14" s="9" customFormat="1" ht="14.1" customHeight="1" x14ac:dyDescent="0.25"/>
    <row r="88" spans="1:14" x14ac:dyDescent="0.25">
      <c r="A88" s="10" t="s">
        <v>0</v>
      </c>
      <c r="B88" s="10" t="s">
        <v>198</v>
      </c>
    </row>
    <row r="89" spans="1:14" x14ac:dyDescent="0.25">
      <c r="A89" s="12" t="s">
        <v>1</v>
      </c>
      <c r="B89" s="11" t="s">
        <v>158</v>
      </c>
    </row>
    <row r="90" spans="1:14" x14ac:dyDescent="0.25">
      <c r="A90" s="12" t="s">
        <v>2</v>
      </c>
      <c r="B90" s="11" t="s">
        <v>196</v>
      </c>
    </row>
    <row r="91" spans="1:14" x14ac:dyDescent="0.25">
      <c r="A91" s="12" t="s">
        <v>3</v>
      </c>
      <c r="B91" s="13">
        <v>1</v>
      </c>
    </row>
    <row r="92" spans="1:14" x14ac:dyDescent="0.25">
      <c r="A92" s="12" t="s">
        <v>4</v>
      </c>
      <c r="B92" s="11" t="s">
        <v>5</v>
      </c>
    </row>
    <row r="93" spans="1:14" x14ac:dyDescent="0.25">
      <c r="A93" s="12" t="s">
        <v>6</v>
      </c>
      <c r="B93" s="11" t="s">
        <v>7</v>
      </c>
    </row>
    <row r="94" spans="1:14" x14ac:dyDescent="0.25">
      <c r="A94" s="12" t="s">
        <v>8</v>
      </c>
    </row>
    <row r="95" spans="1:14" x14ac:dyDescent="0.25">
      <c r="A95" s="10" t="s">
        <v>9</v>
      </c>
      <c r="B95" s="10" t="s">
        <v>1</v>
      </c>
      <c r="C95" s="10" t="s">
        <v>2</v>
      </c>
      <c r="D95" s="10" t="s">
        <v>3</v>
      </c>
      <c r="E95" s="10" t="s">
        <v>4</v>
      </c>
      <c r="F95" s="10" t="s">
        <v>10</v>
      </c>
      <c r="G95" s="10" t="s">
        <v>11</v>
      </c>
      <c r="H95" s="10" t="s">
        <v>12</v>
      </c>
      <c r="I95" s="10" t="s">
        <v>13</v>
      </c>
      <c r="J95" s="10" t="s">
        <v>14</v>
      </c>
      <c r="K95" s="10" t="s">
        <v>15</v>
      </c>
      <c r="L95" s="10" t="s">
        <v>16</v>
      </c>
      <c r="M95" s="10" t="s">
        <v>17</v>
      </c>
      <c r="N95" s="10" t="s">
        <v>18</v>
      </c>
    </row>
    <row r="96" spans="1:14" x14ac:dyDescent="0.25">
      <c r="A96" s="11" t="str">
        <f>B88</f>
        <v>Al ingot production in Africa</v>
      </c>
      <c r="B96" s="11" t="str">
        <f>B89</f>
        <v>Al ingot</v>
      </c>
      <c r="C96" s="11" t="str">
        <f>B90</f>
        <v>Africa</v>
      </c>
      <c r="D96" s="13">
        <v>1</v>
      </c>
      <c r="E96" s="11" t="s">
        <v>5</v>
      </c>
      <c r="F96" s="14" t="str">
        <f>F70</f>
        <v>Aluminium</v>
      </c>
      <c r="G96" s="11" t="s">
        <v>19</v>
      </c>
    </row>
    <row r="97" spans="1:7" x14ac:dyDescent="0.25">
      <c r="A97" s="11" t="str">
        <f>A70</f>
        <v>[R] Casting</v>
      </c>
      <c r="B97" s="11" t="str">
        <f>B70</f>
        <v>Al ingot</v>
      </c>
      <c r="C97" s="11" t="str">
        <f>C70</f>
        <v>Africa</v>
      </c>
      <c r="D97" s="11">
        <v>1</v>
      </c>
      <c r="E97" s="11" t="str">
        <f>E70</f>
        <v>kilogram</v>
      </c>
      <c r="F97" s="14" t="str">
        <f>F70</f>
        <v>Aluminium</v>
      </c>
      <c r="G97" s="11" t="s">
        <v>25</v>
      </c>
    </row>
    <row r="98" spans="1:7" x14ac:dyDescent="0.25">
      <c r="A98" s="11" t="str">
        <f>A38</f>
        <v>[R] Electrolysis</v>
      </c>
      <c r="B98" s="11" t="str">
        <f t="shared" ref="B98:F98" si="0">B38</f>
        <v>Liquid aluminium (Al)</v>
      </c>
      <c r="C98" s="11" t="str">
        <f t="shared" si="0"/>
        <v>Africa</v>
      </c>
      <c r="D98" s="11">
        <v>1</v>
      </c>
      <c r="E98" s="11" t="str">
        <f t="shared" si="0"/>
        <v>kilogram</v>
      </c>
      <c r="F98" s="14" t="str">
        <f t="shared" si="0"/>
        <v>Aluminium</v>
      </c>
      <c r="G98" s="11" t="s">
        <v>25</v>
      </c>
    </row>
    <row r="99" spans="1:7" x14ac:dyDescent="0.25">
      <c r="A99" s="11" t="str">
        <f>A9</f>
        <v>[P] Anode/Paste production</v>
      </c>
      <c r="B99" s="11" t="str">
        <f t="shared" ref="B99:F99" si="1">B9</f>
        <v>Anode/Paste</v>
      </c>
      <c r="C99" s="11" t="str">
        <f t="shared" si="1"/>
        <v>Africa</v>
      </c>
      <c r="D99" s="11">
        <v>0.53607687603793697</v>
      </c>
      <c r="E99" s="11" t="str">
        <f t="shared" si="1"/>
        <v>kilogram</v>
      </c>
      <c r="F99" s="14" t="str">
        <f t="shared" si="1"/>
        <v>Aluminium</v>
      </c>
      <c r="G99" s="11" t="s">
        <v>25</v>
      </c>
    </row>
    <row r="100" spans="1:7" x14ac:dyDescent="0.25">
      <c r="A100" s="11" t="str">
        <f>Al_Mining_GLO!A83</f>
        <v>Global alumina production</v>
      </c>
      <c r="B100" s="11" t="str">
        <f>Al_Mining_GLO!B83</f>
        <v>Alumina</v>
      </c>
      <c r="C100" s="11" t="str">
        <f>Al_Mining_GLO!C83</f>
        <v>GLO</v>
      </c>
      <c r="D100" s="11">
        <v>1.912751089681179</v>
      </c>
      <c r="E100" s="11" t="str">
        <f>Al_Mining_GLO!E83</f>
        <v>kilogram</v>
      </c>
      <c r="F100" s="14" t="str">
        <f>Al_Mining_GLO!F83</f>
        <v>Aluminium</v>
      </c>
      <c r="G100" s="11" t="s">
        <v>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8" tint="0.39997558519241921"/>
  </sheetPr>
  <dimension ref="A1:N137"/>
  <sheetViews>
    <sheetView workbookViewId="0"/>
  </sheetViews>
  <sheetFormatPr baseColWidth="10" defaultColWidth="8.7109375" defaultRowHeight="15" x14ac:dyDescent="0.25"/>
  <cols>
    <col min="1" max="1" width="61.5703125" style="11" bestFit="1" customWidth="1"/>
    <col min="2" max="2" width="51.5703125" style="11" bestFit="1" customWidth="1"/>
    <col min="3" max="3" width="11.85546875" style="11" bestFit="1" customWidth="1"/>
    <col min="4" max="4" width="12.7109375" style="11" bestFit="1" customWidth="1"/>
    <col min="5" max="5" width="13.140625" style="11" bestFit="1" customWidth="1"/>
    <col min="6" max="6" width="19.7109375" style="11" bestFit="1" customWidth="1"/>
    <col min="7" max="7" width="13.28515625" style="11" bestFit="1" customWidth="1"/>
    <col min="8" max="8" width="25.28515625" style="11" bestFit="1" customWidth="1"/>
    <col min="9" max="9" width="15.5703125" style="11" bestFit="1" customWidth="1"/>
    <col min="10" max="10" width="9.7109375" style="11" bestFit="1" customWidth="1"/>
    <col min="11" max="11" width="3.5703125" style="11" bestFit="1" customWidth="1"/>
    <col min="12" max="12" width="5.42578125" style="11" bestFit="1" customWidth="1"/>
    <col min="13" max="13" width="9.5703125" style="11" bestFit="1" customWidth="1"/>
    <col min="14" max="14" width="9.85546875" style="11" bestFit="1" customWidth="1"/>
    <col min="15" max="16384" width="8.7109375" style="11"/>
  </cols>
  <sheetData>
    <row r="1" spans="1:14" x14ac:dyDescent="0.25">
      <c r="A1" s="10" t="s">
        <v>0</v>
      </c>
      <c r="B1" s="10" t="s">
        <v>119</v>
      </c>
    </row>
    <row r="2" spans="1:14" x14ac:dyDescent="0.25">
      <c r="A2" s="12" t="s">
        <v>1</v>
      </c>
      <c r="B2" s="11" t="s">
        <v>120</v>
      </c>
    </row>
    <row r="3" spans="1:14" x14ac:dyDescent="0.25">
      <c r="A3" s="12" t="s">
        <v>2</v>
      </c>
      <c r="B3" s="11" t="s">
        <v>199</v>
      </c>
    </row>
    <row r="4" spans="1:14" x14ac:dyDescent="0.25">
      <c r="A4" s="12" t="s">
        <v>3</v>
      </c>
      <c r="B4" s="13">
        <v>1</v>
      </c>
    </row>
    <row r="5" spans="1:14" x14ac:dyDescent="0.25">
      <c r="A5" s="12" t="s">
        <v>4</v>
      </c>
      <c r="B5" s="11" t="s">
        <v>5</v>
      </c>
    </row>
    <row r="6" spans="1:14" x14ac:dyDescent="0.25">
      <c r="A6" s="12" t="s">
        <v>6</v>
      </c>
      <c r="B6" s="11" t="s">
        <v>7</v>
      </c>
    </row>
    <row r="7" spans="1:14" x14ac:dyDescent="0.25">
      <c r="A7" s="12" t="s">
        <v>8</v>
      </c>
    </row>
    <row r="8" spans="1:14" x14ac:dyDescent="0.25">
      <c r="A8" s="10" t="s">
        <v>9</v>
      </c>
      <c r="B8" s="10" t="s">
        <v>1</v>
      </c>
      <c r="C8" s="10" t="s">
        <v>2</v>
      </c>
      <c r="D8" s="10" t="s">
        <v>3</v>
      </c>
      <c r="E8" s="10" t="s">
        <v>4</v>
      </c>
      <c r="F8" s="10" t="s">
        <v>10</v>
      </c>
      <c r="G8" s="10" t="s">
        <v>11</v>
      </c>
      <c r="H8" s="10" t="s">
        <v>12</v>
      </c>
      <c r="I8" s="10" t="s">
        <v>13</v>
      </c>
      <c r="J8" s="10" t="s">
        <v>14</v>
      </c>
      <c r="K8" s="10" t="s">
        <v>15</v>
      </c>
      <c r="L8" s="10" t="s">
        <v>16</v>
      </c>
      <c r="M8" s="10" t="s">
        <v>17</v>
      </c>
      <c r="N8" s="10" t="s">
        <v>18</v>
      </c>
    </row>
    <row r="9" spans="1:14" x14ac:dyDescent="0.25">
      <c r="A9" s="11" t="str">
        <f>B1</f>
        <v>[P] Alumina production</v>
      </c>
      <c r="B9" s="11" t="str">
        <f>B2</f>
        <v>Alumina</v>
      </c>
      <c r="C9" s="11" t="str">
        <f>B3</f>
        <v>Rest-of-Asia</v>
      </c>
      <c r="D9" s="13">
        <v>1</v>
      </c>
      <c r="E9" s="11" t="s">
        <v>5</v>
      </c>
      <c r="F9" s="14" t="str">
        <f>Al_Market_GLO!B1</f>
        <v>Aluminium</v>
      </c>
      <c r="G9" s="11" t="s">
        <v>19</v>
      </c>
    </row>
    <row r="10" spans="1:14" x14ac:dyDescent="0.25">
      <c r="A10" s="11" t="s">
        <v>123</v>
      </c>
      <c r="B10" s="11" t="s">
        <v>124</v>
      </c>
      <c r="C10" s="11" t="s">
        <v>29</v>
      </c>
      <c r="D10" s="11">
        <v>3.5000000000000003E-2</v>
      </c>
      <c r="E10" s="11" t="s">
        <v>105</v>
      </c>
      <c r="F10" s="11" t="s">
        <v>24</v>
      </c>
      <c r="G10" s="11" t="s">
        <v>25</v>
      </c>
      <c r="J10" s="11" t="s">
        <v>112</v>
      </c>
    </row>
    <row r="11" spans="1:14" x14ac:dyDescent="0.25">
      <c r="A11" s="11" t="s">
        <v>32</v>
      </c>
      <c r="B11" s="11" t="s">
        <v>33</v>
      </c>
      <c r="C11" s="11" t="s">
        <v>29</v>
      </c>
      <c r="D11" s="11">
        <v>8.5934698491392472E-2</v>
      </c>
      <c r="E11" s="11" t="s">
        <v>5</v>
      </c>
      <c r="F11" s="11" t="s">
        <v>24</v>
      </c>
      <c r="G11" s="11" t="s">
        <v>25</v>
      </c>
      <c r="J11" s="11" t="s">
        <v>112</v>
      </c>
    </row>
    <row r="12" spans="1:14" x14ac:dyDescent="0.25">
      <c r="A12" s="11" t="s">
        <v>77</v>
      </c>
      <c r="B12" s="11" t="s">
        <v>78</v>
      </c>
      <c r="C12" s="11" t="s">
        <v>29</v>
      </c>
      <c r="D12" s="11">
        <v>7.8255821066156112E-2</v>
      </c>
      <c r="E12" s="11" t="s">
        <v>5</v>
      </c>
      <c r="F12" s="11" t="s">
        <v>24</v>
      </c>
      <c r="G12" s="11" t="s">
        <v>25</v>
      </c>
      <c r="J12" s="11" t="s">
        <v>116</v>
      </c>
    </row>
    <row r="13" spans="1:14" x14ac:dyDescent="0.25">
      <c r="A13" s="11" t="s">
        <v>110</v>
      </c>
      <c r="B13" s="11" t="s">
        <v>111</v>
      </c>
      <c r="C13" s="11" t="s">
        <v>29</v>
      </c>
      <c r="D13" s="11">
        <v>4.7525725420255877E-2</v>
      </c>
      <c r="E13" s="11" t="s">
        <v>5</v>
      </c>
      <c r="F13" s="11" t="s">
        <v>24</v>
      </c>
      <c r="G13" s="11" t="s">
        <v>25</v>
      </c>
      <c r="J13" s="11" t="s">
        <v>112</v>
      </c>
    </row>
    <row r="14" spans="1:14" x14ac:dyDescent="0.25">
      <c r="A14" s="11" t="s">
        <v>20</v>
      </c>
      <c r="B14" s="11" t="s">
        <v>21</v>
      </c>
      <c r="C14" s="11" t="s">
        <v>22</v>
      </c>
      <c r="D14" s="11">
        <v>3.1981711537469701E-3</v>
      </c>
      <c r="E14" s="11" t="s">
        <v>23</v>
      </c>
      <c r="F14" s="11" t="s">
        <v>24</v>
      </c>
      <c r="G14" s="11" t="s">
        <v>25</v>
      </c>
      <c r="J14" s="11" t="s">
        <v>112</v>
      </c>
    </row>
    <row r="15" spans="1:14" x14ac:dyDescent="0.25">
      <c r="A15" s="11" t="s">
        <v>57</v>
      </c>
      <c r="B15" s="11" t="s">
        <v>58</v>
      </c>
      <c r="C15" s="11" t="s">
        <v>29</v>
      </c>
      <c r="D15" s="11">
        <v>6.1330391831432582E-3</v>
      </c>
      <c r="E15" s="11" t="s">
        <v>49</v>
      </c>
      <c r="F15" s="11" t="s">
        <v>24</v>
      </c>
      <c r="G15" s="11" t="s">
        <v>25</v>
      </c>
      <c r="J15" s="11" t="s">
        <v>112</v>
      </c>
    </row>
    <row r="16" spans="1:14" x14ac:dyDescent="0.25">
      <c r="A16" s="11" t="s">
        <v>128</v>
      </c>
      <c r="B16" s="11" t="s">
        <v>129</v>
      </c>
      <c r="C16" s="11" t="s">
        <v>29</v>
      </c>
      <c r="D16" s="11">
        <v>7.533472089914536</v>
      </c>
      <c r="E16" s="11" t="s">
        <v>23</v>
      </c>
      <c r="F16" s="11" t="s">
        <v>24</v>
      </c>
      <c r="G16" s="11" t="s">
        <v>25</v>
      </c>
      <c r="J16" s="11" t="s">
        <v>112</v>
      </c>
    </row>
    <row r="17" spans="1:10" x14ac:dyDescent="0.25">
      <c r="A17" s="11" t="s">
        <v>26</v>
      </c>
      <c r="B17" s="11" t="s">
        <v>27</v>
      </c>
      <c r="C17" s="11" t="s">
        <v>200</v>
      </c>
      <c r="D17" s="11">
        <v>2.3333157548481941E-2</v>
      </c>
      <c r="E17" s="11" t="s">
        <v>28</v>
      </c>
      <c r="F17" s="11" t="s">
        <v>24</v>
      </c>
      <c r="G17" s="11" t="s">
        <v>25</v>
      </c>
      <c r="J17" s="11" t="s">
        <v>112</v>
      </c>
    </row>
    <row r="18" spans="1:10" x14ac:dyDescent="0.25">
      <c r="A18" s="11" t="s">
        <v>161</v>
      </c>
      <c r="B18" s="11" t="s">
        <v>162</v>
      </c>
      <c r="C18" s="11" t="s">
        <v>163</v>
      </c>
      <c r="D18" s="11">
        <v>0.39273101271356281</v>
      </c>
      <c r="E18" s="11" t="s">
        <v>28</v>
      </c>
      <c r="F18" s="11" t="s">
        <v>24</v>
      </c>
      <c r="G18" s="11" t="s">
        <v>25</v>
      </c>
      <c r="J18" s="11" t="s">
        <v>112</v>
      </c>
    </row>
    <row r="19" spans="1:10" x14ac:dyDescent="0.25">
      <c r="A19" s="11" t="s">
        <v>130</v>
      </c>
      <c r="B19" s="11" t="s">
        <v>131</v>
      </c>
      <c r="C19" s="11" t="s">
        <v>29</v>
      </c>
      <c r="D19" s="11">
        <v>-8.3337083502090903E-2</v>
      </c>
      <c r="E19" s="11" t="s">
        <v>5</v>
      </c>
      <c r="F19" s="11" t="s">
        <v>24</v>
      </c>
      <c r="G19" s="11" t="s">
        <v>25</v>
      </c>
      <c r="J19" s="11" t="s">
        <v>116</v>
      </c>
    </row>
    <row r="20" spans="1:10" x14ac:dyDescent="0.25">
      <c r="A20" s="11" t="s">
        <v>130</v>
      </c>
      <c r="B20" s="11" t="s">
        <v>131</v>
      </c>
      <c r="C20" s="11" t="s">
        <v>29</v>
      </c>
      <c r="D20" s="11">
        <v>-1.39356329819015</v>
      </c>
      <c r="E20" s="11" t="s">
        <v>5</v>
      </c>
      <c r="F20" s="11" t="s">
        <v>24</v>
      </c>
      <c r="G20" s="11" t="s">
        <v>25</v>
      </c>
      <c r="J20" s="11" t="s">
        <v>141</v>
      </c>
    </row>
    <row r="21" spans="1:10" x14ac:dyDescent="0.25">
      <c r="A21" s="11" t="s">
        <v>48</v>
      </c>
      <c r="D21" s="11">
        <v>3.4994065903004262E-3</v>
      </c>
      <c r="E21" s="11" t="s">
        <v>49</v>
      </c>
      <c r="F21" s="11" t="s">
        <v>42</v>
      </c>
      <c r="G21" s="11" t="s">
        <v>43</v>
      </c>
      <c r="H21" s="11" t="s">
        <v>47</v>
      </c>
      <c r="J21" s="11" t="s">
        <v>112</v>
      </c>
    </row>
    <row r="22" spans="1:10" x14ac:dyDescent="0.25">
      <c r="A22" s="11" t="s">
        <v>48</v>
      </c>
      <c r="D22" s="11">
        <v>3.4550538219198421E-3</v>
      </c>
      <c r="E22" s="11" t="s">
        <v>49</v>
      </c>
      <c r="F22" s="11" t="s">
        <v>42</v>
      </c>
      <c r="G22" s="11" t="s">
        <v>43</v>
      </c>
      <c r="H22" s="11" t="s">
        <v>47</v>
      </c>
      <c r="J22" s="11" t="s">
        <v>112</v>
      </c>
    </row>
    <row r="23" spans="1:10" x14ac:dyDescent="0.25">
      <c r="A23" s="11" t="s">
        <v>64</v>
      </c>
      <c r="D23" s="11">
        <v>2.7214978699007159E-4</v>
      </c>
      <c r="E23" s="11" t="s">
        <v>5</v>
      </c>
      <c r="F23" s="11" t="s">
        <v>42</v>
      </c>
      <c r="G23" s="11" t="s">
        <v>43</v>
      </c>
      <c r="H23" s="11" t="s">
        <v>63</v>
      </c>
      <c r="J23" s="11" t="s">
        <v>112</v>
      </c>
    </row>
    <row r="24" spans="1:10" x14ac:dyDescent="0.25">
      <c r="A24" s="11" t="s">
        <v>62</v>
      </c>
      <c r="D24" s="11">
        <v>4.9040467275893065E-4</v>
      </c>
      <c r="E24" s="11" t="s">
        <v>5</v>
      </c>
      <c r="F24" s="11" t="s">
        <v>42</v>
      </c>
      <c r="G24" s="11" t="s">
        <v>43</v>
      </c>
      <c r="H24" s="11" t="s">
        <v>63</v>
      </c>
      <c r="J24" s="11" t="s">
        <v>112</v>
      </c>
    </row>
    <row r="25" spans="1:10" x14ac:dyDescent="0.25">
      <c r="A25" s="11" t="s">
        <v>73</v>
      </c>
      <c r="D25" s="11">
        <v>1.2701392420361819E-4</v>
      </c>
      <c r="E25" s="11" t="s">
        <v>5</v>
      </c>
      <c r="F25" s="11" t="s">
        <v>42</v>
      </c>
      <c r="G25" s="11" t="s">
        <v>43</v>
      </c>
      <c r="H25" s="11" t="s">
        <v>63</v>
      </c>
      <c r="J25" s="11" t="s">
        <v>116</v>
      </c>
    </row>
    <row r="26" spans="1:10" x14ac:dyDescent="0.25">
      <c r="A26" s="11" t="s">
        <v>118</v>
      </c>
      <c r="D26" s="11">
        <v>8.5144191089993847E-4</v>
      </c>
      <c r="E26" s="11" t="s">
        <v>49</v>
      </c>
      <c r="F26" s="11" t="s">
        <v>42</v>
      </c>
      <c r="G26" s="11" t="s">
        <v>43</v>
      </c>
      <c r="H26" s="11" t="s">
        <v>96</v>
      </c>
      <c r="J26" s="11" t="s">
        <v>116</v>
      </c>
    </row>
    <row r="27" spans="1:10" s="8" customFormat="1" x14ac:dyDescent="0.25"/>
    <row r="28" spans="1:10" x14ac:dyDescent="0.25">
      <c r="A28" s="10" t="s">
        <v>0</v>
      </c>
      <c r="B28" s="10" t="s">
        <v>133</v>
      </c>
    </row>
    <row r="29" spans="1:10" x14ac:dyDescent="0.25">
      <c r="A29" s="12" t="s">
        <v>1</v>
      </c>
      <c r="B29" s="11" t="s">
        <v>134</v>
      </c>
    </row>
    <row r="30" spans="1:10" x14ac:dyDescent="0.25">
      <c r="A30" s="12" t="s">
        <v>2</v>
      </c>
      <c r="B30" s="11" t="s">
        <v>199</v>
      </c>
    </row>
    <row r="31" spans="1:10" x14ac:dyDescent="0.25">
      <c r="A31" s="12" t="s">
        <v>3</v>
      </c>
      <c r="B31" s="13">
        <v>1</v>
      </c>
    </row>
    <row r="32" spans="1:10" x14ac:dyDescent="0.25">
      <c r="A32" s="12" t="s">
        <v>4</v>
      </c>
      <c r="B32" s="11" t="s">
        <v>5</v>
      </c>
    </row>
    <row r="33" spans="1:14" x14ac:dyDescent="0.25">
      <c r="A33" s="12" t="s">
        <v>6</v>
      </c>
      <c r="B33" s="11" t="s">
        <v>7</v>
      </c>
    </row>
    <row r="34" spans="1:14" x14ac:dyDescent="0.25">
      <c r="A34" s="12" t="s">
        <v>8</v>
      </c>
    </row>
    <row r="35" spans="1:14" x14ac:dyDescent="0.25">
      <c r="A35" s="10" t="s">
        <v>9</v>
      </c>
      <c r="B35" s="10" t="s">
        <v>1</v>
      </c>
      <c r="C35" s="10" t="s">
        <v>2</v>
      </c>
      <c r="D35" s="10" t="s">
        <v>3</v>
      </c>
      <c r="E35" s="10" t="s">
        <v>4</v>
      </c>
      <c r="F35" s="10" t="s">
        <v>10</v>
      </c>
      <c r="G35" s="10" t="s">
        <v>11</v>
      </c>
      <c r="H35" s="10" t="s">
        <v>12</v>
      </c>
      <c r="I35" s="10" t="s">
        <v>13</v>
      </c>
      <c r="J35" s="10" t="s">
        <v>14</v>
      </c>
      <c r="K35" s="10" t="s">
        <v>15</v>
      </c>
      <c r="L35" s="10" t="s">
        <v>16</v>
      </c>
      <c r="M35" s="10" t="s">
        <v>17</v>
      </c>
      <c r="N35" s="10" t="s">
        <v>18</v>
      </c>
    </row>
    <row r="36" spans="1:14" x14ac:dyDescent="0.25">
      <c r="A36" s="11" t="str">
        <f>B28</f>
        <v>[P] Anode/Paste production</v>
      </c>
      <c r="B36" s="11" t="str">
        <f>B29</f>
        <v>Anode/Paste</v>
      </c>
      <c r="C36" s="11" t="str">
        <f>B30</f>
        <v>Rest-of-Asia</v>
      </c>
      <c r="D36" s="13">
        <v>1</v>
      </c>
      <c r="E36" s="11" t="s">
        <v>5</v>
      </c>
      <c r="F36" s="14" t="str">
        <f>F9</f>
        <v>Aluminium</v>
      </c>
      <c r="G36" s="11" t="s">
        <v>19</v>
      </c>
    </row>
    <row r="37" spans="1:14" x14ac:dyDescent="0.25">
      <c r="A37" s="11" t="s">
        <v>135</v>
      </c>
      <c r="B37" s="11" t="s">
        <v>136</v>
      </c>
      <c r="C37" s="11" t="s">
        <v>22</v>
      </c>
      <c r="D37" s="11">
        <v>0.99159290755725393</v>
      </c>
      <c r="E37" s="11" t="s">
        <v>5</v>
      </c>
      <c r="F37" s="11" t="s">
        <v>24</v>
      </c>
      <c r="G37" s="11" t="s">
        <v>25</v>
      </c>
      <c r="J37" s="11" t="s">
        <v>116</v>
      </c>
    </row>
    <row r="38" spans="1:14" x14ac:dyDescent="0.25">
      <c r="A38" s="11" t="s">
        <v>137</v>
      </c>
      <c r="B38" s="11" t="s">
        <v>138</v>
      </c>
      <c r="C38" s="11" t="s">
        <v>29</v>
      </c>
      <c r="D38" s="11">
        <v>0.16028643928567721</v>
      </c>
      <c r="E38" s="11" t="s">
        <v>5</v>
      </c>
      <c r="F38" s="11" t="s">
        <v>24</v>
      </c>
      <c r="G38" s="11" t="s">
        <v>25</v>
      </c>
      <c r="J38" s="11" t="s">
        <v>116</v>
      </c>
    </row>
    <row r="39" spans="1:14" x14ac:dyDescent="0.25">
      <c r="A39" s="11" t="s">
        <v>139</v>
      </c>
      <c r="B39" s="11" t="s">
        <v>140</v>
      </c>
      <c r="C39" s="11" t="s">
        <v>22</v>
      </c>
      <c r="D39" s="11">
        <v>1.1746552663141679E-3</v>
      </c>
      <c r="E39" s="11" t="s">
        <v>5</v>
      </c>
      <c r="F39" s="11" t="s">
        <v>24</v>
      </c>
      <c r="G39" s="11" t="s">
        <v>25</v>
      </c>
      <c r="J39" s="11" t="s">
        <v>116</v>
      </c>
    </row>
    <row r="40" spans="1:14" x14ac:dyDescent="0.25">
      <c r="A40" s="11" t="s">
        <v>34</v>
      </c>
      <c r="B40" s="11" t="s">
        <v>35</v>
      </c>
      <c r="C40" s="11" t="s">
        <v>22</v>
      </c>
      <c r="D40" s="11">
        <v>4.7152691355484332E-4</v>
      </c>
      <c r="E40" s="11" t="s">
        <v>5</v>
      </c>
      <c r="F40" s="11" t="s">
        <v>24</v>
      </c>
      <c r="G40" s="11" t="s">
        <v>25</v>
      </c>
      <c r="J40" s="11" t="s">
        <v>116</v>
      </c>
    </row>
    <row r="41" spans="1:14" x14ac:dyDescent="0.25">
      <c r="A41" s="11" t="s">
        <v>110</v>
      </c>
      <c r="B41" s="11" t="s">
        <v>111</v>
      </c>
      <c r="C41" s="11" t="s">
        <v>29</v>
      </c>
      <c r="D41" s="11">
        <v>4.7656216813502981E-2</v>
      </c>
      <c r="E41" s="11" t="s">
        <v>5</v>
      </c>
      <c r="F41" s="11" t="s">
        <v>24</v>
      </c>
      <c r="G41" s="11" t="s">
        <v>25</v>
      </c>
      <c r="J41" s="11" t="s">
        <v>116</v>
      </c>
    </row>
    <row r="42" spans="1:14" x14ac:dyDescent="0.25">
      <c r="A42" s="11" t="s">
        <v>57</v>
      </c>
      <c r="B42" s="11" t="s">
        <v>58</v>
      </c>
      <c r="C42" s="11" t="s">
        <v>29</v>
      </c>
      <c r="D42" s="11">
        <v>2.482811053309263E-3</v>
      </c>
      <c r="E42" s="11" t="s">
        <v>49</v>
      </c>
      <c r="F42" s="11" t="s">
        <v>24</v>
      </c>
      <c r="G42" s="11" t="s">
        <v>25</v>
      </c>
      <c r="J42" s="11" t="s">
        <v>116</v>
      </c>
    </row>
    <row r="43" spans="1:14" x14ac:dyDescent="0.25">
      <c r="A43" s="11" t="s">
        <v>26</v>
      </c>
      <c r="B43" s="11" t="s">
        <v>27</v>
      </c>
      <c r="C43" s="11" t="s">
        <v>200</v>
      </c>
      <c r="D43" s="11">
        <v>0.19475128111264281</v>
      </c>
      <c r="E43" s="11" t="s">
        <v>28</v>
      </c>
      <c r="F43" s="11" t="s">
        <v>24</v>
      </c>
      <c r="G43" s="11" t="s">
        <v>25</v>
      </c>
      <c r="J43" s="11" t="s">
        <v>116</v>
      </c>
    </row>
    <row r="44" spans="1:14" x14ac:dyDescent="0.25">
      <c r="A44" s="11" t="s">
        <v>142</v>
      </c>
      <c r="B44" s="11" t="s">
        <v>143</v>
      </c>
      <c r="C44" s="11" t="s">
        <v>29</v>
      </c>
      <c r="D44" s="11">
        <v>-2.5956311230732819E-5</v>
      </c>
      <c r="E44" s="11" t="s">
        <v>5</v>
      </c>
      <c r="F44" s="11" t="s">
        <v>24</v>
      </c>
      <c r="G44" s="11" t="s">
        <v>25</v>
      </c>
      <c r="J44" s="11" t="s">
        <v>116</v>
      </c>
    </row>
    <row r="45" spans="1:14" x14ac:dyDescent="0.25">
      <c r="A45" s="11" t="s">
        <v>144</v>
      </c>
      <c r="B45" s="11" t="s">
        <v>76</v>
      </c>
      <c r="C45" s="11" t="s">
        <v>29</v>
      </c>
      <c r="D45" s="11">
        <v>-9.7236335148976043E-4</v>
      </c>
      <c r="E45" s="11" t="s">
        <v>5</v>
      </c>
      <c r="F45" s="11" t="s">
        <v>24</v>
      </c>
      <c r="G45" s="11" t="s">
        <v>25</v>
      </c>
      <c r="J45" s="11" t="s">
        <v>116</v>
      </c>
    </row>
    <row r="46" spans="1:14" x14ac:dyDescent="0.25">
      <c r="A46" s="11" t="s">
        <v>145</v>
      </c>
      <c r="B46" s="11" t="s">
        <v>146</v>
      </c>
      <c r="C46" s="11" t="s">
        <v>29</v>
      </c>
      <c r="D46" s="11">
        <v>-2.0659860901852019E-2</v>
      </c>
      <c r="E46" s="11" t="s">
        <v>5</v>
      </c>
      <c r="F46" s="11" t="s">
        <v>24</v>
      </c>
      <c r="G46" s="11" t="s">
        <v>25</v>
      </c>
      <c r="J46" s="11" t="s">
        <v>116</v>
      </c>
    </row>
    <row r="47" spans="1:14" x14ac:dyDescent="0.25">
      <c r="A47" s="11" t="s">
        <v>36</v>
      </c>
      <c r="B47" s="11" t="s">
        <v>37</v>
      </c>
      <c r="C47" s="11" t="s">
        <v>29</v>
      </c>
      <c r="D47" s="11">
        <v>-3.8938202042059708E-3</v>
      </c>
      <c r="E47" s="11" t="s">
        <v>5</v>
      </c>
      <c r="F47" s="11" t="s">
        <v>24</v>
      </c>
      <c r="G47" s="11" t="s">
        <v>25</v>
      </c>
      <c r="J47" s="11" t="s">
        <v>116</v>
      </c>
    </row>
    <row r="48" spans="1:14" x14ac:dyDescent="0.25">
      <c r="A48" s="11" t="s">
        <v>38</v>
      </c>
      <c r="B48" s="11" t="s">
        <v>39</v>
      </c>
      <c r="C48" s="11" t="s">
        <v>29</v>
      </c>
      <c r="D48" s="11">
        <v>-2.6847468419394921E-3</v>
      </c>
      <c r="E48" s="11" t="s">
        <v>5</v>
      </c>
      <c r="F48" s="11" t="s">
        <v>24</v>
      </c>
      <c r="G48" s="11" t="s">
        <v>25</v>
      </c>
      <c r="J48" s="11" t="s">
        <v>116</v>
      </c>
    </row>
    <row r="49" spans="1:10" x14ac:dyDescent="0.25">
      <c r="A49" s="11" t="s">
        <v>48</v>
      </c>
      <c r="D49" s="11">
        <v>2.1322259542329999E-4</v>
      </c>
      <c r="E49" s="11" t="s">
        <v>49</v>
      </c>
      <c r="F49" s="11" t="s">
        <v>42</v>
      </c>
      <c r="G49" s="11" t="s">
        <v>43</v>
      </c>
      <c r="H49" s="11" t="s">
        <v>47</v>
      </c>
      <c r="J49" s="11" t="s">
        <v>116</v>
      </c>
    </row>
    <row r="50" spans="1:10" x14ac:dyDescent="0.25">
      <c r="A50" s="11" t="s">
        <v>48</v>
      </c>
      <c r="D50" s="11">
        <v>1.2545942599555981E-4</v>
      </c>
      <c r="E50" s="11" t="s">
        <v>49</v>
      </c>
      <c r="F50" s="11" t="s">
        <v>42</v>
      </c>
      <c r="G50" s="11" t="s">
        <v>43</v>
      </c>
      <c r="H50" s="11" t="s">
        <v>47</v>
      </c>
      <c r="J50" s="11" t="s">
        <v>116</v>
      </c>
    </row>
    <row r="51" spans="1:10" x14ac:dyDescent="0.25">
      <c r="A51" s="11" t="s">
        <v>64</v>
      </c>
      <c r="D51" s="11">
        <v>2.0516756550162851E-4</v>
      </c>
      <c r="E51" s="11" t="s">
        <v>5</v>
      </c>
      <c r="F51" s="11" t="s">
        <v>42</v>
      </c>
      <c r="G51" s="11" t="s">
        <v>43</v>
      </c>
      <c r="H51" s="11" t="s">
        <v>63</v>
      </c>
      <c r="J51" s="11" t="s">
        <v>112</v>
      </c>
    </row>
    <row r="52" spans="1:10" x14ac:dyDescent="0.25">
      <c r="A52" s="11" t="s">
        <v>62</v>
      </c>
      <c r="D52" s="11">
        <v>8.0562935125767213E-4</v>
      </c>
      <c r="E52" s="11" t="s">
        <v>5</v>
      </c>
      <c r="F52" s="11" t="s">
        <v>42</v>
      </c>
      <c r="G52" s="11" t="s">
        <v>43</v>
      </c>
      <c r="H52" s="11" t="s">
        <v>63</v>
      </c>
      <c r="J52" s="11" t="s">
        <v>112</v>
      </c>
    </row>
    <row r="53" spans="1:10" x14ac:dyDescent="0.25">
      <c r="A53" s="11" t="s">
        <v>73</v>
      </c>
      <c r="D53" s="11">
        <v>1.569425366292971E-4</v>
      </c>
      <c r="E53" s="11" t="s">
        <v>5</v>
      </c>
      <c r="F53" s="11" t="s">
        <v>42</v>
      </c>
      <c r="G53" s="11" t="s">
        <v>43</v>
      </c>
      <c r="H53" s="11" t="s">
        <v>63</v>
      </c>
      <c r="J53" s="11" t="s">
        <v>112</v>
      </c>
    </row>
    <row r="54" spans="1:10" x14ac:dyDescent="0.25">
      <c r="A54" s="11" t="s">
        <v>106</v>
      </c>
      <c r="D54" s="11">
        <v>7.6671738683765304E-6</v>
      </c>
      <c r="E54" s="11" t="s">
        <v>5</v>
      </c>
      <c r="F54" s="11" t="s">
        <v>42</v>
      </c>
      <c r="G54" s="11" t="s">
        <v>43</v>
      </c>
      <c r="H54" s="11" t="s">
        <v>63</v>
      </c>
      <c r="J54" s="11" t="s">
        <v>112</v>
      </c>
    </row>
    <row r="55" spans="1:10" x14ac:dyDescent="0.25">
      <c r="A55" s="11" t="s">
        <v>106</v>
      </c>
      <c r="D55" s="11">
        <v>9.3460988571854347E-6</v>
      </c>
      <c r="E55" s="11" t="s">
        <v>5</v>
      </c>
      <c r="F55" s="11" t="s">
        <v>42</v>
      </c>
      <c r="G55" s="11" t="s">
        <v>43</v>
      </c>
      <c r="H55" s="11" t="s">
        <v>63</v>
      </c>
      <c r="J55" s="11" t="s">
        <v>112</v>
      </c>
    </row>
    <row r="56" spans="1:10" x14ac:dyDescent="0.25">
      <c r="A56" s="11" t="s">
        <v>94</v>
      </c>
      <c r="D56" s="11">
        <v>2.0199705863529171E-6</v>
      </c>
      <c r="E56" s="11" t="s">
        <v>5</v>
      </c>
      <c r="F56" s="11" t="s">
        <v>42</v>
      </c>
      <c r="G56" s="11" t="s">
        <v>43</v>
      </c>
      <c r="H56" s="11" t="s">
        <v>63</v>
      </c>
      <c r="J56" s="11" t="s">
        <v>116</v>
      </c>
    </row>
    <row r="57" spans="1:10" x14ac:dyDescent="0.25">
      <c r="A57" s="11" t="s">
        <v>118</v>
      </c>
      <c r="D57" s="11">
        <v>8.7763169427740168E-5</v>
      </c>
      <c r="E57" s="11" t="s">
        <v>49</v>
      </c>
      <c r="F57" s="11" t="s">
        <v>42</v>
      </c>
      <c r="G57" s="11" t="s">
        <v>43</v>
      </c>
      <c r="H57" s="11" t="s">
        <v>96</v>
      </c>
      <c r="J57" s="11" t="s">
        <v>116</v>
      </c>
    </row>
    <row r="58" spans="1:10" s="8" customFormat="1" x14ac:dyDescent="0.25"/>
    <row r="59" spans="1:10" x14ac:dyDescent="0.25">
      <c r="A59" s="10" t="s">
        <v>0</v>
      </c>
      <c r="B59" s="10" t="s">
        <v>147</v>
      </c>
    </row>
    <row r="60" spans="1:10" x14ac:dyDescent="0.25">
      <c r="A60" s="12" t="s">
        <v>1</v>
      </c>
      <c r="B60" s="11" t="s">
        <v>148</v>
      </c>
    </row>
    <row r="61" spans="1:10" x14ac:dyDescent="0.25">
      <c r="A61" s="12" t="s">
        <v>2</v>
      </c>
      <c r="B61" s="11" t="s">
        <v>199</v>
      </c>
    </row>
    <row r="62" spans="1:10" x14ac:dyDescent="0.25">
      <c r="A62" s="12" t="s">
        <v>3</v>
      </c>
      <c r="B62" s="13">
        <v>1</v>
      </c>
    </row>
    <row r="63" spans="1:10" x14ac:dyDescent="0.25">
      <c r="A63" s="12" t="s">
        <v>4</v>
      </c>
      <c r="B63" s="11" t="s">
        <v>5</v>
      </c>
    </row>
    <row r="64" spans="1:10" x14ac:dyDescent="0.25">
      <c r="A64" s="12" t="s">
        <v>6</v>
      </c>
      <c r="B64" s="11" t="s">
        <v>7</v>
      </c>
    </row>
    <row r="65" spans="1:14" x14ac:dyDescent="0.25">
      <c r="A65" s="12" t="s">
        <v>8</v>
      </c>
    </row>
    <row r="66" spans="1:14" x14ac:dyDescent="0.25">
      <c r="A66" s="10" t="s">
        <v>9</v>
      </c>
      <c r="B66" s="10" t="s">
        <v>1</v>
      </c>
      <c r="C66" s="10" t="s">
        <v>2</v>
      </c>
      <c r="D66" s="10" t="s">
        <v>3</v>
      </c>
      <c r="E66" s="10" t="s">
        <v>4</v>
      </c>
      <c r="F66" s="10" t="s">
        <v>10</v>
      </c>
      <c r="G66" s="10" t="s">
        <v>11</v>
      </c>
      <c r="H66" s="10" t="s">
        <v>12</v>
      </c>
      <c r="I66" s="10" t="s">
        <v>13</v>
      </c>
      <c r="J66" s="10" t="s">
        <v>14</v>
      </c>
      <c r="K66" s="10" t="s">
        <v>15</v>
      </c>
      <c r="L66" s="10" t="s">
        <v>16</v>
      </c>
      <c r="M66" s="10" t="s">
        <v>17</v>
      </c>
      <c r="N66" s="10" t="s">
        <v>18</v>
      </c>
    </row>
    <row r="67" spans="1:14" x14ac:dyDescent="0.25">
      <c r="A67" s="11" t="str">
        <f>B59</f>
        <v>[R] Electrolysis</v>
      </c>
      <c r="B67" s="11" t="str">
        <f>B60</f>
        <v>Liquid aluminium (Al)</v>
      </c>
      <c r="C67" s="11" t="str">
        <f>B61</f>
        <v>Rest-of-Asia</v>
      </c>
      <c r="D67" s="13">
        <v>1</v>
      </c>
      <c r="E67" s="11" t="s">
        <v>5</v>
      </c>
      <c r="F67" s="14" t="str">
        <f>F36</f>
        <v>Aluminium</v>
      </c>
      <c r="G67" s="11" t="s">
        <v>19</v>
      </c>
    </row>
    <row r="68" spans="1:14" x14ac:dyDescent="0.25">
      <c r="A68" s="11" t="s">
        <v>123</v>
      </c>
      <c r="B68" s="11" t="s">
        <v>124</v>
      </c>
      <c r="C68" s="11" t="s">
        <v>29</v>
      </c>
      <c r="D68" s="11">
        <v>4.6079081861016898E-2</v>
      </c>
      <c r="E68" s="11" t="s">
        <v>105</v>
      </c>
      <c r="F68" s="11" t="s">
        <v>24</v>
      </c>
      <c r="G68" s="11" t="s">
        <v>25</v>
      </c>
      <c r="J68" s="11" t="s">
        <v>116</v>
      </c>
    </row>
    <row r="69" spans="1:14" x14ac:dyDescent="0.25">
      <c r="A69" s="11" t="s">
        <v>125</v>
      </c>
      <c r="B69" s="11" t="s">
        <v>126</v>
      </c>
      <c r="C69" s="11" t="s">
        <v>29</v>
      </c>
      <c r="D69" s="11">
        <v>0.66669482628730126</v>
      </c>
      <c r="E69" s="11" t="s">
        <v>105</v>
      </c>
      <c r="F69" s="11" t="s">
        <v>24</v>
      </c>
      <c r="G69" s="11" t="s">
        <v>25</v>
      </c>
      <c r="J69" s="11" t="s">
        <v>116</v>
      </c>
    </row>
    <row r="70" spans="1:14" x14ac:dyDescent="0.25">
      <c r="A70" s="11" t="s">
        <v>139</v>
      </c>
      <c r="B70" s="11" t="s">
        <v>140</v>
      </c>
      <c r="C70" s="11" t="s">
        <v>22</v>
      </c>
      <c r="D70" s="11">
        <v>7.0097661986527867E-3</v>
      </c>
      <c r="E70" s="11" t="s">
        <v>5</v>
      </c>
      <c r="F70" s="11" t="s">
        <v>24</v>
      </c>
      <c r="G70" s="11" t="s">
        <v>25</v>
      </c>
      <c r="J70" s="11" t="s">
        <v>116</v>
      </c>
    </row>
    <row r="71" spans="1:14" x14ac:dyDescent="0.25">
      <c r="A71" s="11" t="s">
        <v>34</v>
      </c>
      <c r="B71" s="11" t="s">
        <v>35</v>
      </c>
      <c r="C71" s="11" t="s">
        <v>22</v>
      </c>
      <c r="D71" s="11">
        <v>4.1426580362583397E-3</v>
      </c>
      <c r="E71" s="11" t="s">
        <v>5</v>
      </c>
      <c r="F71" s="11" t="s">
        <v>24</v>
      </c>
      <c r="G71" s="11" t="s">
        <v>25</v>
      </c>
      <c r="J71" s="11" t="s">
        <v>112</v>
      </c>
    </row>
    <row r="72" spans="1:14" x14ac:dyDescent="0.25">
      <c r="A72" s="11" t="s">
        <v>149</v>
      </c>
      <c r="B72" s="11" t="s">
        <v>150</v>
      </c>
      <c r="C72" s="11" t="s">
        <v>22</v>
      </c>
      <c r="D72" s="11">
        <v>5.6940796508395909E-3</v>
      </c>
      <c r="E72" s="11" t="s">
        <v>5</v>
      </c>
      <c r="F72" s="11" t="s">
        <v>24</v>
      </c>
      <c r="G72" s="11" t="s">
        <v>25</v>
      </c>
      <c r="J72" s="11" t="s">
        <v>112</v>
      </c>
    </row>
    <row r="73" spans="1:14" x14ac:dyDescent="0.25">
      <c r="A73" s="11" t="s">
        <v>151</v>
      </c>
      <c r="B73" s="11" t="s">
        <v>152</v>
      </c>
      <c r="C73" s="11" t="s">
        <v>22</v>
      </c>
      <c r="D73" s="11">
        <v>1.132937735843109E-2</v>
      </c>
      <c r="E73" s="11" t="s">
        <v>5</v>
      </c>
      <c r="F73" s="11" t="s">
        <v>24</v>
      </c>
      <c r="G73" s="11" t="s">
        <v>25</v>
      </c>
      <c r="J73" s="11" t="s">
        <v>112</v>
      </c>
    </row>
    <row r="74" spans="1:14" x14ac:dyDescent="0.25">
      <c r="A74" s="11" t="s">
        <v>26</v>
      </c>
      <c r="B74" s="11" t="s">
        <v>27</v>
      </c>
      <c r="C74" s="11" t="s">
        <v>200</v>
      </c>
      <c r="D74" s="11">
        <v>14.899961607775371</v>
      </c>
      <c r="E74" s="11" t="s">
        <v>28</v>
      </c>
      <c r="F74" s="11" t="s">
        <v>24</v>
      </c>
      <c r="G74" s="11" t="s">
        <v>25</v>
      </c>
      <c r="J74" s="11" t="s">
        <v>61</v>
      </c>
    </row>
    <row r="75" spans="1:14" x14ac:dyDescent="0.25">
      <c r="A75" s="11" t="s">
        <v>145</v>
      </c>
      <c r="B75" s="11" t="s">
        <v>146</v>
      </c>
      <c r="C75" s="11" t="s">
        <v>29</v>
      </c>
      <c r="D75" s="11">
        <v>-7.9135913873527187E-3</v>
      </c>
      <c r="E75" s="11" t="s">
        <v>5</v>
      </c>
      <c r="F75" s="11" t="s">
        <v>24</v>
      </c>
      <c r="G75" s="11" t="s">
        <v>25</v>
      </c>
      <c r="J75" s="11" t="s">
        <v>116</v>
      </c>
    </row>
    <row r="76" spans="1:14" x14ac:dyDescent="0.25">
      <c r="A76" s="11" t="s">
        <v>142</v>
      </c>
      <c r="B76" s="11" t="s">
        <v>143</v>
      </c>
      <c r="C76" s="11" t="s">
        <v>29</v>
      </c>
      <c r="D76" s="11">
        <v>-5.3726866771695997E-3</v>
      </c>
      <c r="E76" s="11" t="s">
        <v>5</v>
      </c>
      <c r="F76" s="11" t="s">
        <v>24</v>
      </c>
      <c r="G76" s="11" t="s">
        <v>25</v>
      </c>
      <c r="J76" s="11" t="s">
        <v>116</v>
      </c>
    </row>
    <row r="77" spans="1:14" x14ac:dyDescent="0.25">
      <c r="A77" s="11" t="s">
        <v>142</v>
      </c>
      <c r="B77" s="11" t="s">
        <v>143</v>
      </c>
      <c r="C77" s="11" t="s">
        <v>29</v>
      </c>
      <c r="D77" s="11">
        <v>-1.2883571652228371E-3</v>
      </c>
      <c r="E77" s="11" t="s">
        <v>5</v>
      </c>
      <c r="F77" s="11" t="s">
        <v>24</v>
      </c>
      <c r="G77" s="11" t="s">
        <v>25</v>
      </c>
      <c r="J77" s="11" t="s">
        <v>116</v>
      </c>
    </row>
    <row r="78" spans="1:14" x14ac:dyDescent="0.25">
      <c r="A78" s="11" t="s">
        <v>144</v>
      </c>
      <c r="B78" s="11" t="s">
        <v>76</v>
      </c>
      <c r="C78" s="11" t="s">
        <v>29</v>
      </c>
      <c r="D78" s="11">
        <v>-4.3021344327314479E-3</v>
      </c>
      <c r="E78" s="11" t="s">
        <v>5</v>
      </c>
      <c r="F78" s="11" t="s">
        <v>24</v>
      </c>
      <c r="G78" s="11" t="s">
        <v>25</v>
      </c>
      <c r="J78" s="11" t="s">
        <v>116</v>
      </c>
    </row>
    <row r="79" spans="1:14" x14ac:dyDescent="0.25">
      <c r="A79" s="11" t="s">
        <v>142</v>
      </c>
      <c r="B79" s="11" t="s">
        <v>143</v>
      </c>
      <c r="C79" s="11" t="s">
        <v>29</v>
      </c>
      <c r="D79" s="11">
        <v>-9.5074921118034603E-2</v>
      </c>
      <c r="E79" s="11" t="s">
        <v>5</v>
      </c>
      <c r="F79" s="11" t="s">
        <v>24</v>
      </c>
      <c r="G79" s="11" t="s">
        <v>25</v>
      </c>
      <c r="J79" s="11" t="s">
        <v>116</v>
      </c>
    </row>
    <row r="80" spans="1:14" x14ac:dyDescent="0.25">
      <c r="A80" s="11" t="s">
        <v>36</v>
      </c>
      <c r="B80" s="11" t="s">
        <v>37</v>
      </c>
      <c r="C80" s="11" t="s">
        <v>29</v>
      </c>
      <c r="D80" s="11">
        <v>-3.3914988391808642E-4</v>
      </c>
      <c r="E80" s="11" t="s">
        <v>5</v>
      </c>
      <c r="F80" s="11" t="s">
        <v>24</v>
      </c>
      <c r="G80" s="11" t="s">
        <v>25</v>
      </c>
      <c r="J80" s="11" t="s">
        <v>116</v>
      </c>
    </row>
    <row r="81" spans="1:10" x14ac:dyDescent="0.25">
      <c r="A81" s="11" t="s">
        <v>145</v>
      </c>
      <c r="B81" s="11" t="s">
        <v>146</v>
      </c>
      <c r="C81" s="11" t="s">
        <v>29</v>
      </c>
      <c r="D81" s="11">
        <v>-4.9716308375006664E-3</v>
      </c>
      <c r="E81" s="11" t="s">
        <v>5</v>
      </c>
      <c r="F81" s="11" t="s">
        <v>24</v>
      </c>
      <c r="G81" s="11" t="s">
        <v>25</v>
      </c>
      <c r="J81" s="11" t="s">
        <v>116</v>
      </c>
    </row>
    <row r="82" spans="1:10" x14ac:dyDescent="0.25">
      <c r="A82" s="11" t="s">
        <v>48</v>
      </c>
      <c r="D82" s="11">
        <v>8.0845875114768785E-4</v>
      </c>
      <c r="E82" s="11" t="s">
        <v>49</v>
      </c>
      <c r="F82" s="11" t="s">
        <v>42</v>
      </c>
      <c r="G82" s="11" t="s">
        <v>43</v>
      </c>
      <c r="H82" s="11" t="s">
        <v>47</v>
      </c>
      <c r="J82" s="11" t="s">
        <v>112</v>
      </c>
    </row>
    <row r="83" spans="1:10" x14ac:dyDescent="0.25">
      <c r="A83" s="11" t="s">
        <v>48</v>
      </c>
      <c r="D83" s="11">
        <v>8.0845875114768785E-4</v>
      </c>
      <c r="E83" s="11" t="s">
        <v>49</v>
      </c>
      <c r="F83" s="11" t="s">
        <v>42</v>
      </c>
      <c r="G83" s="11" t="s">
        <v>43</v>
      </c>
      <c r="H83" s="11" t="s">
        <v>47</v>
      </c>
      <c r="J83" s="11" t="s">
        <v>112</v>
      </c>
    </row>
    <row r="84" spans="1:10" x14ac:dyDescent="0.25">
      <c r="A84" s="11" t="s">
        <v>64</v>
      </c>
      <c r="D84" s="11">
        <v>3.0338463195045762E-3</v>
      </c>
      <c r="E84" s="11" t="s">
        <v>5</v>
      </c>
      <c r="F84" s="11" t="s">
        <v>42</v>
      </c>
      <c r="G84" s="11" t="s">
        <v>43</v>
      </c>
      <c r="H84" s="11" t="s">
        <v>63</v>
      </c>
      <c r="J84" s="11" t="s">
        <v>112</v>
      </c>
    </row>
    <row r="85" spans="1:10" x14ac:dyDescent="0.25">
      <c r="A85" s="11" t="s">
        <v>62</v>
      </c>
      <c r="D85" s="11">
        <v>1.4352335568568179E-2</v>
      </c>
      <c r="E85" s="11" t="s">
        <v>5</v>
      </c>
      <c r="F85" s="11" t="s">
        <v>42</v>
      </c>
      <c r="G85" s="11" t="s">
        <v>43</v>
      </c>
      <c r="H85" s="11" t="s">
        <v>63</v>
      </c>
      <c r="J85" s="11" t="s">
        <v>116</v>
      </c>
    </row>
    <row r="86" spans="1:10" x14ac:dyDescent="0.25">
      <c r="A86" s="11" t="s">
        <v>106</v>
      </c>
      <c r="D86" s="11">
        <v>7.9246594818688953E-5</v>
      </c>
      <c r="E86" s="11" t="s">
        <v>5</v>
      </c>
      <c r="F86" s="11" t="s">
        <v>42</v>
      </c>
      <c r="G86" s="11" t="s">
        <v>43</v>
      </c>
      <c r="H86" s="11" t="s">
        <v>63</v>
      </c>
      <c r="J86" s="11" t="s">
        <v>112</v>
      </c>
    </row>
    <row r="87" spans="1:10" x14ac:dyDescent="0.25">
      <c r="A87" s="11" t="s">
        <v>106</v>
      </c>
      <c r="D87" s="11">
        <v>1.170531674790947E-4</v>
      </c>
      <c r="E87" s="11" t="s">
        <v>5</v>
      </c>
      <c r="F87" s="11" t="s">
        <v>42</v>
      </c>
      <c r="G87" s="11" t="s">
        <v>43</v>
      </c>
      <c r="H87" s="11" t="s">
        <v>63</v>
      </c>
      <c r="J87" s="11" t="s">
        <v>112</v>
      </c>
    </row>
    <row r="88" spans="1:10" x14ac:dyDescent="0.25">
      <c r="A88" s="11" t="s">
        <v>94</v>
      </c>
      <c r="D88" s="11">
        <v>4.0410997516140938E-5</v>
      </c>
      <c r="E88" s="11" t="s">
        <v>5</v>
      </c>
      <c r="F88" s="11" t="s">
        <v>42</v>
      </c>
      <c r="G88" s="11" t="s">
        <v>43</v>
      </c>
      <c r="H88" s="11" t="s">
        <v>63</v>
      </c>
      <c r="J88" s="11" t="s">
        <v>116</v>
      </c>
    </row>
    <row r="89" spans="1:10" x14ac:dyDescent="0.25">
      <c r="A89" s="11" t="s">
        <v>155</v>
      </c>
      <c r="D89" s="11">
        <v>2.05160249530784E-5</v>
      </c>
      <c r="E89" s="11" t="s">
        <v>5</v>
      </c>
      <c r="F89" s="11" t="s">
        <v>42</v>
      </c>
      <c r="G89" s="11" t="s">
        <v>43</v>
      </c>
      <c r="H89" s="11" t="s">
        <v>63</v>
      </c>
      <c r="J89" s="11" t="s">
        <v>61</v>
      </c>
    </row>
    <row r="90" spans="1:10" x14ac:dyDescent="0.25">
      <c r="A90" s="11" t="s">
        <v>156</v>
      </c>
      <c r="D90" s="11">
        <v>1.3889570034127E-6</v>
      </c>
      <c r="E90" s="11" t="s">
        <v>5</v>
      </c>
      <c r="F90" s="11" t="s">
        <v>42</v>
      </c>
      <c r="G90" s="11" t="s">
        <v>43</v>
      </c>
      <c r="H90" s="11" t="s">
        <v>63</v>
      </c>
      <c r="J90" s="11" t="s">
        <v>61</v>
      </c>
    </row>
    <row r="91" spans="1:10" x14ac:dyDescent="0.25">
      <c r="A91" s="11" t="s">
        <v>97</v>
      </c>
      <c r="D91" s="11">
        <v>1.3997835230971479E-5</v>
      </c>
      <c r="E91" s="11" t="s">
        <v>5</v>
      </c>
      <c r="F91" s="11" t="s">
        <v>42</v>
      </c>
      <c r="G91" s="11" t="s">
        <v>43</v>
      </c>
      <c r="H91" s="11" t="s">
        <v>96</v>
      </c>
      <c r="J91" s="11" t="s">
        <v>116</v>
      </c>
    </row>
    <row r="92" spans="1:10" x14ac:dyDescent="0.25">
      <c r="A92" s="11" t="s">
        <v>106</v>
      </c>
      <c r="D92" s="11">
        <v>1.5997525978253121E-6</v>
      </c>
      <c r="E92" s="11" t="s">
        <v>5</v>
      </c>
      <c r="F92" s="11" t="s">
        <v>42</v>
      </c>
      <c r="G92" s="11" t="s">
        <v>43</v>
      </c>
      <c r="H92" s="11" t="s">
        <v>96</v>
      </c>
      <c r="J92" s="11" t="s">
        <v>116</v>
      </c>
    </row>
    <row r="93" spans="1:10" s="8" customFormat="1" x14ac:dyDescent="0.25"/>
    <row r="94" spans="1:10" x14ac:dyDescent="0.25">
      <c r="A94" s="10" t="s">
        <v>0</v>
      </c>
      <c r="B94" s="10" t="s">
        <v>157</v>
      </c>
    </row>
    <row r="95" spans="1:10" x14ac:dyDescent="0.25">
      <c r="A95" s="12" t="s">
        <v>1</v>
      </c>
      <c r="B95" s="11" t="s">
        <v>158</v>
      </c>
    </row>
    <row r="96" spans="1:10" x14ac:dyDescent="0.25">
      <c r="A96" s="12" t="s">
        <v>2</v>
      </c>
      <c r="B96" s="11" t="s">
        <v>199</v>
      </c>
    </row>
    <row r="97" spans="1:14" x14ac:dyDescent="0.25">
      <c r="A97" s="12" t="s">
        <v>3</v>
      </c>
      <c r="B97" s="13">
        <v>1</v>
      </c>
    </row>
    <row r="98" spans="1:14" x14ac:dyDescent="0.25">
      <c r="A98" s="12" t="s">
        <v>4</v>
      </c>
      <c r="B98" s="11" t="s">
        <v>5</v>
      </c>
    </row>
    <row r="99" spans="1:14" x14ac:dyDescent="0.25">
      <c r="A99" s="12" t="s">
        <v>6</v>
      </c>
      <c r="B99" s="11" t="s">
        <v>7</v>
      </c>
    </row>
    <row r="100" spans="1:14" x14ac:dyDescent="0.25">
      <c r="A100" s="12" t="s">
        <v>8</v>
      </c>
    </row>
    <row r="101" spans="1:14" x14ac:dyDescent="0.25">
      <c r="A101" s="10" t="s">
        <v>9</v>
      </c>
      <c r="B101" s="10" t="s">
        <v>1</v>
      </c>
      <c r="C101" s="10" t="s">
        <v>2</v>
      </c>
      <c r="D101" s="10" t="s">
        <v>3</v>
      </c>
      <c r="E101" s="10" t="s">
        <v>4</v>
      </c>
      <c r="F101" s="10" t="s">
        <v>10</v>
      </c>
      <c r="G101" s="10" t="s">
        <v>11</v>
      </c>
      <c r="H101" s="10" t="s">
        <v>12</v>
      </c>
      <c r="I101" s="10" t="s">
        <v>13</v>
      </c>
      <c r="J101" s="10" t="s">
        <v>14</v>
      </c>
      <c r="K101" s="10" t="s">
        <v>15</v>
      </c>
      <c r="L101" s="10" t="s">
        <v>16</v>
      </c>
      <c r="M101" s="10" t="s">
        <v>17</v>
      </c>
      <c r="N101" s="10" t="s">
        <v>18</v>
      </c>
    </row>
    <row r="102" spans="1:14" x14ac:dyDescent="0.25">
      <c r="A102" s="11" t="str">
        <f>B94</f>
        <v>[R] Casting</v>
      </c>
      <c r="B102" s="11" t="str">
        <f>B95</f>
        <v>Al ingot</v>
      </c>
      <c r="C102" s="11" t="str">
        <f>B96</f>
        <v>Rest-of-Asia</v>
      </c>
      <c r="D102" s="13">
        <v>1</v>
      </c>
      <c r="E102" s="11" t="s">
        <v>5</v>
      </c>
      <c r="F102" s="14" t="str">
        <f>F67</f>
        <v>Aluminium</v>
      </c>
      <c r="G102" s="11" t="s">
        <v>19</v>
      </c>
    </row>
    <row r="103" spans="1:14" x14ac:dyDescent="0.25">
      <c r="A103" s="11" t="s">
        <v>30</v>
      </c>
      <c r="B103" s="11" t="s">
        <v>31</v>
      </c>
      <c r="C103" s="11" t="s">
        <v>22</v>
      </c>
      <c r="D103" s="11">
        <v>2.4153392791479598E-3</v>
      </c>
      <c r="E103" s="11" t="s">
        <v>5</v>
      </c>
      <c r="F103" s="11" t="s">
        <v>24</v>
      </c>
      <c r="G103" s="11" t="s">
        <v>25</v>
      </c>
      <c r="J103" s="11" t="s">
        <v>112</v>
      </c>
    </row>
    <row r="104" spans="1:14" x14ac:dyDescent="0.25">
      <c r="A104" s="11" t="s">
        <v>187</v>
      </c>
      <c r="B104" s="11" t="s">
        <v>188</v>
      </c>
      <c r="C104" s="11" t="s">
        <v>29</v>
      </c>
      <c r="D104" s="11">
        <v>1.589667093018392E-9</v>
      </c>
      <c r="E104" s="11" t="s">
        <v>5</v>
      </c>
      <c r="F104" s="11" t="s">
        <v>24</v>
      </c>
      <c r="G104" s="11" t="s">
        <v>25</v>
      </c>
      <c r="J104" s="11" t="s">
        <v>116</v>
      </c>
    </row>
    <row r="105" spans="1:14" x14ac:dyDescent="0.25">
      <c r="A105" s="11" t="s">
        <v>79</v>
      </c>
      <c r="B105" s="11" t="s">
        <v>80</v>
      </c>
      <c r="C105" s="11" t="s">
        <v>29</v>
      </c>
      <c r="D105" s="11">
        <v>4.7452383576927097E-5</v>
      </c>
      <c r="E105" s="11" t="s">
        <v>5</v>
      </c>
      <c r="F105" s="11" t="s">
        <v>24</v>
      </c>
      <c r="G105" s="11" t="s">
        <v>25</v>
      </c>
      <c r="J105" s="11" t="s">
        <v>116</v>
      </c>
    </row>
    <row r="106" spans="1:14" x14ac:dyDescent="0.25">
      <c r="A106" s="11" t="s">
        <v>65</v>
      </c>
      <c r="B106" s="11" t="s">
        <v>66</v>
      </c>
      <c r="C106" s="11" t="s">
        <v>29</v>
      </c>
      <c r="D106" s="11">
        <v>1.110947181673641E-4</v>
      </c>
      <c r="E106" s="11" t="s">
        <v>5</v>
      </c>
      <c r="F106" s="11" t="s">
        <v>24</v>
      </c>
      <c r="G106" s="11" t="s">
        <v>25</v>
      </c>
      <c r="J106" s="11" t="s">
        <v>116</v>
      </c>
    </row>
    <row r="107" spans="1:14" x14ac:dyDescent="0.25">
      <c r="A107" s="11" t="s">
        <v>110</v>
      </c>
      <c r="B107" s="11" t="s">
        <v>111</v>
      </c>
      <c r="C107" s="11" t="s">
        <v>29</v>
      </c>
      <c r="D107" s="11">
        <v>8.1743231787724021E-3</v>
      </c>
      <c r="E107" s="11" t="s">
        <v>5</v>
      </c>
      <c r="F107" s="11" t="s">
        <v>24</v>
      </c>
      <c r="G107" s="11" t="s">
        <v>25</v>
      </c>
      <c r="J107" s="11" t="s">
        <v>112</v>
      </c>
    </row>
    <row r="108" spans="1:14" x14ac:dyDescent="0.25">
      <c r="A108" s="11" t="s">
        <v>57</v>
      </c>
      <c r="B108" s="11" t="s">
        <v>58</v>
      </c>
      <c r="C108" s="11" t="s">
        <v>29</v>
      </c>
      <c r="D108" s="11">
        <v>3.375113588307172E-3</v>
      </c>
      <c r="E108" s="11" t="s">
        <v>49</v>
      </c>
      <c r="F108" s="11" t="s">
        <v>24</v>
      </c>
      <c r="G108" s="11" t="s">
        <v>25</v>
      </c>
      <c r="J108" s="11" t="s">
        <v>112</v>
      </c>
    </row>
    <row r="109" spans="1:14" x14ac:dyDescent="0.25">
      <c r="A109" s="11" t="s">
        <v>26</v>
      </c>
      <c r="B109" s="11" t="s">
        <v>27</v>
      </c>
      <c r="C109" s="11" t="s">
        <v>200</v>
      </c>
      <c r="D109" s="11">
        <v>0.19732327727171761</v>
      </c>
      <c r="E109" s="11" t="s">
        <v>28</v>
      </c>
      <c r="F109" s="11" t="s">
        <v>24</v>
      </c>
      <c r="G109" s="11" t="s">
        <v>25</v>
      </c>
      <c r="J109" s="11" t="s">
        <v>112</v>
      </c>
    </row>
    <row r="110" spans="1:14" x14ac:dyDescent="0.25">
      <c r="A110" s="11" t="s">
        <v>161</v>
      </c>
      <c r="B110" s="11" t="s">
        <v>162</v>
      </c>
      <c r="C110" s="11" t="s">
        <v>163</v>
      </c>
      <c r="D110" s="11">
        <v>2.0841067556288469E-3</v>
      </c>
      <c r="E110" s="11" t="s">
        <v>28</v>
      </c>
      <c r="F110" s="11" t="s">
        <v>24</v>
      </c>
      <c r="G110" s="11" t="s">
        <v>25</v>
      </c>
      <c r="J110" s="11" t="s">
        <v>112</v>
      </c>
    </row>
    <row r="111" spans="1:14" x14ac:dyDescent="0.25">
      <c r="A111" s="11" t="s">
        <v>164</v>
      </c>
      <c r="B111" s="11" t="s">
        <v>165</v>
      </c>
      <c r="C111" s="11" t="s">
        <v>29</v>
      </c>
      <c r="D111" s="11">
        <v>-4.4593722189269873E-3</v>
      </c>
      <c r="E111" s="11" t="s">
        <v>5</v>
      </c>
      <c r="F111" s="11" t="s">
        <v>24</v>
      </c>
      <c r="G111" s="11" t="s">
        <v>25</v>
      </c>
      <c r="J111" s="11" t="s">
        <v>116</v>
      </c>
    </row>
    <row r="112" spans="1:14" x14ac:dyDescent="0.25">
      <c r="A112" s="11" t="s">
        <v>176</v>
      </c>
      <c r="B112" s="11" t="s">
        <v>177</v>
      </c>
      <c r="C112" s="11" t="s">
        <v>29</v>
      </c>
      <c r="D112" s="11">
        <v>-1.33537492374825E-4</v>
      </c>
      <c r="E112" s="11" t="s">
        <v>5</v>
      </c>
      <c r="F112" s="11" t="s">
        <v>24</v>
      </c>
      <c r="G112" s="11" t="s">
        <v>25</v>
      </c>
      <c r="J112" s="11" t="s">
        <v>116</v>
      </c>
    </row>
    <row r="113" spans="1:10" x14ac:dyDescent="0.25">
      <c r="A113" s="11" t="s">
        <v>164</v>
      </c>
      <c r="B113" s="11" t="s">
        <v>165</v>
      </c>
      <c r="C113" s="11" t="s">
        <v>29</v>
      </c>
      <c r="D113" s="11">
        <v>-1.4761999471792199E-3</v>
      </c>
      <c r="E113" s="11" t="s">
        <v>5</v>
      </c>
      <c r="F113" s="11" t="s">
        <v>24</v>
      </c>
      <c r="G113" s="11" t="s">
        <v>25</v>
      </c>
      <c r="J113" s="11" t="s">
        <v>116</v>
      </c>
    </row>
    <row r="114" spans="1:10" x14ac:dyDescent="0.25">
      <c r="A114" s="11" t="s">
        <v>176</v>
      </c>
      <c r="B114" s="11" t="s">
        <v>177</v>
      </c>
      <c r="C114" s="11" t="s">
        <v>29</v>
      </c>
      <c r="D114" s="11">
        <v>-1.3801087649025789E-3</v>
      </c>
      <c r="E114" s="11" t="s">
        <v>5</v>
      </c>
      <c r="F114" s="11" t="s">
        <v>24</v>
      </c>
      <c r="G114" s="11" t="s">
        <v>25</v>
      </c>
      <c r="J114" s="11" t="s">
        <v>116</v>
      </c>
    </row>
    <row r="115" spans="1:10" x14ac:dyDescent="0.25">
      <c r="A115" s="11" t="s">
        <v>36</v>
      </c>
      <c r="B115" s="11" t="s">
        <v>37</v>
      </c>
      <c r="C115" s="11" t="s">
        <v>29</v>
      </c>
      <c r="D115" s="11">
        <v>-2.288478913512206E-3</v>
      </c>
      <c r="E115" s="11" t="s">
        <v>5</v>
      </c>
      <c r="F115" s="11" t="s">
        <v>24</v>
      </c>
      <c r="G115" s="11" t="s">
        <v>25</v>
      </c>
      <c r="J115" s="11" t="s">
        <v>116</v>
      </c>
    </row>
    <row r="116" spans="1:10" x14ac:dyDescent="0.25">
      <c r="A116" s="11" t="s">
        <v>38</v>
      </c>
      <c r="B116" s="11" t="s">
        <v>39</v>
      </c>
      <c r="C116" s="11" t="s">
        <v>29</v>
      </c>
      <c r="D116" s="11">
        <v>-1.302810335093739E-4</v>
      </c>
      <c r="E116" s="11" t="s">
        <v>5</v>
      </c>
      <c r="F116" s="11" t="s">
        <v>24</v>
      </c>
      <c r="G116" s="11" t="s">
        <v>25</v>
      </c>
      <c r="J116" s="11" t="s">
        <v>116</v>
      </c>
    </row>
    <row r="117" spans="1:10" x14ac:dyDescent="0.25">
      <c r="A117" s="11" t="s">
        <v>48</v>
      </c>
      <c r="D117" s="11">
        <v>1.0123622270642319E-3</v>
      </c>
      <c r="E117" s="11" t="s">
        <v>49</v>
      </c>
      <c r="F117" s="11" t="s">
        <v>42</v>
      </c>
      <c r="G117" s="11" t="s">
        <v>43</v>
      </c>
      <c r="H117" s="11" t="s">
        <v>47</v>
      </c>
      <c r="J117" s="11" t="s">
        <v>116</v>
      </c>
    </row>
    <row r="118" spans="1:10" x14ac:dyDescent="0.25">
      <c r="A118" s="11" t="s">
        <v>48</v>
      </c>
      <c r="D118" s="11">
        <v>9.7425903059193437E-4</v>
      </c>
      <c r="E118" s="11" t="s">
        <v>49</v>
      </c>
      <c r="F118" s="11" t="s">
        <v>42</v>
      </c>
      <c r="G118" s="11" t="s">
        <v>43</v>
      </c>
      <c r="H118" s="11" t="s">
        <v>47</v>
      </c>
      <c r="J118" s="11" t="s">
        <v>116</v>
      </c>
    </row>
    <row r="119" spans="1:10" x14ac:dyDescent="0.25">
      <c r="A119" s="11" t="s">
        <v>64</v>
      </c>
      <c r="D119" s="11">
        <v>4.3464531388219886E-6</v>
      </c>
      <c r="E119" s="11" t="s">
        <v>5</v>
      </c>
      <c r="F119" s="11" t="s">
        <v>42</v>
      </c>
      <c r="G119" s="11" t="s">
        <v>43</v>
      </c>
      <c r="H119" s="11" t="s">
        <v>63</v>
      </c>
      <c r="J119" s="11" t="s">
        <v>116</v>
      </c>
    </row>
    <row r="120" spans="1:10" x14ac:dyDescent="0.25">
      <c r="A120" s="11" t="s">
        <v>73</v>
      </c>
      <c r="D120" s="11">
        <v>6.626335361900742E-5</v>
      </c>
      <c r="E120" s="11" t="s">
        <v>5</v>
      </c>
      <c r="F120" s="11" t="s">
        <v>42</v>
      </c>
      <c r="G120" s="11" t="s">
        <v>43</v>
      </c>
      <c r="H120" s="11" t="s">
        <v>63</v>
      </c>
      <c r="J120" s="11" t="s">
        <v>116</v>
      </c>
    </row>
    <row r="121" spans="1:10" x14ac:dyDescent="0.25">
      <c r="A121" s="11" t="s">
        <v>92</v>
      </c>
      <c r="D121" s="11">
        <v>1.3566608588182161E-7</v>
      </c>
      <c r="E121" s="11" t="s">
        <v>5</v>
      </c>
      <c r="F121" s="11" t="s">
        <v>42</v>
      </c>
      <c r="G121" s="11" t="s">
        <v>43</v>
      </c>
      <c r="H121" s="11" t="s">
        <v>63</v>
      </c>
      <c r="J121" s="11" t="s">
        <v>116</v>
      </c>
    </row>
    <row r="122" spans="1:10" x14ac:dyDescent="0.25">
      <c r="A122" s="11" t="s">
        <v>97</v>
      </c>
      <c r="D122" s="11">
        <v>6.1780107569394093E-15</v>
      </c>
      <c r="E122" s="11" t="s">
        <v>5</v>
      </c>
      <c r="F122" s="11" t="s">
        <v>42</v>
      </c>
      <c r="G122" s="11" t="s">
        <v>43</v>
      </c>
      <c r="H122" s="11" t="s">
        <v>96</v>
      </c>
      <c r="J122" s="11" t="s">
        <v>116</v>
      </c>
    </row>
    <row r="123" spans="1:10" s="9" customFormat="1" ht="14.1" customHeight="1" x14ac:dyDescent="0.25"/>
    <row r="124" spans="1:10" x14ac:dyDescent="0.25">
      <c r="A124" s="10" t="s">
        <v>0</v>
      </c>
      <c r="B124" s="10" t="s">
        <v>201</v>
      </c>
    </row>
    <row r="125" spans="1:10" x14ac:dyDescent="0.25">
      <c r="A125" s="12" t="s">
        <v>1</v>
      </c>
      <c r="B125" s="11" t="s">
        <v>158</v>
      </c>
    </row>
    <row r="126" spans="1:10" x14ac:dyDescent="0.25">
      <c r="A126" s="12" t="s">
        <v>2</v>
      </c>
      <c r="B126" s="11" t="s">
        <v>199</v>
      </c>
    </row>
    <row r="127" spans="1:10" x14ac:dyDescent="0.25">
      <c r="A127" s="12" t="s">
        <v>3</v>
      </c>
      <c r="B127" s="13">
        <v>1</v>
      </c>
    </row>
    <row r="128" spans="1:10" x14ac:dyDescent="0.25">
      <c r="A128" s="12" t="s">
        <v>4</v>
      </c>
      <c r="B128" s="11" t="s">
        <v>5</v>
      </c>
    </row>
    <row r="129" spans="1:14" x14ac:dyDescent="0.25">
      <c r="A129" s="12" t="s">
        <v>6</v>
      </c>
      <c r="B129" s="11" t="s">
        <v>7</v>
      </c>
    </row>
    <row r="130" spans="1:14" x14ac:dyDescent="0.25">
      <c r="A130" s="12" t="s">
        <v>8</v>
      </c>
    </row>
    <row r="131" spans="1:14" x14ac:dyDescent="0.25">
      <c r="A131" s="10" t="s">
        <v>9</v>
      </c>
      <c r="B131" s="10" t="s">
        <v>1</v>
      </c>
      <c r="C131" s="10" t="s">
        <v>2</v>
      </c>
      <c r="D131" s="10" t="s">
        <v>3</v>
      </c>
      <c r="E131" s="10" t="s">
        <v>4</v>
      </c>
      <c r="F131" s="10" t="s">
        <v>10</v>
      </c>
      <c r="G131" s="10" t="s">
        <v>11</v>
      </c>
      <c r="H131" s="10" t="s">
        <v>12</v>
      </c>
      <c r="I131" s="10" t="s">
        <v>13</v>
      </c>
      <c r="J131" s="10" t="s">
        <v>14</v>
      </c>
      <c r="K131" s="10" t="s">
        <v>15</v>
      </c>
      <c r="L131" s="10" t="s">
        <v>16</v>
      </c>
      <c r="M131" s="10" t="s">
        <v>17</v>
      </c>
      <c r="N131" s="10" t="s">
        <v>18</v>
      </c>
    </row>
    <row r="132" spans="1:14" x14ac:dyDescent="0.25">
      <c r="A132" s="11" t="str">
        <f>B124</f>
        <v>Al ingot production in rest-of-Asia</v>
      </c>
      <c r="B132" s="11" t="str">
        <f>B125</f>
        <v>Al ingot</v>
      </c>
      <c r="C132" s="11" t="str">
        <f>B126</f>
        <v>Rest-of-Asia</v>
      </c>
      <c r="D132" s="13">
        <v>1</v>
      </c>
      <c r="E132" s="11" t="s">
        <v>5</v>
      </c>
      <c r="F132" s="14" t="str">
        <f>F102</f>
        <v>Aluminium</v>
      </c>
      <c r="G132" s="11" t="s">
        <v>19</v>
      </c>
    </row>
    <row r="133" spans="1:14" x14ac:dyDescent="0.25">
      <c r="A133" s="11" t="str">
        <f>A102</f>
        <v>[R] Casting</v>
      </c>
      <c r="B133" s="11" t="str">
        <f>B102</f>
        <v>Al ingot</v>
      </c>
      <c r="C133" s="11" t="str">
        <f>C102</f>
        <v>Rest-of-Asia</v>
      </c>
      <c r="D133" s="11">
        <v>1</v>
      </c>
      <c r="E133" s="11" t="str">
        <f>E102</f>
        <v>kilogram</v>
      </c>
      <c r="F133" s="14" t="str">
        <f>F102</f>
        <v>Aluminium</v>
      </c>
      <c r="G133" s="11" t="s">
        <v>25</v>
      </c>
    </row>
    <row r="134" spans="1:14" x14ac:dyDescent="0.25">
      <c r="A134" s="11" t="str">
        <f>A67</f>
        <v>[R] Electrolysis</v>
      </c>
      <c r="B134" s="11" t="str">
        <f t="shared" ref="B134:F134" si="0">B67</f>
        <v>Liquid aluminium (Al)</v>
      </c>
      <c r="C134" s="11" t="str">
        <f t="shared" si="0"/>
        <v>Rest-of-Asia</v>
      </c>
      <c r="D134" s="11">
        <v>1</v>
      </c>
      <c r="E134" s="11" t="str">
        <f t="shared" si="0"/>
        <v>kilogram</v>
      </c>
      <c r="F134" s="14" t="str">
        <f t="shared" si="0"/>
        <v>Aluminium</v>
      </c>
      <c r="G134" s="11" t="s">
        <v>25</v>
      </c>
    </row>
    <row r="135" spans="1:14" x14ac:dyDescent="0.25">
      <c r="A135" s="11" t="str">
        <f>A36</f>
        <v>[P] Anode/Paste production</v>
      </c>
      <c r="B135" s="11" t="str">
        <f t="shared" ref="B135:F135" si="1">B36</f>
        <v>Anode/Paste</v>
      </c>
      <c r="C135" s="11" t="str">
        <f t="shared" si="1"/>
        <v>Rest-of-Asia</v>
      </c>
      <c r="D135" s="11">
        <v>0.54259363922859805</v>
      </c>
      <c r="E135" s="11" t="str">
        <f t="shared" si="1"/>
        <v>kilogram</v>
      </c>
      <c r="F135" s="14" t="str">
        <f t="shared" si="1"/>
        <v>Aluminium</v>
      </c>
      <c r="G135" s="11" t="s">
        <v>25</v>
      </c>
    </row>
    <row r="136" spans="1:14" x14ac:dyDescent="0.25">
      <c r="A136" s="11" t="str">
        <f>A9</f>
        <v>[P] Alumina production</v>
      </c>
      <c r="B136" s="11" t="str">
        <f t="shared" ref="B136:F136" si="2">B9</f>
        <v>Alumina</v>
      </c>
      <c r="C136" s="11" t="str">
        <f t="shared" si="2"/>
        <v>Rest-of-Asia</v>
      </c>
      <c r="D136" s="11">
        <v>1.687900420417177</v>
      </c>
      <c r="E136" s="11" t="str">
        <f t="shared" si="2"/>
        <v>kilogram</v>
      </c>
      <c r="F136" s="14" t="str">
        <f t="shared" si="2"/>
        <v>Aluminium</v>
      </c>
      <c r="G136" s="11" t="s">
        <v>25</v>
      </c>
    </row>
    <row r="137" spans="1:14" x14ac:dyDescent="0.25">
      <c r="A137" s="11" t="str">
        <f>Al_Mining_GLO!A9</f>
        <v>[M+C] Bauxite mining - Global</v>
      </c>
      <c r="B137" s="11" t="str">
        <f>Al_Mining_GLO!B9</f>
        <v>Bauxite</v>
      </c>
      <c r="C137" s="11" t="str">
        <f>Al_Mining_GLO!C9</f>
        <v>GLO</v>
      </c>
      <c r="D137" s="11">
        <v>5.3238536570231201</v>
      </c>
      <c r="E137" s="11" t="str">
        <f>Al_Mining_GLO!E9</f>
        <v>kilogram</v>
      </c>
      <c r="F137" s="14" t="str">
        <f>Al_Mining_GLO!F9</f>
        <v>Aluminium</v>
      </c>
      <c r="G137" s="11" t="s">
        <v>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8" tint="0.39997558519241921"/>
  </sheetPr>
  <dimension ref="A1:N171"/>
  <sheetViews>
    <sheetView workbookViewId="0">
      <selection activeCell="D167" sqref="D167"/>
    </sheetView>
  </sheetViews>
  <sheetFormatPr baseColWidth="10" defaultColWidth="8.7109375" defaultRowHeight="15" x14ac:dyDescent="0.25"/>
  <cols>
    <col min="1" max="1" width="48" style="11" bestFit="1" customWidth="1"/>
    <col min="2" max="2" width="43.85546875" style="11" bestFit="1" customWidth="1"/>
    <col min="3" max="3" width="8.140625" style="11" bestFit="1" customWidth="1"/>
    <col min="4" max="4" width="11" style="11" bestFit="1" customWidth="1"/>
    <col min="5" max="5" width="12.85546875" style="11" bestFit="1" customWidth="1"/>
    <col min="6" max="6" width="19.7109375" style="11" bestFit="1" customWidth="1"/>
    <col min="7" max="7" width="13.28515625" style="11" bestFit="1" customWidth="1"/>
    <col min="8" max="8" width="25.28515625" style="11" bestFit="1" customWidth="1"/>
    <col min="9" max="9" width="15.5703125" style="11" bestFit="1" customWidth="1"/>
    <col min="10" max="10" width="9.7109375" style="11" bestFit="1" customWidth="1"/>
    <col min="11" max="11" width="3.5703125" style="11" bestFit="1" customWidth="1"/>
    <col min="12" max="12" width="5.42578125" style="11" bestFit="1" customWidth="1"/>
    <col min="13" max="13" width="9.5703125" style="11" bestFit="1" customWidth="1"/>
    <col min="14" max="14" width="9.85546875" style="11" bestFit="1" customWidth="1"/>
    <col min="15" max="16384" width="8.7109375" style="11"/>
  </cols>
  <sheetData>
    <row r="1" spans="1:14" x14ac:dyDescent="0.25">
      <c r="A1" s="10" t="s">
        <v>0</v>
      </c>
      <c r="B1" s="10" t="s">
        <v>260</v>
      </c>
    </row>
    <row r="2" spans="1:14" x14ac:dyDescent="0.25">
      <c r="A2" s="12" t="s">
        <v>1</v>
      </c>
      <c r="B2" s="11" t="s">
        <v>108</v>
      </c>
    </row>
    <row r="3" spans="1:14" x14ac:dyDescent="0.25">
      <c r="A3" s="12" t="s">
        <v>2</v>
      </c>
      <c r="B3" s="11" t="s">
        <v>54</v>
      </c>
    </row>
    <row r="4" spans="1:14" x14ac:dyDescent="0.25">
      <c r="A4" s="12" t="s">
        <v>3</v>
      </c>
      <c r="B4" s="13">
        <v>1</v>
      </c>
    </row>
    <row r="5" spans="1:14" x14ac:dyDescent="0.25">
      <c r="A5" s="12" t="s">
        <v>4</v>
      </c>
      <c r="B5" s="11" t="s">
        <v>5</v>
      </c>
    </row>
    <row r="6" spans="1:14" x14ac:dyDescent="0.25">
      <c r="A6" s="12" t="s">
        <v>6</v>
      </c>
      <c r="B6" s="11" t="s">
        <v>7</v>
      </c>
    </row>
    <row r="7" spans="1:14" x14ac:dyDescent="0.25">
      <c r="A7" s="12" t="s">
        <v>8</v>
      </c>
    </row>
    <row r="8" spans="1:14" x14ac:dyDescent="0.25">
      <c r="A8" s="10" t="s">
        <v>9</v>
      </c>
      <c r="B8" s="10" t="s">
        <v>1</v>
      </c>
      <c r="C8" s="10" t="s">
        <v>2</v>
      </c>
      <c r="D8" s="10" t="s">
        <v>3</v>
      </c>
      <c r="E8" s="10" t="s">
        <v>4</v>
      </c>
      <c r="F8" s="10" t="s">
        <v>10</v>
      </c>
      <c r="G8" s="10" t="s">
        <v>11</v>
      </c>
      <c r="H8" s="10" t="s">
        <v>12</v>
      </c>
      <c r="I8" s="10" t="s">
        <v>13</v>
      </c>
      <c r="J8" s="10" t="s">
        <v>14</v>
      </c>
      <c r="K8" s="10" t="s">
        <v>15</v>
      </c>
      <c r="L8" s="10" t="s">
        <v>16</v>
      </c>
      <c r="M8" s="10" t="s">
        <v>17</v>
      </c>
      <c r="N8" s="10" t="s">
        <v>18</v>
      </c>
    </row>
    <row r="9" spans="1:14" x14ac:dyDescent="0.25">
      <c r="A9" s="11" t="str">
        <f>B1</f>
        <v>[M+C] Bauxite mining</v>
      </c>
      <c r="B9" s="11" t="str">
        <f>B2</f>
        <v>Bauxite</v>
      </c>
      <c r="C9" s="11" t="str">
        <f>B3</f>
        <v>CN</v>
      </c>
      <c r="D9" s="13">
        <v>1</v>
      </c>
      <c r="E9" s="11" t="s">
        <v>5</v>
      </c>
      <c r="F9" s="14" t="str">
        <f>Al_Market_GLO!B1</f>
        <v>Aluminium</v>
      </c>
      <c r="G9" s="11" t="s">
        <v>19</v>
      </c>
    </row>
    <row r="10" spans="1:14" x14ac:dyDescent="0.25">
      <c r="A10" s="11" t="s">
        <v>26</v>
      </c>
      <c r="B10" s="11" t="s">
        <v>27</v>
      </c>
      <c r="C10" s="11" t="s">
        <v>54</v>
      </c>
      <c r="D10" s="11">
        <v>1.6299999999999999E-2</v>
      </c>
      <c r="E10" s="11" t="s">
        <v>28</v>
      </c>
      <c r="F10" s="11" t="s">
        <v>24</v>
      </c>
      <c r="G10" s="11" t="s">
        <v>25</v>
      </c>
      <c r="J10" s="11" t="s">
        <v>116</v>
      </c>
    </row>
    <row r="11" spans="1:14" x14ac:dyDescent="0.25">
      <c r="A11" s="11" t="s">
        <v>55</v>
      </c>
      <c r="B11" s="11" t="s">
        <v>56</v>
      </c>
      <c r="C11" s="11" t="s">
        <v>29</v>
      </c>
      <c r="D11" s="11">
        <v>1.39E-3</v>
      </c>
      <c r="E11" s="11" t="s">
        <v>5</v>
      </c>
      <c r="F11" s="11" t="s">
        <v>24</v>
      </c>
      <c r="G11" s="11" t="s">
        <v>25</v>
      </c>
      <c r="J11" s="11" t="s">
        <v>116</v>
      </c>
    </row>
    <row r="12" spans="1:14" x14ac:dyDescent="0.25">
      <c r="A12" s="11" t="s">
        <v>83</v>
      </c>
      <c r="D12" s="11">
        <v>5.1799999999999997E-3</v>
      </c>
      <c r="E12" s="11" t="s">
        <v>5</v>
      </c>
      <c r="F12" s="11" t="s">
        <v>42</v>
      </c>
      <c r="G12" s="11" t="s">
        <v>43</v>
      </c>
      <c r="H12" s="11" t="s">
        <v>63</v>
      </c>
      <c r="J12" s="11" t="s">
        <v>82</v>
      </c>
    </row>
    <row r="13" spans="1:14" x14ac:dyDescent="0.25">
      <c r="A13" s="11" t="s">
        <v>62</v>
      </c>
      <c r="D13" s="11">
        <v>4.199999999999999E-7</v>
      </c>
      <c r="E13" s="11" t="s">
        <v>5</v>
      </c>
      <c r="F13" s="11" t="s">
        <v>42</v>
      </c>
      <c r="G13" s="11" t="s">
        <v>43</v>
      </c>
      <c r="H13" s="11" t="s">
        <v>63</v>
      </c>
      <c r="J13" s="11" t="s">
        <v>82</v>
      </c>
    </row>
    <row r="14" spans="1:14" x14ac:dyDescent="0.25">
      <c r="A14" s="11" t="s">
        <v>84</v>
      </c>
      <c r="D14" s="11">
        <v>6.7000000000000004E-7</v>
      </c>
      <c r="E14" s="11" t="s">
        <v>5</v>
      </c>
      <c r="F14" s="11" t="s">
        <v>42</v>
      </c>
      <c r="G14" s="11" t="s">
        <v>43</v>
      </c>
      <c r="H14" s="11" t="s">
        <v>63</v>
      </c>
      <c r="J14" s="11" t="s">
        <v>82</v>
      </c>
    </row>
    <row r="15" spans="1:14" x14ac:dyDescent="0.25">
      <c r="A15" s="11" t="s">
        <v>73</v>
      </c>
      <c r="D15" s="11">
        <v>8.1199999999999985E-6</v>
      </c>
      <c r="E15" s="11" t="s">
        <v>5</v>
      </c>
      <c r="F15" s="11" t="s">
        <v>42</v>
      </c>
      <c r="G15" s="11" t="s">
        <v>43</v>
      </c>
      <c r="H15" s="11" t="s">
        <v>63</v>
      </c>
      <c r="J15" s="11" t="s">
        <v>82</v>
      </c>
    </row>
    <row r="16" spans="1:14" x14ac:dyDescent="0.25">
      <c r="A16" s="11" t="s">
        <v>87</v>
      </c>
      <c r="D16" s="11">
        <v>1.9999999999999999E-7</v>
      </c>
      <c r="E16" s="11" t="s">
        <v>5</v>
      </c>
      <c r="F16" s="11" t="s">
        <v>42</v>
      </c>
      <c r="G16" s="11" t="s">
        <v>43</v>
      </c>
      <c r="H16" s="11" t="s">
        <v>63</v>
      </c>
      <c r="J16" s="11" t="s">
        <v>82</v>
      </c>
    </row>
    <row r="17" spans="1:14" s="8" customFormat="1" x14ac:dyDescent="0.25"/>
    <row r="18" spans="1:14" x14ac:dyDescent="0.25">
      <c r="A18" s="10" t="s">
        <v>0</v>
      </c>
      <c r="B18" s="10" t="s">
        <v>119</v>
      </c>
    </row>
    <row r="19" spans="1:14" x14ac:dyDescent="0.25">
      <c r="A19" s="12" t="s">
        <v>1</v>
      </c>
      <c r="B19" s="11" t="s">
        <v>120</v>
      </c>
    </row>
    <row r="20" spans="1:14" x14ac:dyDescent="0.25">
      <c r="A20" s="12" t="s">
        <v>2</v>
      </c>
      <c r="B20" s="11" t="s">
        <v>54</v>
      </c>
    </row>
    <row r="21" spans="1:14" x14ac:dyDescent="0.25">
      <c r="A21" s="12" t="s">
        <v>3</v>
      </c>
      <c r="B21" s="13">
        <v>1</v>
      </c>
    </row>
    <row r="22" spans="1:14" x14ac:dyDescent="0.25">
      <c r="A22" s="12" t="s">
        <v>4</v>
      </c>
      <c r="B22" s="11" t="s">
        <v>5</v>
      </c>
    </row>
    <row r="23" spans="1:14" x14ac:dyDescent="0.25">
      <c r="A23" s="12" t="s">
        <v>6</v>
      </c>
      <c r="B23" s="11" t="s">
        <v>7</v>
      </c>
    </row>
    <row r="24" spans="1:14" x14ac:dyDescent="0.25">
      <c r="A24" s="12" t="s">
        <v>8</v>
      </c>
    </row>
    <row r="25" spans="1:14" x14ac:dyDescent="0.25">
      <c r="A25" s="10" t="s">
        <v>9</v>
      </c>
      <c r="B25" s="10" t="s">
        <v>1</v>
      </c>
      <c r="C25" s="10" t="s">
        <v>2</v>
      </c>
      <c r="D25" s="10" t="s">
        <v>3</v>
      </c>
      <c r="E25" s="10" t="s">
        <v>4</v>
      </c>
      <c r="F25" s="10" t="s">
        <v>10</v>
      </c>
      <c r="G25" s="10" t="s">
        <v>11</v>
      </c>
      <c r="H25" s="10" t="s">
        <v>12</v>
      </c>
      <c r="I25" s="10" t="s">
        <v>13</v>
      </c>
      <c r="J25" s="10" t="s">
        <v>14</v>
      </c>
      <c r="K25" s="10" t="s">
        <v>15</v>
      </c>
      <c r="L25" s="10" t="s">
        <v>16</v>
      </c>
      <c r="M25" s="10" t="s">
        <v>17</v>
      </c>
      <c r="N25" s="10" t="s">
        <v>18</v>
      </c>
    </row>
    <row r="26" spans="1:14" x14ac:dyDescent="0.25">
      <c r="A26" s="11" t="str">
        <f>B18</f>
        <v>[P] Alumina production</v>
      </c>
      <c r="B26" s="11" t="str">
        <f>B19</f>
        <v>Alumina</v>
      </c>
      <c r="C26" s="11" t="str">
        <f>B20</f>
        <v>CN</v>
      </c>
      <c r="D26" s="13">
        <v>1</v>
      </c>
      <c r="E26" s="11" t="s">
        <v>5</v>
      </c>
      <c r="F26" s="14" t="str">
        <f>F9</f>
        <v>Aluminium</v>
      </c>
      <c r="G26" s="11" t="s">
        <v>19</v>
      </c>
    </row>
    <row r="27" spans="1:14" x14ac:dyDescent="0.25">
      <c r="A27" s="11" t="s">
        <v>203</v>
      </c>
      <c r="B27" s="11" t="s">
        <v>204</v>
      </c>
      <c r="C27" s="11" t="s">
        <v>22</v>
      </c>
      <c r="D27" s="11">
        <v>0.17</v>
      </c>
      <c r="E27" s="11" t="s">
        <v>5</v>
      </c>
      <c r="F27" s="11" t="s">
        <v>24</v>
      </c>
      <c r="G27" s="11" t="s">
        <v>25</v>
      </c>
      <c r="J27" s="11" t="s">
        <v>116</v>
      </c>
    </row>
    <row r="28" spans="1:14" x14ac:dyDescent="0.25">
      <c r="A28" s="11" t="s">
        <v>205</v>
      </c>
      <c r="B28" s="11" t="s">
        <v>206</v>
      </c>
      <c r="C28" s="11" t="s">
        <v>29</v>
      </c>
      <c r="D28" s="11">
        <v>2.5000000000000001E-2</v>
      </c>
      <c r="E28" s="11" t="s">
        <v>5</v>
      </c>
      <c r="F28" s="11" t="s">
        <v>24</v>
      </c>
      <c r="G28" s="11" t="s">
        <v>25</v>
      </c>
      <c r="J28" s="11" t="s">
        <v>116</v>
      </c>
    </row>
    <row r="29" spans="1:14" x14ac:dyDescent="0.25">
      <c r="A29" s="11" t="s">
        <v>30</v>
      </c>
      <c r="B29" s="11" t="s">
        <v>31</v>
      </c>
      <c r="C29" s="11" t="s">
        <v>22</v>
      </c>
      <c r="D29" s="11">
        <v>8.0000000000000007E-5</v>
      </c>
      <c r="E29" s="11" t="s">
        <v>5</v>
      </c>
      <c r="F29" s="11" t="s">
        <v>24</v>
      </c>
      <c r="G29" s="11" t="s">
        <v>25</v>
      </c>
      <c r="J29" s="11" t="s">
        <v>116</v>
      </c>
    </row>
    <row r="30" spans="1:14" x14ac:dyDescent="0.25">
      <c r="A30" s="11" t="s">
        <v>59</v>
      </c>
      <c r="B30" s="11" t="s">
        <v>60</v>
      </c>
      <c r="C30" s="11" t="s">
        <v>54</v>
      </c>
      <c r="D30" s="11">
        <v>0.18</v>
      </c>
      <c r="E30" s="11" t="s">
        <v>5</v>
      </c>
      <c r="F30" s="11" t="s">
        <v>24</v>
      </c>
      <c r="G30" s="11" t="s">
        <v>25</v>
      </c>
      <c r="J30" s="11" t="s">
        <v>116</v>
      </c>
    </row>
    <row r="31" spans="1:14" x14ac:dyDescent="0.25">
      <c r="A31" s="11" t="s">
        <v>67</v>
      </c>
      <c r="B31" s="11" t="s">
        <v>68</v>
      </c>
      <c r="C31" s="11" t="s">
        <v>29</v>
      </c>
      <c r="D31" s="11">
        <v>3.12</v>
      </c>
      <c r="E31" s="11" t="s">
        <v>5</v>
      </c>
      <c r="F31" s="11" t="s">
        <v>24</v>
      </c>
      <c r="G31" s="11" t="s">
        <v>25</v>
      </c>
      <c r="J31" s="11" t="s">
        <v>116</v>
      </c>
    </row>
    <row r="32" spans="1:14" x14ac:dyDescent="0.25">
      <c r="A32" s="11" t="s">
        <v>26</v>
      </c>
      <c r="B32" s="11" t="s">
        <v>27</v>
      </c>
      <c r="C32" s="11" t="s">
        <v>54</v>
      </c>
      <c r="D32" s="11">
        <v>0.28399999999999997</v>
      </c>
      <c r="E32" s="11" t="s">
        <v>28</v>
      </c>
      <c r="F32" s="11" t="s">
        <v>24</v>
      </c>
      <c r="G32" s="11" t="s">
        <v>25</v>
      </c>
      <c r="J32" s="11" t="s">
        <v>116</v>
      </c>
    </row>
    <row r="33" spans="1:14" x14ac:dyDescent="0.25">
      <c r="A33" s="11" t="s">
        <v>57</v>
      </c>
      <c r="B33" s="11" t="s">
        <v>58</v>
      </c>
      <c r="C33" s="11" t="s">
        <v>54</v>
      </c>
      <c r="D33" s="11">
        <v>8.8400000000000006E-2</v>
      </c>
      <c r="E33" s="11" t="s">
        <v>49</v>
      </c>
      <c r="F33" s="11" t="s">
        <v>24</v>
      </c>
      <c r="G33" s="11" t="s">
        <v>25</v>
      </c>
      <c r="J33" s="11" t="s">
        <v>116</v>
      </c>
    </row>
    <row r="34" spans="1:14" x14ac:dyDescent="0.25">
      <c r="A34" s="11" t="s">
        <v>130</v>
      </c>
      <c r="B34" s="11" t="s">
        <v>131</v>
      </c>
      <c r="C34" s="11" t="s">
        <v>29</v>
      </c>
      <c r="D34" s="11">
        <v>-1.03</v>
      </c>
      <c r="E34" s="11" t="s">
        <v>5</v>
      </c>
      <c r="F34" s="11" t="s">
        <v>24</v>
      </c>
      <c r="G34" s="11" t="s">
        <v>25</v>
      </c>
      <c r="J34" s="11" t="s">
        <v>207</v>
      </c>
    </row>
    <row r="35" spans="1:14" x14ac:dyDescent="0.25">
      <c r="A35" s="11" t="s">
        <v>83</v>
      </c>
      <c r="D35" s="11">
        <v>0.49</v>
      </c>
      <c r="E35" s="11" t="s">
        <v>5</v>
      </c>
      <c r="F35" s="11" t="s">
        <v>42</v>
      </c>
      <c r="G35" s="11" t="s">
        <v>43</v>
      </c>
      <c r="H35" s="11" t="s">
        <v>63</v>
      </c>
      <c r="J35" s="11" t="s">
        <v>82</v>
      </c>
    </row>
    <row r="36" spans="1:14" x14ac:dyDescent="0.25">
      <c r="A36" s="11" t="s">
        <v>84</v>
      </c>
      <c r="D36" s="11">
        <v>6.6E-4</v>
      </c>
      <c r="E36" s="11" t="s">
        <v>5</v>
      </c>
      <c r="F36" s="11" t="s">
        <v>42</v>
      </c>
      <c r="G36" s="11" t="s">
        <v>43</v>
      </c>
      <c r="H36" s="11" t="s">
        <v>63</v>
      </c>
      <c r="J36" s="11" t="s">
        <v>82</v>
      </c>
    </row>
    <row r="37" spans="1:14" x14ac:dyDescent="0.25">
      <c r="A37" s="11" t="s">
        <v>62</v>
      </c>
      <c r="D37" s="11">
        <v>3.2000000000000003E-4</v>
      </c>
      <c r="E37" s="11" t="s">
        <v>5</v>
      </c>
      <c r="F37" s="11" t="s">
        <v>42</v>
      </c>
      <c r="G37" s="11" t="s">
        <v>43</v>
      </c>
      <c r="H37" s="11" t="s">
        <v>63</v>
      </c>
      <c r="J37" s="11" t="s">
        <v>82</v>
      </c>
    </row>
    <row r="38" spans="1:14" x14ac:dyDescent="0.25">
      <c r="A38" s="11" t="s">
        <v>73</v>
      </c>
      <c r="D38" s="11">
        <v>1.41E-3</v>
      </c>
      <c r="E38" s="11" t="s">
        <v>5</v>
      </c>
      <c r="F38" s="11" t="s">
        <v>42</v>
      </c>
      <c r="G38" s="11" t="s">
        <v>43</v>
      </c>
      <c r="H38" s="11" t="s">
        <v>63</v>
      </c>
      <c r="J38" s="11" t="s">
        <v>82</v>
      </c>
    </row>
    <row r="39" spans="1:14" x14ac:dyDescent="0.25">
      <c r="A39" s="11" t="s">
        <v>87</v>
      </c>
      <c r="D39" s="11">
        <v>1.8E-7</v>
      </c>
      <c r="E39" s="11" t="s">
        <v>5</v>
      </c>
      <c r="F39" s="11" t="s">
        <v>42</v>
      </c>
      <c r="G39" s="11" t="s">
        <v>43</v>
      </c>
      <c r="H39" s="11" t="s">
        <v>63</v>
      </c>
      <c r="J39" s="11" t="s">
        <v>82</v>
      </c>
    </row>
    <row r="40" spans="1:14" s="8" customFormat="1" x14ac:dyDescent="0.25"/>
    <row r="41" spans="1:14" x14ac:dyDescent="0.25">
      <c r="A41" s="10" t="s">
        <v>0</v>
      </c>
      <c r="B41" s="10" t="s">
        <v>147</v>
      </c>
    </row>
    <row r="42" spans="1:14" x14ac:dyDescent="0.25">
      <c r="A42" s="12" t="s">
        <v>1</v>
      </c>
      <c r="B42" s="11" t="s">
        <v>148</v>
      </c>
    </row>
    <row r="43" spans="1:14" x14ac:dyDescent="0.25">
      <c r="A43" s="12" t="s">
        <v>2</v>
      </c>
      <c r="B43" s="11" t="s">
        <v>54</v>
      </c>
    </row>
    <row r="44" spans="1:14" x14ac:dyDescent="0.25">
      <c r="A44" s="12" t="s">
        <v>3</v>
      </c>
      <c r="B44" s="13">
        <v>1</v>
      </c>
    </row>
    <row r="45" spans="1:14" x14ac:dyDescent="0.25">
      <c r="A45" s="12" t="s">
        <v>4</v>
      </c>
      <c r="B45" s="11" t="s">
        <v>5</v>
      </c>
    </row>
    <row r="46" spans="1:14" x14ac:dyDescent="0.25">
      <c r="A46" s="12" t="s">
        <v>6</v>
      </c>
      <c r="B46" s="11" t="s">
        <v>7</v>
      </c>
    </row>
    <row r="47" spans="1:14" x14ac:dyDescent="0.25">
      <c r="A47" s="12" t="s">
        <v>8</v>
      </c>
    </row>
    <row r="48" spans="1:14" x14ac:dyDescent="0.25">
      <c r="A48" s="10" t="s">
        <v>9</v>
      </c>
      <c r="B48" s="10" t="s">
        <v>1</v>
      </c>
      <c r="C48" s="10" t="s">
        <v>2</v>
      </c>
      <c r="D48" s="10" t="s">
        <v>3</v>
      </c>
      <c r="E48" s="10" t="s">
        <v>4</v>
      </c>
      <c r="F48" s="10" t="s">
        <v>10</v>
      </c>
      <c r="G48" s="10" t="s">
        <v>11</v>
      </c>
      <c r="H48" s="10" t="s">
        <v>12</v>
      </c>
      <c r="I48" s="10" t="s">
        <v>13</v>
      </c>
      <c r="J48" s="10" t="s">
        <v>14</v>
      </c>
      <c r="K48" s="10" t="s">
        <v>15</v>
      </c>
      <c r="L48" s="10" t="s">
        <v>16</v>
      </c>
      <c r="M48" s="10" t="s">
        <v>17</v>
      </c>
      <c r="N48" s="10" t="s">
        <v>18</v>
      </c>
    </row>
    <row r="49" spans="1:10" x14ac:dyDescent="0.25">
      <c r="A49" s="11" t="str">
        <f>B41</f>
        <v>[R] Electrolysis</v>
      </c>
      <c r="B49" s="11" t="str">
        <f>B42</f>
        <v>Liquid aluminium (Al)</v>
      </c>
      <c r="C49" s="11" t="str">
        <f>B43</f>
        <v>CN</v>
      </c>
      <c r="D49" s="13">
        <v>1</v>
      </c>
      <c r="E49" s="11" t="s">
        <v>5</v>
      </c>
      <c r="F49" s="14" t="str">
        <f>F26</f>
        <v>Aluminium</v>
      </c>
      <c r="G49" s="11" t="s">
        <v>19</v>
      </c>
    </row>
    <row r="50" spans="1:10" x14ac:dyDescent="0.25">
      <c r="A50" s="11" t="s">
        <v>208</v>
      </c>
      <c r="B50" s="11" t="s">
        <v>209</v>
      </c>
      <c r="C50" s="11" t="s">
        <v>22</v>
      </c>
      <c r="D50" s="11">
        <v>1.1900000000000001E-2</v>
      </c>
      <c r="E50" s="11" t="s">
        <v>5</v>
      </c>
      <c r="F50" s="11" t="s">
        <v>24</v>
      </c>
      <c r="G50" s="11" t="s">
        <v>25</v>
      </c>
      <c r="J50" s="11" t="s">
        <v>116</v>
      </c>
    </row>
    <row r="51" spans="1:10" x14ac:dyDescent="0.25">
      <c r="A51" s="11" t="s">
        <v>151</v>
      </c>
      <c r="B51" s="11" t="s">
        <v>152</v>
      </c>
      <c r="C51" s="11" t="s">
        <v>22</v>
      </c>
      <c r="D51" s="11">
        <v>1.9E-2</v>
      </c>
      <c r="E51" s="11" t="s">
        <v>5</v>
      </c>
      <c r="F51" s="11" t="s">
        <v>24</v>
      </c>
      <c r="G51" s="11" t="s">
        <v>25</v>
      </c>
      <c r="J51" s="11" t="s">
        <v>116</v>
      </c>
    </row>
    <row r="52" spans="1:10" x14ac:dyDescent="0.25">
      <c r="A52" s="11" t="s">
        <v>210</v>
      </c>
      <c r="B52" s="11" t="s">
        <v>211</v>
      </c>
      <c r="C52" s="11" t="s">
        <v>22</v>
      </c>
      <c r="D52" s="11">
        <v>2.7899999999999999E-3</v>
      </c>
      <c r="E52" s="11" t="s">
        <v>5</v>
      </c>
      <c r="F52" s="11" t="s">
        <v>24</v>
      </c>
      <c r="G52" s="11" t="s">
        <v>25</v>
      </c>
      <c r="J52" s="11" t="s">
        <v>116</v>
      </c>
    </row>
    <row r="53" spans="1:10" x14ac:dyDescent="0.25">
      <c r="A53" s="11" t="s">
        <v>212</v>
      </c>
      <c r="B53" s="11" t="s">
        <v>213</v>
      </c>
      <c r="C53" s="11" t="s">
        <v>29</v>
      </c>
      <c r="D53" s="11">
        <v>2.2200000000000002E-3</v>
      </c>
      <c r="E53" s="11" t="s">
        <v>5</v>
      </c>
      <c r="F53" s="11" t="s">
        <v>24</v>
      </c>
      <c r="G53" s="11" t="s">
        <v>25</v>
      </c>
      <c r="J53" s="11" t="s">
        <v>116</v>
      </c>
    </row>
    <row r="54" spans="1:10" x14ac:dyDescent="0.25">
      <c r="A54" s="11" t="s">
        <v>74</v>
      </c>
      <c r="B54" s="11" t="s">
        <v>75</v>
      </c>
      <c r="C54" s="11" t="s">
        <v>29</v>
      </c>
      <c r="D54" s="11">
        <v>5.5999999999999999E-3</v>
      </c>
      <c r="E54" s="11" t="s">
        <v>5</v>
      </c>
      <c r="F54" s="11" t="s">
        <v>24</v>
      </c>
      <c r="G54" s="11" t="s">
        <v>25</v>
      </c>
      <c r="J54" s="11" t="s">
        <v>116</v>
      </c>
    </row>
    <row r="55" spans="1:10" x14ac:dyDescent="0.25">
      <c r="A55" s="11" t="s">
        <v>203</v>
      </c>
      <c r="B55" s="11" t="s">
        <v>204</v>
      </c>
      <c r="C55" s="11" t="s">
        <v>22</v>
      </c>
      <c r="D55" s="11">
        <v>0.03</v>
      </c>
      <c r="E55" s="11" t="s">
        <v>5</v>
      </c>
      <c r="F55" s="11" t="s">
        <v>24</v>
      </c>
      <c r="G55" s="11" t="s">
        <v>25</v>
      </c>
      <c r="J55" s="11" t="s">
        <v>116</v>
      </c>
    </row>
    <row r="56" spans="1:10" x14ac:dyDescent="0.25">
      <c r="A56" s="11" t="s">
        <v>103</v>
      </c>
      <c r="B56" s="11" t="s">
        <v>104</v>
      </c>
      <c r="C56" s="11" t="s">
        <v>22</v>
      </c>
      <c r="D56" s="11">
        <v>1E-4</v>
      </c>
      <c r="E56" s="11" t="s">
        <v>5</v>
      </c>
      <c r="F56" s="11" t="s">
        <v>24</v>
      </c>
      <c r="G56" s="11" t="s">
        <v>25</v>
      </c>
      <c r="J56" s="11" t="s">
        <v>116</v>
      </c>
    </row>
    <row r="57" spans="1:10" x14ac:dyDescent="0.25">
      <c r="A57" s="11" t="s">
        <v>214</v>
      </c>
      <c r="B57" s="11" t="s">
        <v>215</v>
      </c>
      <c r="C57" s="11" t="s">
        <v>22</v>
      </c>
      <c r="D57" s="11">
        <v>8.9999999999999992E-5</v>
      </c>
      <c r="E57" s="11" t="s">
        <v>5</v>
      </c>
      <c r="F57" s="11" t="s">
        <v>24</v>
      </c>
      <c r="G57" s="11" t="s">
        <v>25</v>
      </c>
      <c r="J57" s="11" t="s">
        <v>116</v>
      </c>
    </row>
    <row r="58" spans="1:10" x14ac:dyDescent="0.25">
      <c r="A58" s="11" t="s">
        <v>26</v>
      </c>
      <c r="B58" s="11" t="s">
        <v>27</v>
      </c>
      <c r="C58" s="11" t="s">
        <v>54</v>
      </c>
      <c r="D58" s="11">
        <v>13.7</v>
      </c>
      <c r="E58" s="11" t="s">
        <v>28</v>
      </c>
      <c r="F58" s="11" t="s">
        <v>24</v>
      </c>
      <c r="G58" s="11" t="s">
        <v>25</v>
      </c>
      <c r="J58" s="11" t="s">
        <v>116</v>
      </c>
    </row>
    <row r="59" spans="1:10" x14ac:dyDescent="0.25">
      <c r="A59" s="11" t="s">
        <v>85</v>
      </c>
      <c r="B59" s="11" t="s">
        <v>86</v>
      </c>
      <c r="C59" s="11" t="s">
        <v>54</v>
      </c>
      <c r="D59" s="11">
        <v>0.31746000000000002</v>
      </c>
      <c r="E59" s="11" t="s">
        <v>23</v>
      </c>
      <c r="F59" s="11" t="s">
        <v>24</v>
      </c>
      <c r="G59" s="11" t="s">
        <v>25</v>
      </c>
      <c r="J59" s="11" t="s">
        <v>116</v>
      </c>
    </row>
    <row r="60" spans="1:10" x14ac:dyDescent="0.25">
      <c r="A60" s="11" t="s">
        <v>216</v>
      </c>
      <c r="B60" s="11" t="s">
        <v>217</v>
      </c>
      <c r="C60" s="11" t="s">
        <v>29</v>
      </c>
      <c r="D60" s="11">
        <v>2.0000000000000001E-4</v>
      </c>
      <c r="E60" s="11" t="s">
        <v>5</v>
      </c>
      <c r="F60" s="11" t="s">
        <v>24</v>
      </c>
      <c r="G60" s="11" t="s">
        <v>25</v>
      </c>
      <c r="J60" s="11" t="s">
        <v>116</v>
      </c>
    </row>
    <row r="61" spans="1:10" s="14" customFormat="1" x14ac:dyDescent="0.25">
      <c r="A61" s="11" t="str">
        <f>A144</f>
        <v>Anode fabrication</v>
      </c>
      <c r="B61" s="11" t="str">
        <f t="shared" ref="B61:C61" si="0">B144</f>
        <v>Carbon anode</v>
      </c>
      <c r="C61" s="11" t="str">
        <f t="shared" si="0"/>
        <v>CN</v>
      </c>
      <c r="D61" s="13">
        <v>0.48</v>
      </c>
      <c r="E61" s="11" t="s">
        <v>5</v>
      </c>
      <c r="F61" s="14" t="str">
        <f>F144</f>
        <v>Aluminium</v>
      </c>
      <c r="G61" s="11" t="s">
        <v>25</v>
      </c>
      <c r="J61" s="14" t="s">
        <v>116</v>
      </c>
    </row>
    <row r="62" spans="1:10" x14ac:dyDescent="0.25">
      <c r="A62" s="11" t="s">
        <v>83</v>
      </c>
      <c r="D62" s="11">
        <v>1.27</v>
      </c>
      <c r="E62" s="11" t="s">
        <v>5</v>
      </c>
      <c r="F62" s="11" t="s">
        <v>42</v>
      </c>
      <c r="G62" s="11" t="s">
        <v>43</v>
      </c>
      <c r="H62" s="11" t="s">
        <v>63</v>
      </c>
      <c r="J62" s="11" t="s">
        <v>82</v>
      </c>
    </row>
    <row r="63" spans="1:10" x14ac:dyDescent="0.25">
      <c r="A63" s="11" t="s">
        <v>102</v>
      </c>
      <c r="D63" s="11">
        <v>1.3999999999999999E-4</v>
      </c>
      <c r="E63" s="11" t="s">
        <v>5</v>
      </c>
      <c r="F63" s="11" t="s">
        <v>42</v>
      </c>
      <c r="G63" s="11" t="s">
        <v>43</v>
      </c>
      <c r="H63" s="11" t="s">
        <v>63</v>
      </c>
      <c r="J63" s="11" t="s">
        <v>82</v>
      </c>
    </row>
    <row r="64" spans="1:10" x14ac:dyDescent="0.25">
      <c r="A64" s="11" t="s">
        <v>73</v>
      </c>
      <c r="D64" s="11">
        <v>1.5E-6</v>
      </c>
      <c r="E64" s="11" t="s">
        <v>5</v>
      </c>
      <c r="F64" s="11" t="s">
        <v>42</v>
      </c>
      <c r="G64" s="11" t="s">
        <v>43</v>
      </c>
      <c r="H64" s="11" t="s">
        <v>63</v>
      </c>
      <c r="J64" s="11" t="s">
        <v>82</v>
      </c>
    </row>
    <row r="65" spans="1:14" x14ac:dyDescent="0.25">
      <c r="A65" s="11" t="s">
        <v>106</v>
      </c>
      <c r="D65" s="11">
        <v>1.1299999999999999E-3</v>
      </c>
      <c r="E65" s="11" t="s">
        <v>5</v>
      </c>
      <c r="F65" s="11" t="s">
        <v>42</v>
      </c>
      <c r="G65" s="11" t="s">
        <v>43</v>
      </c>
      <c r="H65" s="11" t="s">
        <v>63</v>
      </c>
      <c r="J65" s="11" t="s">
        <v>82</v>
      </c>
    </row>
    <row r="66" spans="1:14" s="8" customFormat="1" x14ac:dyDescent="0.25"/>
    <row r="67" spans="1:14" x14ac:dyDescent="0.25">
      <c r="A67" s="10" t="s">
        <v>0</v>
      </c>
      <c r="B67" s="10" t="s">
        <v>157</v>
      </c>
    </row>
    <row r="68" spans="1:14" x14ac:dyDescent="0.25">
      <c r="A68" s="12" t="s">
        <v>1</v>
      </c>
      <c r="B68" s="11" t="s">
        <v>158</v>
      </c>
    </row>
    <row r="69" spans="1:14" x14ac:dyDescent="0.25">
      <c r="A69" s="12" t="s">
        <v>2</v>
      </c>
      <c r="B69" s="11" t="s">
        <v>54</v>
      </c>
    </row>
    <row r="70" spans="1:14" x14ac:dyDescent="0.25">
      <c r="A70" s="12" t="s">
        <v>3</v>
      </c>
      <c r="B70" s="13">
        <v>1</v>
      </c>
    </row>
    <row r="71" spans="1:14" x14ac:dyDescent="0.25">
      <c r="A71" s="12" t="s">
        <v>4</v>
      </c>
      <c r="B71" s="11" t="s">
        <v>5</v>
      </c>
    </row>
    <row r="72" spans="1:14" x14ac:dyDescent="0.25">
      <c r="A72" s="12" t="s">
        <v>6</v>
      </c>
      <c r="B72" s="11" t="s">
        <v>7</v>
      </c>
    </row>
    <row r="73" spans="1:14" x14ac:dyDescent="0.25">
      <c r="A73" s="12" t="s">
        <v>8</v>
      </c>
    </row>
    <row r="74" spans="1:14" x14ac:dyDescent="0.25">
      <c r="A74" s="10" t="s">
        <v>9</v>
      </c>
      <c r="B74" s="10" t="s">
        <v>1</v>
      </c>
      <c r="C74" s="10" t="s">
        <v>2</v>
      </c>
      <c r="D74" s="10" t="s">
        <v>3</v>
      </c>
      <c r="E74" s="10" t="s">
        <v>4</v>
      </c>
      <c r="F74" s="10" t="s">
        <v>10</v>
      </c>
      <c r="G74" s="10" t="s">
        <v>11</v>
      </c>
      <c r="H74" s="10" t="s">
        <v>12</v>
      </c>
      <c r="I74" s="10" t="s">
        <v>13</v>
      </c>
      <c r="J74" s="10" t="s">
        <v>14</v>
      </c>
      <c r="K74" s="10" t="s">
        <v>15</v>
      </c>
      <c r="L74" s="10" t="s">
        <v>16</v>
      </c>
      <c r="M74" s="10" t="s">
        <v>17</v>
      </c>
      <c r="N74" s="10" t="s">
        <v>18</v>
      </c>
    </row>
    <row r="75" spans="1:14" x14ac:dyDescent="0.25">
      <c r="A75" s="11" t="str">
        <f>B67</f>
        <v>[R] Casting</v>
      </c>
      <c r="B75" s="11" t="str">
        <f>B68</f>
        <v>Al ingot</v>
      </c>
      <c r="C75" s="11" t="str">
        <f>B69</f>
        <v>CN</v>
      </c>
      <c r="D75" s="13">
        <v>1</v>
      </c>
      <c r="E75" s="11" t="s">
        <v>5</v>
      </c>
      <c r="F75" s="14" t="str">
        <f>F49</f>
        <v>Aluminium</v>
      </c>
      <c r="G75" s="11" t="s">
        <v>19</v>
      </c>
    </row>
    <row r="76" spans="1:14" x14ac:dyDescent="0.25">
      <c r="A76" s="11" t="s">
        <v>30</v>
      </c>
      <c r="B76" s="11" t="s">
        <v>31</v>
      </c>
      <c r="C76" s="11" t="s">
        <v>22</v>
      </c>
      <c r="D76" s="11">
        <v>1.2E-4</v>
      </c>
      <c r="E76" s="11" t="s">
        <v>5</v>
      </c>
      <c r="F76" s="11" t="s">
        <v>24</v>
      </c>
      <c r="G76" s="11" t="s">
        <v>25</v>
      </c>
      <c r="J76" s="11" t="s">
        <v>116</v>
      </c>
    </row>
    <row r="77" spans="1:14" x14ac:dyDescent="0.25">
      <c r="A77" s="11" t="s">
        <v>30</v>
      </c>
      <c r="B77" s="11" t="s">
        <v>31</v>
      </c>
      <c r="C77" s="11" t="s">
        <v>22</v>
      </c>
      <c r="D77" s="11">
        <v>1.4999999999999999E-4</v>
      </c>
      <c r="E77" s="11" t="s">
        <v>5</v>
      </c>
      <c r="F77" s="11" t="s">
        <v>24</v>
      </c>
      <c r="G77" s="11" t="s">
        <v>25</v>
      </c>
      <c r="J77" s="11" t="s">
        <v>116</v>
      </c>
    </row>
    <row r="78" spans="1:14" x14ac:dyDescent="0.25">
      <c r="A78" s="11" t="s">
        <v>214</v>
      </c>
      <c r="B78" s="11" t="s">
        <v>215</v>
      </c>
      <c r="C78" s="11" t="s">
        <v>22</v>
      </c>
      <c r="D78" s="11">
        <v>1.1E-4</v>
      </c>
      <c r="E78" s="11" t="s">
        <v>5</v>
      </c>
      <c r="F78" s="11" t="s">
        <v>24</v>
      </c>
      <c r="G78" s="11" t="s">
        <v>25</v>
      </c>
      <c r="J78" s="11" t="s">
        <v>116</v>
      </c>
    </row>
    <row r="79" spans="1:14" x14ac:dyDescent="0.25">
      <c r="A79" s="11" t="s">
        <v>34</v>
      </c>
      <c r="B79" s="11" t="s">
        <v>35</v>
      </c>
      <c r="C79" s="11" t="s">
        <v>22</v>
      </c>
      <c r="D79" s="11">
        <v>3.0000000000000001E-3</v>
      </c>
      <c r="E79" s="11" t="s">
        <v>5</v>
      </c>
      <c r="F79" s="11" t="s">
        <v>24</v>
      </c>
      <c r="G79" s="11" t="s">
        <v>25</v>
      </c>
      <c r="J79" s="11" t="s">
        <v>116</v>
      </c>
    </row>
    <row r="80" spans="1:14" x14ac:dyDescent="0.25">
      <c r="A80" s="11" t="s">
        <v>218</v>
      </c>
      <c r="B80" s="11" t="s">
        <v>219</v>
      </c>
      <c r="C80" s="11" t="s">
        <v>22</v>
      </c>
      <c r="D80" s="11">
        <v>1E-4</v>
      </c>
      <c r="E80" s="11" t="s">
        <v>5</v>
      </c>
      <c r="F80" s="11" t="s">
        <v>24</v>
      </c>
      <c r="G80" s="11" t="s">
        <v>25</v>
      </c>
      <c r="J80" s="11" t="s">
        <v>116</v>
      </c>
    </row>
    <row r="81" spans="1:10" x14ac:dyDescent="0.25">
      <c r="A81" s="11" t="s">
        <v>26</v>
      </c>
      <c r="B81" s="11" t="s">
        <v>27</v>
      </c>
      <c r="C81" s="11" t="s">
        <v>54</v>
      </c>
      <c r="D81" s="11">
        <v>0.41099999999999998</v>
      </c>
      <c r="E81" s="11" t="s">
        <v>28</v>
      </c>
      <c r="F81" s="11" t="s">
        <v>24</v>
      </c>
      <c r="G81" s="11" t="s">
        <v>25</v>
      </c>
      <c r="J81" s="11" t="s">
        <v>116</v>
      </c>
    </row>
    <row r="82" spans="1:10" x14ac:dyDescent="0.25">
      <c r="A82" s="11" t="s">
        <v>57</v>
      </c>
      <c r="B82" s="11" t="s">
        <v>58</v>
      </c>
      <c r="C82" s="11" t="s">
        <v>54</v>
      </c>
      <c r="D82" s="11">
        <v>1.0499999999999999E-3</v>
      </c>
      <c r="E82" s="11" t="s">
        <v>49</v>
      </c>
      <c r="F82" s="11" t="s">
        <v>24</v>
      </c>
      <c r="G82" s="11" t="s">
        <v>25</v>
      </c>
      <c r="J82" s="11" t="s">
        <v>116</v>
      </c>
    </row>
    <row r="83" spans="1:10" x14ac:dyDescent="0.25">
      <c r="A83" s="11" t="s">
        <v>83</v>
      </c>
      <c r="D83" s="11">
        <v>2.1900000000000001E-3</v>
      </c>
      <c r="E83" s="11" t="s">
        <v>5</v>
      </c>
      <c r="F83" s="11" t="s">
        <v>42</v>
      </c>
      <c r="G83" s="11" t="s">
        <v>43</v>
      </c>
      <c r="H83" s="11" t="s">
        <v>63</v>
      </c>
      <c r="J83" s="11" t="s">
        <v>82</v>
      </c>
    </row>
    <row r="84" spans="1:10" x14ac:dyDescent="0.25">
      <c r="A84" s="11" t="s">
        <v>84</v>
      </c>
      <c r="D84" s="11">
        <v>1.17E-6</v>
      </c>
      <c r="E84" s="11" t="s">
        <v>5</v>
      </c>
      <c r="F84" s="11" t="s">
        <v>42</v>
      </c>
      <c r="G84" s="11" t="s">
        <v>43</v>
      </c>
      <c r="H84" s="11" t="s">
        <v>63</v>
      </c>
      <c r="J84" s="11" t="s">
        <v>82</v>
      </c>
    </row>
    <row r="85" spans="1:10" x14ac:dyDescent="0.25">
      <c r="A85" s="11" t="s">
        <v>62</v>
      </c>
      <c r="D85" s="11">
        <v>1.1000000000000001E-7</v>
      </c>
      <c r="E85" s="11" t="s">
        <v>5</v>
      </c>
      <c r="F85" s="11" t="s">
        <v>42</v>
      </c>
      <c r="G85" s="11" t="s">
        <v>43</v>
      </c>
      <c r="H85" s="11" t="s">
        <v>63</v>
      </c>
      <c r="J85" s="11" t="s">
        <v>82</v>
      </c>
    </row>
    <row r="86" spans="1:10" x14ac:dyDescent="0.25">
      <c r="A86" s="11" t="s">
        <v>73</v>
      </c>
      <c r="D86" s="11">
        <v>6.6000000000000003E-7</v>
      </c>
      <c r="E86" s="11" t="s">
        <v>5</v>
      </c>
      <c r="F86" s="11" t="s">
        <v>42</v>
      </c>
      <c r="G86" s="11" t="s">
        <v>43</v>
      </c>
      <c r="H86" s="11" t="s">
        <v>63</v>
      </c>
      <c r="J86" s="11" t="s">
        <v>82</v>
      </c>
    </row>
    <row r="87" spans="1:10" x14ac:dyDescent="0.25">
      <c r="A87" s="11" t="s">
        <v>87</v>
      </c>
      <c r="D87" s="11">
        <v>4.0000000000000001E-8</v>
      </c>
      <c r="E87" s="11" t="s">
        <v>5</v>
      </c>
      <c r="F87" s="11" t="s">
        <v>42</v>
      </c>
      <c r="G87" s="11" t="s">
        <v>43</v>
      </c>
      <c r="H87" s="11" t="s">
        <v>63</v>
      </c>
      <c r="J87" s="11" t="s">
        <v>82</v>
      </c>
    </row>
    <row r="88" spans="1:10" x14ac:dyDescent="0.25">
      <c r="A88" s="11" t="s">
        <v>64</v>
      </c>
      <c r="D88" s="11">
        <v>2.4999999999999999E-7</v>
      </c>
      <c r="E88" s="11" t="s">
        <v>5</v>
      </c>
      <c r="F88" s="11" t="s">
        <v>42</v>
      </c>
      <c r="G88" s="11" t="s">
        <v>43</v>
      </c>
      <c r="H88" s="11" t="s">
        <v>63</v>
      </c>
      <c r="J88" s="11" t="s">
        <v>207</v>
      </c>
    </row>
    <row r="89" spans="1:10" x14ac:dyDescent="0.25">
      <c r="A89" s="11" t="s">
        <v>106</v>
      </c>
      <c r="D89" s="11">
        <v>9.4299999999999988E-5</v>
      </c>
      <c r="E89" s="11" t="s">
        <v>5</v>
      </c>
      <c r="F89" s="11" t="s">
        <v>42</v>
      </c>
      <c r="G89" s="11" t="s">
        <v>43</v>
      </c>
      <c r="H89" s="11" t="s">
        <v>63</v>
      </c>
      <c r="J89" s="11" t="s">
        <v>207</v>
      </c>
    </row>
    <row r="90" spans="1:10" x14ac:dyDescent="0.25">
      <c r="A90" s="11" t="s">
        <v>220</v>
      </c>
      <c r="D90" s="11">
        <v>5.0000000000000001E-3</v>
      </c>
      <c r="E90" s="11" t="s">
        <v>5</v>
      </c>
      <c r="F90" s="11" t="s">
        <v>42</v>
      </c>
      <c r="G90" s="11" t="s">
        <v>43</v>
      </c>
      <c r="H90" s="11" t="s">
        <v>63</v>
      </c>
      <c r="J90" s="11" t="s">
        <v>207</v>
      </c>
    </row>
    <row r="91" spans="1:10" s="8" customFormat="1" x14ac:dyDescent="0.25"/>
    <row r="92" spans="1:10" x14ac:dyDescent="0.25">
      <c r="A92" s="10" t="s">
        <v>0</v>
      </c>
      <c r="B92" s="10" t="s">
        <v>221</v>
      </c>
    </row>
    <row r="93" spans="1:10" x14ac:dyDescent="0.25">
      <c r="A93" s="12" t="s">
        <v>1</v>
      </c>
      <c r="B93" s="11" t="s">
        <v>222</v>
      </c>
    </row>
    <row r="94" spans="1:10" x14ac:dyDescent="0.25">
      <c r="A94" s="12" t="s">
        <v>2</v>
      </c>
      <c r="B94" s="11" t="s">
        <v>54</v>
      </c>
    </row>
    <row r="95" spans="1:10" x14ac:dyDescent="0.25">
      <c r="A95" s="12" t="s">
        <v>3</v>
      </c>
      <c r="B95" s="13">
        <v>1</v>
      </c>
    </row>
    <row r="96" spans="1:10" x14ac:dyDescent="0.25">
      <c r="A96" s="12" t="s">
        <v>4</v>
      </c>
      <c r="B96" s="11" t="s">
        <v>5</v>
      </c>
    </row>
    <row r="97" spans="1:14" x14ac:dyDescent="0.25">
      <c r="A97" s="12" t="s">
        <v>6</v>
      </c>
      <c r="B97" s="11" t="s">
        <v>7</v>
      </c>
    </row>
    <row r="98" spans="1:14" x14ac:dyDescent="0.25">
      <c r="A98" s="12" t="s">
        <v>8</v>
      </c>
    </row>
    <row r="99" spans="1:14" x14ac:dyDescent="0.25">
      <c r="A99" s="10" t="s">
        <v>9</v>
      </c>
      <c r="B99" s="10" t="s">
        <v>1</v>
      </c>
      <c r="C99" s="10" t="s">
        <v>2</v>
      </c>
      <c r="D99" s="10" t="s">
        <v>3</v>
      </c>
      <c r="E99" s="10" t="s">
        <v>4</v>
      </c>
      <c r="F99" s="10" t="s">
        <v>10</v>
      </c>
      <c r="G99" s="10" t="s">
        <v>11</v>
      </c>
      <c r="H99" s="10" t="s">
        <v>12</v>
      </c>
      <c r="I99" s="10" t="s">
        <v>13</v>
      </c>
      <c r="J99" s="10" t="s">
        <v>14</v>
      </c>
      <c r="K99" s="10" t="s">
        <v>15</v>
      </c>
      <c r="L99" s="10" t="s">
        <v>16</v>
      </c>
      <c r="M99" s="10" t="s">
        <v>17</v>
      </c>
      <c r="N99" s="10" t="s">
        <v>18</v>
      </c>
    </row>
    <row r="100" spans="1:14" x14ac:dyDescent="0.25">
      <c r="A100" s="11" t="str">
        <f>B92</f>
        <v>Calcining</v>
      </c>
      <c r="B100" s="11" t="str">
        <f>B93</f>
        <v>Calcined coke</v>
      </c>
      <c r="C100" s="11" t="str">
        <f>B94</f>
        <v>CN</v>
      </c>
      <c r="D100" s="13">
        <v>1</v>
      </c>
      <c r="E100" s="11" t="s">
        <v>5</v>
      </c>
      <c r="F100" s="14" t="str">
        <f>F75</f>
        <v>Aluminium</v>
      </c>
      <c r="G100" s="11" t="s">
        <v>19</v>
      </c>
    </row>
    <row r="101" spans="1:14" x14ac:dyDescent="0.25">
      <c r="A101" s="11" t="s">
        <v>135</v>
      </c>
      <c r="B101" s="11" t="s">
        <v>136</v>
      </c>
      <c r="C101" s="11" t="s">
        <v>22</v>
      </c>
      <c r="D101" s="11">
        <v>1.33</v>
      </c>
      <c r="E101" s="11" t="s">
        <v>5</v>
      </c>
      <c r="F101" s="11" t="s">
        <v>24</v>
      </c>
      <c r="G101" s="11" t="s">
        <v>25</v>
      </c>
      <c r="J101" s="11" t="s">
        <v>223</v>
      </c>
    </row>
    <row r="102" spans="1:14" x14ac:dyDescent="0.25">
      <c r="A102" s="11" t="s">
        <v>26</v>
      </c>
      <c r="B102" s="11" t="s">
        <v>27</v>
      </c>
      <c r="C102" s="11" t="s">
        <v>54</v>
      </c>
      <c r="D102" s="11">
        <v>6.3299999999999997E-3</v>
      </c>
      <c r="E102" s="11" t="s">
        <v>28</v>
      </c>
      <c r="F102" s="11" t="s">
        <v>24</v>
      </c>
      <c r="G102" s="11" t="s">
        <v>25</v>
      </c>
      <c r="J102" s="11" t="s">
        <v>223</v>
      </c>
    </row>
    <row r="103" spans="1:14" x14ac:dyDescent="0.25">
      <c r="A103" s="11" t="s">
        <v>36</v>
      </c>
      <c r="B103" s="11" t="s">
        <v>37</v>
      </c>
      <c r="C103" s="11" t="s">
        <v>29</v>
      </c>
      <c r="D103" s="11">
        <v>-3.0599999999999998E-3</v>
      </c>
      <c r="E103" s="11" t="s">
        <v>5</v>
      </c>
      <c r="F103" s="11" t="s">
        <v>24</v>
      </c>
      <c r="G103" s="11" t="s">
        <v>25</v>
      </c>
      <c r="J103" s="11" t="s">
        <v>223</v>
      </c>
    </row>
    <row r="104" spans="1:14" x14ac:dyDescent="0.25">
      <c r="A104" s="11" t="s">
        <v>48</v>
      </c>
      <c r="D104" s="11">
        <v>2.8E-3</v>
      </c>
      <c r="E104" s="11" t="s">
        <v>49</v>
      </c>
      <c r="F104" s="11" t="s">
        <v>42</v>
      </c>
      <c r="G104" s="11" t="s">
        <v>43</v>
      </c>
      <c r="H104" s="11" t="s">
        <v>47</v>
      </c>
      <c r="J104" s="11" t="s">
        <v>223</v>
      </c>
    </row>
    <row r="105" spans="1:14" x14ac:dyDescent="0.25">
      <c r="A105" s="11" t="s">
        <v>83</v>
      </c>
      <c r="D105" s="11">
        <v>4.5499999999999999E-2</v>
      </c>
      <c r="E105" s="11" t="s">
        <v>5</v>
      </c>
      <c r="F105" s="11" t="s">
        <v>42</v>
      </c>
      <c r="G105" s="11" t="s">
        <v>43</v>
      </c>
      <c r="H105" s="11" t="s">
        <v>63</v>
      </c>
      <c r="J105" s="11" t="s">
        <v>82</v>
      </c>
    </row>
    <row r="106" spans="1:14" x14ac:dyDescent="0.25">
      <c r="A106" s="11" t="s">
        <v>84</v>
      </c>
      <c r="D106" s="11">
        <v>1.5299999999999999E-5</v>
      </c>
      <c r="E106" s="11" t="s">
        <v>5</v>
      </c>
      <c r="F106" s="11" t="s">
        <v>42</v>
      </c>
      <c r="G106" s="11" t="s">
        <v>43</v>
      </c>
      <c r="H106" s="11" t="s">
        <v>63</v>
      </c>
      <c r="J106" s="11" t="s">
        <v>82</v>
      </c>
    </row>
    <row r="107" spans="1:14" x14ac:dyDescent="0.25">
      <c r="A107" s="11" t="s">
        <v>62</v>
      </c>
      <c r="D107" s="11">
        <v>5.1000000000000004E-4</v>
      </c>
      <c r="E107" s="11" t="s">
        <v>5</v>
      </c>
      <c r="F107" s="11" t="s">
        <v>42</v>
      </c>
      <c r="G107" s="11" t="s">
        <v>43</v>
      </c>
      <c r="H107" s="11" t="s">
        <v>63</v>
      </c>
      <c r="J107" s="11" t="s">
        <v>82</v>
      </c>
    </row>
    <row r="108" spans="1:14" x14ac:dyDescent="0.25">
      <c r="A108" s="11" t="s">
        <v>73</v>
      </c>
      <c r="D108" s="11">
        <v>2.3499999999999999E-5</v>
      </c>
      <c r="E108" s="11" t="s">
        <v>5</v>
      </c>
      <c r="F108" s="11" t="s">
        <v>42</v>
      </c>
      <c r="G108" s="11" t="s">
        <v>43</v>
      </c>
      <c r="H108" s="11" t="s">
        <v>63</v>
      </c>
      <c r="J108" s="11" t="s">
        <v>82</v>
      </c>
    </row>
    <row r="109" spans="1:14" x14ac:dyDescent="0.25">
      <c r="A109" s="11" t="s">
        <v>87</v>
      </c>
      <c r="D109" s="11">
        <v>4.9999999999999998E-8</v>
      </c>
      <c r="E109" s="11" t="s">
        <v>5</v>
      </c>
      <c r="F109" s="11" t="s">
        <v>42</v>
      </c>
      <c r="G109" s="11" t="s">
        <v>43</v>
      </c>
      <c r="H109" s="11" t="s">
        <v>63</v>
      </c>
      <c r="J109" s="11" t="s">
        <v>82</v>
      </c>
    </row>
    <row r="110" spans="1:14" x14ac:dyDescent="0.25">
      <c r="A110" s="11" t="s">
        <v>64</v>
      </c>
      <c r="D110" s="11">
        <v>2.2200000000000002E-3</v>
      </c>
      <c r="E110" s="11" t="s">
        <v>5</v>
      </c>
      <c r="F110" s="11" t="s">
        <v>42</v>
      </c>
      <c r="G110" s="11" t="s">
        <v>43</v>
      </c>
      <c r="H110" s="11" t="s">
        <v>63</v>
      </c>
      <c r="J110" s="11" t="s">
        <v>223</v>
      </c>
    </row>
    <row r="111" spans="1:14" x14ac:dyDescent="0.25">
      <c r="A111" s="11" t="s">
        <v>95</v>
      </c>
      <c r="D111" s="11">
        <v>2.7E-4</v>
      </c>
      <c r="E111" s="11" t="s">
        <v>5</v>
      </c>
      <c r="F111" s="11" t="s">
        <v>42</v>
      </c>
      <c r="G111" s="11" t="s">
        <v>43</v>
      </c>
      <c r="H111" s="11" t="s">
        <v>96</v>
      </c>
      <c r="J111" s="11" t="s">
        <v>223</v>
      </c>
    </row>
    <row r="112" spans="1:14" s="8" customFormat="1" x14ac:dyDescent="0.25"/>
    <row r="113" spans="1:14" x14ac:dyDescent="0.25">
      <c r="A113" s="10" t="s">
        <v>0</v>
      </c>
      <c r="B113" s="10" t="s">
        <v>224</v>
      </c>
    </row>
    <row r="114" spans="1:14" x14ac:dyDescent="0.25">
      <c r="A114" s="12" t="s">
        <v>1</v>
      </c>
      <c r="B114" s="11" t="s">
        <v>225</v>
      </c>
    </row>
    <row r="115" spans="1:14" x14ac:dyDescent="0.25">
      <c r="A115" s="12" t="s">
        <v>2</v>
      </c>
      <c r="B115" s="11" t="s">
        <v>54</v>
      </c>
    </row>
    <row r="116" spans="1:14" x14ac:dyDescent="0.25">
      <c r="A116" s="12" t="s">
        <v>3</v>
      </c>
      <c r="B116" s="13">
        <v>1</v>
      </c>
    </row>
    <row r="117" spans="1:14" x14ac:dyDescent="0.25">
      <c r="A117" s="12" t="s">
        <v>4</v>
      </c>
      <c r="B117" s="11" t="s">
        <v>5</v>
      </c>
    </row>
    <row r="118" spans="1:14" x14ac:dyDescent="0.25">
      <c r="A118" s="12" t="s">
        <v>6</v>
      </c>
      <c r="B118" s="11" t="s">
        <v>7</v>
      </c>
    </row>
    <row r="119" spans="1:14" x14ac:dyDescent="0.25">
      <c r="A119" s="12" t="s">
        <v>8</v>
      </c>
    </row>
    <row r="120" spans="1:14" x14ac:dyDescent="0.25">
      <c r="A120" s="10" t="s">
        <v>9</v>
      </c>
      <c r="B120" s="10" t="s">
        <v>1</v>
      </c>
      <c r="C120" s="10" t="s">
        <v>2</v>
      </c>
      <c r="D120" s="10" t="s">
        <v>3</v>
      </c>
      <c r="E120" s="10" t="s">
        <v>4</v>
      </c>
      <c r="F120" s="10" t="s">
        <v>10</v>
      </c>
      <c r="G120" s="10" t="s">
        <v>11</v>
      </c>
      <c r="H120" s="10" t="s">
        <v>12</v>
      </c>
      <c r="I120" s="10" t="s">
        <v>13</v>
      </c>
      <c r="J120" s="10" t="s">
        <v>14</v>
      </c>
      <c r="K120" s="10" t="s">
        <v>15</v>
      </c>
      <c r="L120" s="10" t="s">
        <v>16</v>
      </c>
      <c r="M120" s="10" t="s">
        <v>17</v>
      </c>
      <c r="N120" s="10" t="s">
        <v>18</v>
      </c>
    </row>
    <row r="121" spans="1:14" x14ac:dyDescent="0.25">
      <c r="A121" s="11" t="str">
        <f>B113</f>
        <v>Roasting</v>
      </c>
      <c r="B121" s="11" t="str">
        <f>B114</f>
        <v>Green-pressing</v>
      </c>
      <c r="C121" s="11" t="str">
        <f>B115</f>
        <v>CN</v>
      </c>
      <c r="D121" s="13">
        <v>1</v>
      </c>
      <c r="E121" s="11" t="s">
        <v>5</v>
      </c>
      <c r="F121" s="14" t="str">
        <f>F100</f>
        <v>Aluminium</v>
      </c>
      <c r="G121" s="11" t="s">
        <v>19</v>
      </c>
    </row>
    <row r="122" spans="1:14" x14ac:dyDescent="0.25">
      <c r="A122" s="11" t="str">
        <f>A100</f>
        <v>Calcining</v>
      </c>
      <c r="B122" s="11" t="str">
        <f t="shared" ref="B122:C122" si="1">B100</f>
        <v>Calcined coke</v>
      </c>
      <c r="C122" s="11" t="str">
        <f t="shared" si="1"/>
        <v>CN</v>
      </c>
      <c r="D122" s="13">
        <v>0.75</v>
      </c>
      <c r="E122" s="11" t="str">
        <f>E100</f>
        <v>kilogram</v>
      </c>
      <c r="F122" s="14" t="str">
        <f>F100</f>
        <v>Aluminium</v>
      </c>
      <c r="G122" s="11" t="s">
        <v>25</v>
      </c>
      <c r="J122" s="11" t="s">
        <v>223</v>
      </c>
    </row>
    <row r="123" spans="1:14" x14ac:dyDescent="0.25">
      <c r="A123" s="11" t="s">
        <v>226</v>
      </c>
      <c r="B123" s="11" t="s">
        <v>227</v>
      </c>
      <c r="C123" s="11" t="s">
        <v>22</v>
      </c>
      <c r="D123" s="11">
        <v>0.15</v>
      </c>
      <c r="E123" s="11" t="s">
        <v>5</v>
      </c>
      <c r="F123" s="11" t="s">
        <v>24</v>
      </c>
      <c r="G123" s="11" t="s">
        <v>25</v>
      </c>
      <c r="J123" s="11" t="s">
        <v>223</v>
      </c>
    </row>
    <row r="124" spans="1:14" x14ac:dyDescent="0.25">
      <c r="A124" s="11" t="s">
        <v>176</v>
      </c>
      <c r="B124" s="11" t="s">
        <v>177</v>
      </c>
      <c r="C124" s="11" t="s">
        <v>29</v>
      </c>
      <c r="D124" s="11">
        <v>0.23</v>
      </c>
      <c r="E124" s="11" t="s">
        <v>5</v>
      </c>
      <c r="F124" s="11" t="s">
        <v>24</v>
      </c>
      <c r="G124" s="11" t="s">
        <v>25</v>
      </c>
      <c r="J124" s="11" t="s">
        <v>223</v>
      </c>
    </row>
    <row r="125" spans="1:14" x14ac:dyDescent="0.25">
      <c r="A125" s="11" t="s">
        <v>26</v>
      </c>
      <c r="B125" s="11" t="s">
        <v>27</v>
      </c>
      <c r="C125" s="11" t="s">
        <v>54</v>
      </c>
      <c r="D125" s="11">
        <v>7.3599999999999999E-2</v>
      </c>
      <c r="E125" s="11" t="s">
        <v>28</v>
      </c>
      <c r="F125" s="11" t="s">
        <v>24</v>
      </c>
      <c r="G125" s="11" t="s">
        <v>25</v>
      </c>
      <c r="J125" s="11" t="s">
        <v>223</v>
      </c>
    </row>
    <row r="126" spans="1:14" x14ac:dyDescent="0.25">
      <c r="A126" s="11" t="s">
        <v>36</v>
      </c>
      <c r="B126" s="11" t="s">
        <v>37</v>
      </c>
      <c r="C126" s="11" t="s">
        <v>29</v>
      </c>
      <c r="D126" s="11">
        <v>-1.67E-2</v>
      </c>
      <c r="E126" s="11" t="s">
        <v>5</v>
      </c>
      <c r="F126" s="11" t="s">
        <v>24</v>
      </c>
      <c r="G126" s="11" t="s">
        <v>25</v>
      </c>
      <c r="J126" s="11" t="s">
        <v>223</v>
      </c>
    </row>
    <row r="127" spans="1:14" x14ac:dyDescent="0.25">
      <c r="A127" s="11" t="s">
        <v>48</v>
      </c>
      <c r="D127" s="11">
        <v>5.0800000000000003E-3</v>
      </c>
      <c r="E127" s="11" t="s">
        <v>49</v>
      </c>
      <c r="F127" s="11" t="s">
        <v>42</v>
      </c>
      <c r="G127" s="11" t="s">
        <v>43</v>
      </c>
      <c r="H127" s="11" t="s">
        <v>47</v>
      </c>
      <c r="J127" s="11" t="s">
        <v>223</v>
      </c>
    </row>
    <row r="128" spans="1:14" x14ac:dyDescent="0.25">
      <c r="A128" s="11" t="s">
        <v>83</v>
      </c>
      <c r="D128" s="11">
        <v>9.1200000000000003E-2</v>
      </c>
      <c r="E128" s="11" t="s">
        <v>5</v>
      </c>
      <c r="F128" s="11" t="s">
        <v>42</v>
      </c>
      <c r="G128" s="11" t="s">
        <v>43</v>
      </c>
      <c r="H128" s="11" t="s">
        <v>63</v>
      </c>
      <c r="J128" s="11" t="s">
        <v>82</v>
      </c>
    </row>
    <row r="129" spans="1:14" x14ac:dyDescent="0.25">
      <c r="A129" s="11" t="s">
        <v>84</v>
      </c>
      <c r="D129" s="11">
        <v>1.66E-3</v>
      </c>
      <c r="E129" s="11" t="s">
        <v>5</v>
      </c>
      <c r="F129" s="11" t="s">
        <v>42</v>
      </c>
      <c r="G129" s="11" t="s">
        <v>43</v>
      </c>
      <c r="H129" s="11" t="s">
        <v>63</v>
      </c>
      <c r="J129" s="11" t="s">
        <v>82</v>
      </c>
    </row>
    <row r="130" spans="1:14" x14ac:dyDescent="0.25">
      <c r="A130" s="11" t="s">
        <v>62</v>
      </c>
      <c r="D130" s="11">
        <v>5.2000000000000006E-4</v>
      </c>
      <c r="E130" s="11" t="s">
        <v>5</v>
      </c>
      <c r="F130" s="11" t="s">
        <v>42</v>
      </c>
      <c r="G130" s="11" t="s">
        <v>43</v>
      </c>
      <c r="H130" s="11" t="s">
        <v>63</v>
      </c>
      <c r="J130" s="11" t="s">
        <v>82</v>
      </c>
    </row>
    <row r="131" spans="1:14" x14ac:dyDescent="0.25">
      <c r="A131" s="11" t="s">
        <v>73</v>
      </c>
      <c r="D131" s="11">
        <v>2.7999999999999998E-4</v>
      </c>
      <c r="E131" s="11" t="s">
        <v>5</v>
      </c>
      <c r="F131" s="11" t="s">
        <v>42</v>
      </c>
      <c r="G131" s="11" t="s">
        <v>43</v>
      </c>
      <c r="H131" s="11" t="s">
        <v>63</v>
      </c>
      <c r="J131" s="11" t="s">
        <v>82</v>
      </c>
    </row>
    <row r="132" spans="1:14" x14ac:dyDescent="0.25">
      <c r="A132" s="11" t="s">
        <v>87</v>
      </c>
      <c r="D132" s="11">
        <v>4.9999999999999998E-7</v>
      </c>
      <c r="E132" s="11" t="s">
        <v>5</v>
      </c>
      <c r="F132" s="11" t="s">
        <v>42</v>
      </c>
      <c r="G132" s="11" t="s">
        <v>43</v>
      </c>
      <c r="H132" s="11" t="s">
        <v>63</v>
      </c>
      <c r="J132" s="11" t="s">
        <v>82</v>
      </c>
    </row>
    <row r="133" spans="1:14" x14ac:dyDescent="0.25">
      <c r="A133" s="11" t="s">
        <v>64</v>
      </c>
      <c r="D133" s="11">
        <v>1.98E-3</v>
      </c>
      <c r="E133" s="11" t="s">
        <v>5</v>
      </c>
      <c r="F133" s="11" t="s">
        <v>42</v>
      </c>
      <c r="G133" s="11" t="s">
        <v>43</v>
      </c>
      <c r="H133" s="11" t="s">
        <v>63</v>
      </c>
      <c r="J133" s="11" t="s">
        <v>223</v>
      </c>
    </row>
    <row r="134" spans="1:14" x14ac:dyDescent="0.25">
      <c r="A134" s="11" t="s">
        <v>95</v>
      </c>
      <c r="D134" s="11">
        <v>7.0999999999999991E-4</v>
      </c>
      <c r="E134" s="11" t="s">
        <v>5</v>
      </c>
      <c r="F134" s="11" t="s">
        <v>42</v>
      </c>
      <c r="G134" s="11" t="s">
        <v>43</v>
      </c>
      <c r="H134" s="11" t="s">
        <v>96</v>
      </c>
      <c r="J134" s="11" t="s">
        <v>223</v>
      </c>
    </row>
    <row r="135" spans="1:14" s="8" customFormat="1" x14ac:dyDescent="0.25"/>
    <row r="136" spans="1:14" x14ac:dyDescent="0.25">
      <c r="A136" s="10" t="s">
        <v>0</v>
      </c>
      <c r="B136" s="10" t="s">
        <v>228</v>
      </c>
    </row>
    <row r="137" spans="1:14" x14ac:dyDescent="0.25">
      <c r="A137" s="12" t="s">
        <v>1</v>
      </c>
      <c r="B137" s="11" t="s">
        <v>229</v>
      </c>
    </row>
    <row r="138" spans="1:14" x14ac:dyDescent="0.25">
      <c r="A138" s="12" t="s">
        <v>2</v>
      </c>
      <c r="B138" s="11" t="s">
        <v>54</v>
      </c>
    </row>
    <row r="139" spans="1:14" x14ac:dyDescent="0.25">
      <c r="A139" s="12" t="s">
        <v>3</v>
      </c>
      <c r="B139" s="13">
        <v>1</v>
      </c>
    </row>
    <row r="140" spans="1:14" x14ac:dyDescent="0.25">
      <c r="A140" s="12" t="s">
        <v>4</v>
      </c>
      <c r="B140" s="11" t="s">
        <v>5</v>
      </c>
    </row>
    <row r="141" spans="1:14" x14ac:dyDescent="0.25">
      <c r="A141" s="12" t="s">
        <v>6</v>
      </c>
      <c r="B141" s="11" t="s">
        <v>7</v>
      </c>
    </row>
    <row r="142" spans="1:14" x14ac:dyDescent="0.25">
      <c r="A142" s="12" t="s">
        <v>8</v>
      </c>
    </row>
    <row r="143" spans="1:14" x14ac:dyDescent="0.25">
      <c r="A143" s="10" t="s">
        <v>9</v>
      </c>
      <c r="B143" s="10" t="s">
        <v>1</v>
      </c>
      <c r="C143" s="10" t="s">
        <v>2</v>
      </c>
      <c r="D143" s="10" t="s">
        <v>3</v>
      </c>
      <c r="E143" s="10" t="s">
        <v>4</v>
      </c>
      <c r="F143" s="10" t="s">
        <v>10</v>
      </c>
      <c r="G143" s="10" t="s">
        <v>11</v>
      </c>
      <c r="H143" s="10" t="s">
        <v>12</v>
      </c>
      <c r="I143" s="10" t="s">
        <v>13</v>
      </c>
      <c r="J143" s="10" t="s">
        <v>14</v>
      </c>
      <c r="K143" s="10" t="s">
        <v>15</v>
      </c>
      <c r="L143" s="10" t="s">
        <v>16</v>
      </c>
      <c r="M143" s="10" t="s">
        <v>17</v>
      </c>
      <c r="N143" s="10" t="s">
        <v>18</v>
      </c>
    </row>
    <row r="144" spans="1:14" x14ac:dyDescent="0.25">
      <c r="A144" s="11" t="str">
        <f>B136</f>
        <v>Anode fabrication</v>
      </c>
      <c r="B144" s="11" t="str">
        <f>B137</f>
        <v>Carbon anode</v>
      </c>
      <c r="C144" s="11" t="str">
        <f>B138</f>
        <v>CN</v>
      </c>
      <c r="D144" s="13">
        <v>1</v>
      </c>
      <c r="E144" s="11" t="s">
        <v>5</v>
      </c>
      <c r="F144" s="14" t="str">
        <f>F121</f>
        <v>Aluminium</v>
      </c>
      <c r="G144" s="11" t="s">
        <v>19</v>
      </c>
    </row>
    <row r="145" spans="1:10" x14ac:dyDescent="0.25">
      <c r="A145" s="11" t="str">
        <f>A121</f>
        <v>Roasting</v>
      </c>
      <c r="B145" s="11" t="str">
        <f t="shared" ref="B145:F145" si="2">B121</f>
        <v>Green-pressing</v>
      </c>
      <c r="C145" s="11" t="str">
        <f t="shared" si="2"/>
        <v>CN</v>
      </c>
      <c r="D145" s="13">
        <v>1.1399999999999999</v>
      </c>
      <c r="E145" s="11" t="str">
        <f t="shared" si="2"/>
        <v>kilogram</v>
      </c>
      <c r="F145" s="14" t="str">
        <f t="shared" si="2"/>
        <v>Aluminium</v>
      </c>
      <c r="G145" s="11" t="s">
        <v>25</v>
      </c>
      <c r="J145" s="11" t="s">
        <v>223</v>
      </c>
    </row>
    <row r="146" spans="1:10" x14ac:dyDescent="0.25">
      <c r="A146" s="11" t="s">
        <v>85</v>
      </c>
      <c r="B146" s="11" t="s">
        <v>86</v>
      </c>
      <c r="C146" s="11" t="s">
        <v>54</v>
      </c>
      <c r="D146" s="11">
        <v>2.0019999999999998</v>
      </c>
      <c r="E146" s="11" t="s">
        <v>23</v>
      </c>
      <c r="F146" s="11" t="s">
        <v>24</v>
      </c>
      <c r="G146" s="11" t="s">
        <v>25</v>
      </c>
      <c r="J146" s="11" t="s">
        <v>223</v>
      </c>
    </row>
    <row r="147" spans="1:10" x14ac:dyDescent="0.25">
      <c r="A147" s="11" t="s">
        <v>57</v>
      </c>
      <c r="B147" s="11" t="s">
        <v>58</v>
      </c>
      <c r="C147" s="11" t="s">
        <v>54</v>
      </c>
      <c r="D147" s="11">
        <v>7.9299999999999995E-2</v>
      </c>
      <c r="E147" s="11" t="s">
        <v>49</v>
      </c>
      <c r="F147" s="11" t="s">
        <v>24</v>
      </c>
      <c r="G147" s="11" t="s">
        <v>25</v>
      </c>
      <c r="J147" s="11" t="s">
        <v>223</v>
      </c>
    </row>
    <row r="148" spans="1:10" x14ac:dyDescent="0.25">
      <c r="A148" s="11" t="s">
        <v>26</v>
      </c>
      <c r="B148" s="11" t="s">
        <v>27</v>
      </c>
      <c r="C148" s="11" t="s">
        <v>54</v>
      </c>
      <c r="D148" s="11">
        <v>0.105</v>
      </c>
      <c r="E148" s="11" t="s">
        <v>28</v>
      </c>
      <c r="F148" s="11" t="s">
        <v>24</v>
      </c>
      <c r="G148" s="11" t="s">
        <v>25</v>
      </c>
      <c r="J148" s="11" t="s">
        <v>223</v>
      </c>
    </row>
    <row r="149" spans="1:10" x14ac:dyDescent="0.25">
      <c r="A149" s="11" t="s">
        <v>36</v>
      </c>
      <c r="B149" s="11" t="s">
        <v>37</v>
      </c>
      <c r="C149" s="11" t="s">
        <v>29</v>
      </c>
      <c r="D149" s="11">
        <v>-7.0000000000000007E-2</v>
      </c>
      <c r="E149" s="11" t="s">
        <v>5</v>
      </c>
      <c r="F149" s="11" t="s">
        <v>24</v>
      </c>
      <c r="G149" s="11" t="s">
        <v>25</v>
      </c>
      <c r="J149" s="11" t="s">
        <v>223</v>
      </c>
    </row>
    <row r="150" spans="1:10" x14ac:dyDescent="0.25">
      <c r="A150" s="11" t="s">
        <v>48</v>
      </c>
      <c r="D150" s="11">
        <v>5.1500000000000001E-3</v>
      </c>
      <c r="E150" s="11" t="s">
        <v>49</v>
      </c>
      <c r="F150" s="11" t="s">
        <v>42</v>
      </c>
      <c r="G150" s="11" t="s">
        <v>43</v>
      </c>
      <c r="H150" s="11" t="s">
        <v>47</v>
      </c>
      <c r="J150" s="11" t="s">
        <v>223</v>
      </c>
    </row>
    <row r="151" spans="1:10" x14ac:dyDescent="0.25">
      <c r="A151" s="11" t="s">
        <v>83</v>
      </c>
      <c r="D151" s="11">
        <v>0.13</v>
      </c>
      <c r="E151" s="11" t="s">
        <v>5</v>
      </c>
      <c r="F151" s="11" t="s">
        <v>42</v>
      </c>
      <c r="G151" s="11" t="s">
        <v>43</v>
      </c>
      <c r="H151" s="11" t="s">
        <v>63</v>
      </c>
      <c r="J151" s="11" t="s">
        <v>82</v>
      </c>
    </row>
    <row r="152" spans="1:10" x14ac:dyDescent="0.25">
      <c r="A152" s="11" t="s">
        <v>84</v>
      </c>
      <c r="D152" s="11">
        <v>2.3800000000000002E-3</v>
      </c>
      <c r="E152" s="11" t="s">
        <v>5</v>
      </c>
      <c r="F152" s="11" t="s">
        <v>42</v>
      </c>
      <c r="G152" s="11" t="s">
        <v>43</v>
      </c>
      <c r="H152" s="11" t="s">
        <v>63</v>
      </c>
      <c r="J152" s="11" t="s">
        <v>82</v>
      </c>
    </row>
    <row r="153" spans="1:10" x14ac:dyDescent="0.25">
      <c r="A153" s="11" t="s">
        <v>62</v>
      </c>
      <c r="D153" s="11">
        <v>7.2999999999999996E-4</v>
      </c>
      <c r="E153" s="11" t="s">
        <v>5</v>
      </c>
      <c r="F153" s="11" t="s">
        <v>42</v>
      </c>
      <c r="G153" s="11" t="s">
        <v>43</v>
      </c>
      <c r="H153" s="11" t="s">
        <v>63</v>
      </c>
      <c r="J153" s="11" t="s">
        <v>82</v>
      </c>
    </row>
    <row r="154" spans="1:10" x14ac:dyDescent="0.25">
      <c r="A154" s="11" t="s">
        <v>73</v>
      </c>
      <c r="D154" s="11">
        <v>5.5000000000000003E-4</v>
      </c>
      <c r="E154" s="11" t="s">
        <v>5</v>
      </c>
      <c r="F154" s="11" t="s">
        <v>42</v>
      </c>
      <c r="G154" s="11" t="s">
        <v>43</v>
      </c>
      <c r="H154" s="11" t="s">
        <v>63</v>
      </c>
      <c r="J154" s="11" t="s">
        <v>82</v>
      </c>
    </row>
    <row r="155" spans="1:10" x14ac:dyDescent="0.25">
      <c r="A155" s="11" t="s">
        <v>87</v>
      </c>
      <c r="D155" s="11">
        <v>4.6999999999999999E-6</v>
      </c>
      <c r="E155" s="11" t="s">
        <v>5</v>
      </c>
      <c r="F155" s="11" t="s">
        <v>42</v>
      </c>
      <c r="G155" s="11" t="s">
        <v>43</v>
      </c>
      <c r="H155" s="11" t="s">
        <v>63</v>
      </c>
      <c r="J155" s="11" t="s">
        <v>82</v>
      </c>
    </row>
    <row r="156" spans="1:10" x14ac:dyDescent="0.25">
      <c r="A156" s="11" t="s">
        <v>95</v>
      </c>
      <c r="D156" s="11">
        <v>1.9E-3</v>
      </c>
      <c r="E156" s="11" t="s">
        <v>5</v>
      </c>
      <c r="F156" s="11" t="s">
        <v>42</v>
      </c>
      <c r="G156" s="11" t="s">
        <v>43</v>
      </c>
      <c r="H156" s="11" t="s">
        <v>96</v>
      </c>
      <c r="J156" s="11" t="s">
        <v>223</v>
      </c>
    </row>
    <row r="157" spans="1:10" x14ac:dyDescent="0.25">
      <c r="A157" s="11" t="s">
        <v>64</v>
      </c>
      <c r="D157" s="11">
        <v>4.8300000000000001E-3</v>
      </c>
      <c r="E157" s="11" t="s">
        <v>5</v>
      </c>
      <c r="F157" s="11" t="s">
        <v>42</v>
      </c>
      <c r="G157" s="11" t="s">
        <v>43</v>
      </c>
      <c r="H157" s="11" t="s">
        <v>63</v>
      </c>
      <c r="J157" s="11" t="s">
        <v>223</v>
      </c>
    </row>
    <row r="158" spans="1:10" s="9" customFormat="1" ht="14.1" customHeight="1" x14ac:dyDescent="0.25"/>
    <row r="159" spans="1:10" x14ac:dyDescent="0.25">
      <c r="A159" s="10" t="s">
        <v>0</v>
      </c>
      <c r="B159" s="10" t="s">
        <v>230</v>
      </c>
    </row>
    <row r="160" spans="1:10" x14ac:dyDescent="0.25">
      <c r="A160" s="12" t="s">
        <v>1</v>
      </c>
      <c r="B160" s="11" t="s">
        <v>158</v>
      </c>
    </row>
    <row r="161" spans="1:14" x14ac:dyDescent="0.25">
      <c r="A161" s="12" t="s">
        <v>2</v>
      </c>
      <c r="B161" s="11" t="s">
        <v>54</v>
      </c>
    </row>
    <row r="162" spans="1:14" x14ac:dyDescent="0.25">
      <c r="A162" s="12" t="s">
        <v>3</v>
      </c>
      <c r="B162" s="13">
        <v>1</v>
      </c>
    </row>
    <row r="163" spans="1:14" x14ac:dyDescent="0.25">
      <c r="A163" s="12" t="s">
        <v>4</v>
      </c>
      <c r="B163" s="11" t="s">
        <v>5</v>
      </c>
    </row>
    <row r="164" spans="1:14" x14ac:dyDescent="0.25">
      <c r="A164" s="12" t="s">
        <v>6</v>
      </c>
      <c r="B164" s="11" t="s">
        <v>7</v>
      </c>
    </row>
    <row r="165" spans="1:14" x14ac:dyDescent="0.25">
      <c r="A165" s="12" t="s">
        <v>8</v>
      </c>
    </row>
    <row r="166" spans="1:14" x14ac:dyDescent="0.25">
      <c r="A166" s="10" t="s">
        <v>9</v>
      </c>
      <c r="B166" s="10" t="s">
        <v>1</v>
      </c>
      <c r="C166" s="10" t="s">
        <v>2</v>
      </c>
      <c r="D166" s="10" t="s">
        <v>3</v>
      </c>
      <c r="E166" s="10" t="s">
        <v>4</v>
      </c>
      <c r="F166" s="10" t="s">
        <v>10</v>
      </c>
      <c r="G166" s="10" t="s">
        <v>11</v>
      </c>
      <c r="H166" s="10" t="s">
        <v>12</v>
      </c>
      <c r="I166" s="10" t="s">
        <v>13</v>
      </c>
      <c r="J166" s="10" t="s">
        <v>14</v>
      </c>
      <c r="K166" s="10" t="s">
        <v>15</v>
      </c>
      <c r="L166" s="10" t="s">
        <v>16</v>
      </c>
      <c r="M166" s="10" t="s">
        <v>17</v>
      </c>
      <c r="N166" s="10" t="s">
        <v>18</v>
      </c>
    </row>
    <row r="167" spans="1:14" x14ac:dyDescent="0.25">
      <c r="A167" s="11" t="s">
        <v>230</v>
      </c>
      <c r="B167" s="11" t="s">
        <v>158</v>
      </c>
      <c r="C167" s="11" t="s">
        <v>54</v>
      </c>
      <c r="D167" s="13">
        <v>1</v>
      </c>
      <c r="E167" s="11" t="s">
        <v>5</v>
      </c>
      <c r="F167" s="14" t="str">
        <f>F144</f>
        <v>Aluminium</v>
      </c>
      <c r="G167" s="11" t="s">
        <v>19</v>
      </c>
    </row>
    <row r="168" spans="1:14" x14ac:dyDescent="0.25">
      <c r="A168" s="11" t="str">
        <f>A75</f>
        <v>[R] Casting</v>
      </c>
      <c r="B168" s="11" t="str">
        <f>B75</f>
        <v>Al ingot</v>
      </c>
      <c r="C168" s="11" t="str">
        <f>C75</f>
        <v>CN</v>
      </c>
      <c r="D168" s="11">
        <v>1</v>
      </c>
      <c r="E168" s="11" t="str">
        <f>E75</f>
        <v>kilogram</v>
      </c>
      <c r="F168" s="14" t="str">
        <f>F75</f>
        <v>Aluminium</v>
      </c>
      <c r="G168" s="11" t="s">
        <v>25</v>
      </c>
    </row>
    <row r="169" spans="1:14" x14ac:dyDescent="0.25">
      <c r="A169" s="11" t="str">
        <f>A49</f>
        <v>[R] Electrolysis</v>
      </c>
      <c r="B169" s="11" t="str">
        <f>B49</f>
        <v>Liquid aluminium (Al)</v>
      </c>
      <c r="C169" s="11" t="str">
        <f>C49</f>
        <v>CN</v>
      </c>
      <c r="D169" s="11">
        <v>1.01</v>
      </c>
      <c r="E169" s="11" t="str">
        <f>E49</f>
        <v>kilogram</v>
      </c>
      <c r="F169" s="14" t="str">
        <f>F49</f>
        <v>Aluminium</v>
      </c>
      <c r="G169" s="11" t="s">
        <v>25</v>
      </c>
    </row>
    <row r="170" spans="1:14" x14ac:dyDescent="0.25">
      <c r="A170" s="11" t="str">
        <f>A26</f>
        <v>[P] Alumina production</v>
      </c>
      <c r="B170" s="11" t="str">
        <f>B26</f>
        <v>Alumina</v>
      </c>
      <c r="C170" s="11" t="str">
        <f>C26</f>
        <v>CN</v>
      </c>
      <c r="D170" s="11">
        <v>1.9594</v>
      </c>
      <c r="E170" s="11" t="str">
        <f>E26</f>
        <v>kilogram</v>
      </c>
      <c r="F170" s="14" t="str">
        <f>F26</f>
        <v>Aluminium</v>
      </c>
      <c r="G170" s="11" t="s">
        <v>25</v>
      </c>
    </row>
    <row r="171" spans="1:14" x14ac:dyDescent="0.25">
      <c r="A171" s="11" t="str">
        <f>A9</f>
        <v>[M+C] Bauxite mining</v>
      </c>
      <c r="B171" s="11" t="str">
        <f>B9</f>
        <v>Bauxite</v>
      </c>
      <c r="C171" s="11" t="str">
        <f>C9</f>
        <v>CN</v>
      </c>
      <c r="D171" s="11">
        <v>4.7221540000000006</v>
      </c>
      <c r="E171" s="11" t="str">
        <f>E9</f>
        <v>kilogram</v>
      </c>
      <c r="F171" s="14" t="str">
        <f>F9</f>
        <v>Aluminium</v>
      </c>
      <c r="G171" s="11" t="s">
        <v>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8" tint="0.39997558519241921"/>
  </sheetPr>
  <dimension ref="A1:N42"/>
  <sheetViews>
    <sheetView workbookViewId="0">
      <selection activeCell="B34" sqref="B34"/>
    </sheetView>
  </sheetViews>
  <sheetFormatPr baseColWidth="10" defaultColWidth="8.7109375" defaultRowHeight="15" x14ac:dyDescent="0.25"/>
  <cols>
    <col min="1" max="1" width="60.28515625" style="11" bestFit="1" customWidth="1"/>
    <col min="2" max="2" width="62.85546875" style="11" customWidth="1"/>
    <col min="3" max="3" width="8.140625" style="11" bestFit="1" customWidth="1"/>
    <col min="4" max="4" width="12" style="11" bestFit="1" customWidth="1"/>
    <col min="5" max="5" width="12.85546875" style="11" bestFit="1" customWidth="1"/>
    <col min="6" max="6" width="19.7109375" style="11" bestFit="1" customWidth="1"/>
    <col min="7" max="7" width="13.28515625" style="11" bestFit="1" customWidth="1"/>
    <col min="8" max="8" width="25.28515625" style="11" bestFit="1" customWidth="1"/>
    <col min="9" max="9" width="15.5703125" style="11" bestFit="1" customWidth="1"/>
    <col min="10" max="10" width="9.7109375" style="11" bestFit="1" customWidth="1"/>
    <col min="11" max="11" width="3.5703125" style="11" bestFit="1" customWidth="1"/>
    <col min="12" max="12" width="5.42578125" style="11" bestFit="1" customWidth="1"/>
    <col min="13" max="13" width="9.5703125" style="11" bestFit="1" customWidth="1"/>
    <col min="14" max="14" width="9.85546875" style="11" bestFit="1" customWidth="1"/>
    <col min="15" max="16384" width="8.7109375" style="11"/>
  </cols>
  <sheetData>
    <row r="1" spans="1:14" x14ac:dyDescent="0.25">
      <c r="A1" s="10" t="s">
        <v>0</v>
      </c>
      <c r="B1" s="10" t="s">
        <v>231</v>
      </c>
    </row>
    <row r="2" spans="1:14" x14ac:dyDescent="0.25">
      <c r="A2" s="12" t="s">
        <v>1</v>
      </c>
      <c r="B2" s="11" t="s">
        <v>232</v>
      </c>
    </row>
    <row r="3" spans="1:14" x14ac:dyDescent="0.25">
      <c r="A3" s="12" t="s">
        <v>2</v>
      </c>
      <c r="B3" s="11" t="s">
        <v>54</v>
      </c>
    </row>
    <row r="4" spans="1:14" x14ac:dyDescent="0.25">
      <c r="A4" s="12" t="s">
        <v>3</v>
      </c>
      <c r="B4" s="13">
        <v>1</v>
      </c>
    </row>
    <row r="5" spans="1:14" x14ac:dyDescent="0.25">
      <c r="A5" s="12" t="s">
        <v>4</v>
      </c>
      <c r="B5" s="11" t="s">
        <v>5</v>
      </c>
    </row>
    <row r="6" spans="1:14" ht="30" x14ac:dyDescent="0.25">
      <c r="A6" s="12" t="s">
        <v>6</v>
      </c>
      <c r="B6" s="15" t="s">
        <v>233</v>
      </c>
    </row>
    <row r="7" spans="1:14" x14ac:dyDescent="0.25">
      <c r="A7" s="12" t="s">
        <v>8</v>
      </c>
    </row>
    <row r="8" spans="1:14" x14ac:dyDescent="0.25">
      <c r="A8" s="10" t="s">
        <v>9</v>
      </c>
      <c r="B8" s="10" t="s">
        <v>1</v>
      </c>
      <c r="C8" s="10" t="s">
        <v>2</v>
      </c>
      <c r="D8" s="10" t="s">
        <v>3</v>
      </c>
      <c r="E8" s="10" t="s">
        <v>4</v>
      </c>
      <c r="F8" s="10" t="s">
        <v>10</v>
      </c>
      <c r="G8" s="10" t="s">
        <v>11</v>
      </c>
      <c r="H8" s="10" t="s">
        <v>12</v>
      </c>
      <c r="I8" s="10" t="s">
        <v>13</v>
      </c>
      <c r="J8" s="10" t="s">
        <v>14</v>
      </c>
      <c r="K8" s="10" t="s">
        <v>15</v>
      </c>
      <c r="L8" s="10" t="s">
        <v>16</v>
      </c>
      <c r="M8" s="10" t="s">
        <v>17</v>
      </c>
      <c r="N8" s="10" t="s">
        <v>18</v>
      </c>
    </row>
    <row r="9" spans="1:14" x14ac:dyDescent="0.25">
      <c r="A9" s="11" t="str">
        <f>B1</f>
        <v>Aluminium (Al) scraps</v>
      </c>
      <c r="B9" s="11" t="str">
        <f>B2</f>
        <v>Al scraps</v>
      </c>
      <c r="C9" s="11" t="str">
        <f>B3</f>
        <v>CN</v>
      </c>
      <c r="D9" s="13">
        <v>1</v>
      </c>
      <c r="E9" s="11" t="s">
        <v>5</v>
      </c>
      <c r="F9" s="14" t="str">
        <f>Al_Market_GLO!B1</f>
        <v>Aluminium</v>
      </c>
      <c r="G9" s="11" t="s">
        <v>19</v>
      </c>
    </row>
    <row r="10" spans="1:14" s="8" customFormat="1" x14ac:dyDescent="0.25"/>
    <row r="11" spans="1:14" x14ac:dyDescent="0.25">
      <c r="A11" s="10" t="s">
        <v>0</v>
      </c>
      <c r="B11" s="10" t="s">
        <v>234</v>
      </c>
    </row>
    <row r="12" spans="1:14" x14ac:dyDescent="0.25">
      <c r="A12" s="12" t="s">
        <v>1</v>
      </c>
      <c r="B12" s="11" t="s">
        <v>158</v>
      </c>
    </row>
    <row r="13" spans="1:14" x14ac:dyDescent="0.25">
      <c r="A13" s="12" t="s">
        <v>2</v>
      </c>
      <c r="B13" s="11" t="s">
        <v>54</v>
      </c>
    </row>
    <row r="14" spans="1:14" x14ac:dyDescent="0.25">
      <c r="A14" s="12" t="s">
        <v>3</v>
      </c>
      <c r="B14" s="13">
        <v>1</v>
      </c>
    </row>
    <row r="15" spans="1:14" x14ac:dyDescent="0.25">
      <c r="A15" s="12" t="s">
        <v>4</v>
      </c>
      <c r="B15" s="11" t="s">
        <v>5</v>
      </c>
    </row>
    <row r="16" spans="1:14" x14ac:dyDescent="0.25">
      <c r="A16" s="12" t="s">
        <v>6</v>
      </c>
      <c r="B16" s="11" t="s">
        <v>7</v>
      </c>
    </row>
    <row r="17" spans="1:14" x14ac:dyDescent="0.25">
      <c r="A17" s="12" t="s">
        <v>8</v>
      </c>
    </row>
    <row r="18" spans="1:14" x14ac:dyDescent="0.25">
      <c r="A18" s="10" t="s">
        <v>9</v>
      </c>
      <c r="B18" s="10" t="s">
        <v>1</v>
      </c>
      <c r="C18" s="10" t="s">
        <v>2</v>
      </c>
      <c r="D18" s="10" t="s">
        <v>3</v>
      </c>
      <c r="E18" s="10" t="s">
        <v>4</v>
      </c>
      <c r="F18" s="10" t="s">
        <v>10</v>
      </c>
      <c r="G18" s="10" t="s">
        <v>11</v>
      </c>
      <c r="H18" s="10" t="s">
        <v>12</v>
      </c>
      <c r="I18" s="10" t="s">
        <v>13</v>
      </c>
      <c r="J18" s="10" t="s">
        <v>14</v>
      </c>
      <c r="K18" s="10" t="s">
        <v>15</v>
      </c>
      <c r="L18" s="10" t="s">
        <v>16</v>
      </c>
      <c r="M18" s="10" t="s">
        <v>17</v>
      </c>
      <c r="N18" s="10" t="s">
        <v>18</v>
      </c>
    </row>
    <row r="19" spans="1:14" x14ac:dyDescent="0.25">
      <c r="A19" s="11" t="str">
        <f>B11</f>
        <v>[P+R] Al scraps recycling</v>
      </c>
      <c r="B19" s="11" t="str">
        <f>B12</f>
        <v>Al ingot</v>
      </c>
      <c r="C19" s="11" t="str">
        <f>B13</f>
        <v>CN</v>
      </c>
      <c r="D19" s="13">
        <v>1</v>
      </c>
      <c r="E19" s="11" t="s">
        <v>5</v>
      </c>
      <c r="F19" s="14" t="str">
        <f>F9</f>
        <v>Aluminium</v>
      </c>
      <c r="G19" s="11" t="s">
        <v>19</v>
      </c>
    </row>
    <row r="20" spans="1:14" x14ac:dyDescent="0.25">
      <c r="A20" s="11" t="s">
        <v>26</v>
      </c>
      <c r="B20" s="11" t="s">
        <v>27</v>
      </c>
      <c r="C20" s="11" t="s">
        <v>54</v>
      </c>
      <c r="D20" s="11">
        <v>0.31900000000000001</v>
      </c>
      <c r="E20" s="11" t="s">
        <v>28</v>
      </c>
      <c r="F20" s="11" t="s">
        <v>24</v>
      </c>
      <c r="G20" s="11" t="s">
        <v>25</v>
      </c>
      <c r="J20" s="11" t="s">
        <v>90</v>
      </c>
    </row>
    <row r="21" spans="1:14" x14ac:dyDescent="0.25">
      <c r="A21" s="11" t="s">
        <v>57</v>
      </c>
      <c r="B21" s="11" t="s">
        <v>58</v>
      </c>
      <c r="C21" s="11" t="s">
        <v>54</v>
      </c>
      <c r="D21" s="11">
        <v>0.1</v>
      </c>
      <c r="E21" s="11" t="s">
        <v>49</v>
      </c>
      <c r="F21" s="11" t="s">
        <v>24</v>
      </c>
      <c r="G21" s="11" t="s">
        <v>25</v>
      </c>
      <c r="J21" s="11" t="s">
        <v>90</v>
      </c>
    </row>
    <row r="22" spans="1:14" x14ac:dyDescent="0.25">
      <c r="A22" s="11" t="s">
        <v>30</v>
      </c>
      <c r="B22" s="11" t="s">
        <v>31</v>
      </c>
      <c r="C22" s="11" t="s">
        <v>22</v>
      </c>
      <c r="D22" s="11">
        <v>6.0000000000000001E-3</v>
      </c>
      <c r="E22" s="11" t="s">
        <v>5</v>
      </c>
      <c r="F22" s="11" t="s">
        <v>24</v>
      </c>
      <c r="G22" s="11" t="s">
        <v>25</v>
      </c>
      <c r="J22" s="11" t="s">
        <v>235</v>
      </c>
    </row>
    <row r="23" spans="1:14" x14ac:dyDescent="0.25">
      <c r="A23" s="11" t="s">
        <v>236</v>
      </c>
      <c r="B23" s="11" t="s">
        <v>237</v>
      </c>
      <c r="C23" s="11" t="s">
        <v>29</v>
      </c>
      <c r="D23" s="11">
        <v>2.3200000000000001E-7</v>
      </c>
      <c r="E23" s="11" t="s">
        <v>5</v>
      </c>
      <c r="F23" s="11" t="s">
        <v>24</v>
      </c>
      <c r="G23" s="11" t="s">
        <v>25</v>
      </c>
      <c r="J23" s="11" t="s">
        <v>90</v>
      </c>
    </row>
    <row r="24" spans="1:14" x14ac:dyDescent="0.25">
      <c r="A24" s="11" t="s">
        <v>71</v>
      </c>
      <c r="B24" s="11" t="s">
        <v>72</v>
      </c>
      <c r="C24" s="11" t="s">
        <v>29</v>
      </c>
      <c r="D24" s="11">
        <v>-0.21</v>
      </c>
      <c r="E24" s="11" t="s">
        <v>5</v>
      </c>
      <c r="F24" s="11" t="s">
        <v>24</v>
      </c>
      <c r="G24" s="11" t="s">
        <v>25</v>
      </c>
      <c r="J24" s="11" t="s">
        <v>90</v>
      </c>
    </row>
    <row r="25" spans="1:14" x14ac:dyDescent="0.25">
      <c r="A25" s="11" t="s">
        <v>48</v>
      </c>
      <c r="D25" s="11">
        <v>8.8000000000000003E-4</v>
      </c>
      <c r="E25" s="11" t="s">
        <v>49</v>
      </c>
      <c r="F25" s="11" t="s">
        <v>42</v>
      </c>
      <c r="G25" s="11" t="s">
        <v>43</v>
      </c>
      <c r="H25" s="11" t="s">
        <v>47</v>
      </c>
      <c r="J25" s="11" t="s">
        <v>90</v>
      </c>
    </row>
    <row r="26" spans="1:14" x14ac:dyDescent="0.25">
      <c r="A26" s="11" t="s">
        <v>64</v>
      </c>
      <c r="D26" s="11">
        <v>6.4000000000000005E-4</v>
      </c>
      <c r="E26" s="11" t="s">
        <v>5</v>
      </c>
      <c r="F26" s="11" t="s">
        <v>42</v>
      </c>
      <c r="G26" s="11" t="s">
        <v>43</v>
      </c>
      <c r="H26" s="11" t="s">
        <v>63</v>
      </c>
      <c r="J26" s="11" t="s">
        <v>90</v>
      </c>
    </row>
    <row r="27" spans="1:14" x14ac:dyDescent="0.25">
      <c r="A27" s="11" t="s">
        <v>238</v>
      </c>
      <c r="D27" s="11">
        <v>1.9000000000000001E-4</v>
      </c>
      <c r="E27" s="11" t="s">
        <v>5</v>
      </c>
      <c r="F27" s="11" t="s">
        <v>42</v>
      </c>
      <c r="G27" s="11" t="s">
        <v>43</v>
      </c>
      <c r="H27" s="11" t="s">
        <v>63</v>
      </c>
      <c r="J27" s="11" t="s">
        <v>90</v>
      </c>
    </row>
    <row r="28" spans="1:14" x14ac:dyDescent="0.25">
      <c r="A28" s="11" t="s">
        <v>106</v>
      </c>
      <c r="D28" s="11">
        <v>4.2500000000000003E-5</v>
      </c>
      <c r="E28" s="11" t="s">
        <v>5</v>
      </c>
      <c r="F28" s="11" t="s">
        <v>42</v>
      </c>
      <c r="G28" s="11" t="s">
        <v>43</v>
      </c>
      <c r="H28" s="11" t="s">
        <v>63</v>
      </c>
      <c r="J28" s="11" t="s">
        <v>90</v>
      </c>
    </row>
    <row r="29" spans="1:14" x14ac:dyDescent="0.25">
      <c r="A29" s="11" t="s">
        <v>95</v>
      </c>
      <c r="D29" s="11">
        <v>3.6600000000000002E-9</v>
      </c>
      <c r="E29" s="11" t="s">
        <v>5</v>
      </c>
      <c r="F29" s="11" t="s">
        <v>42</v>
      </c>
      <c r="G29" s="11" t="s">
        <v>43</v>
      </c>
      <c r="H29" s="11" t="s">
        <v>96</v>
      </c>
      <c r="J29" s="11" t="s">
        <v>90</v>
      </c>
    </row>
    <row r="30" spans="1:14" x14ac:dyDescent="0.25">
      <c r="A30" s="11" t="s">
        <v>97</v>
      </c>
      <c r="D30" s="11">
        <v>2.5299999999999999E-6</v>
      </c>
      <c r="E30" s="11" t="s">
        <v>5</v>
      </c>
      <c r="F30" s="11" t="s">
        <v>42</v>
      </c>
      <c r="G30" s="11" t="s">
        <v>43</v>
      </c>
      <c r="H30" s="11" t="s">
        <v>96</v>
      </c>
      <c r="J30" s="11" t="s">
        <v>90</v>
      </c>
    </row>
    <row r="31" spans="1:14" s="9" customFormat="1" ht="14.1" customHeight="1" x14ac:dyDescent="0.25"/>
    <row r="32" spans="1:14" x14ac:dyDescent="0.25">
      <c r="A32" s="10" t="s">
        <v>0</v>
      </c>
      <c r="B32" s="10" t="s">
        <v>239</v>
      </c>
    </row>
    <row r="33" spans="1:14" x14ac:dyDescent="0.25">
      <c r="A33" s="12" t="s">
        <v>1</v>
      </c>
      <c r="B33" s="11" t="s">
        <v>158</v>
      </c>
    </row>
    <row r="34" spans="1:14" x14ac:dyDescent="0.25">
      <c r="A34" s="12" t="s">
        <v>2</v>
      </c>
      <c r="B34" s="11" t="s">
        <v>54</v>
      </c>
    </row>
    <row r="35" spans="1:14" x14ac:dyDescent="0.25">
      <c r="A35" s="12" t="s">
        <v>3</v>
      </c>
      <c r="B35" s="13">
        <v>1</v>
      </c>
    </row>
    <row r="36" spans="1:14" x14ac:dyDescent="0.25">
      <c r="A36" s="12" t="s">
        <v>4</v>
      </c>
      <c r="B36" s="11" t="s">
        <v>5</v>
      </c>
    </row>
    <row r="37" spans="1:14" x14ac:dyDescent="0.25">
      <c r="A37" s="12" t="s">
        <v>6</v>
      </c>
      <c r="B37" s="11" t="s">
        <v>7</v>
      </c>
    </row>
    <row r="38" spans="1:14" x14ac:dyDescent="0.25">
      <c r="A38" s="12" t="s">
        <v>8</v>
      </c>
    </row>
    <row r="39" spans="1:14" x14ac:dyDescent="0.25">
      <c r="A39" s="10" t="s">
        <v>9</v>
      </c>
      <c r="B39" s="10" t="s">
        <v>1</v>
      </c>
      <c r="C39" s="10" t="s">
        <v>2</v>
      </c>
      <c r="D39" s="10" t="s">
        <v>3</v>
      </c>
      <c r="E39" s="10" t="s">
        <v>4</v>
      </c>
      <c r="F39" s="10" t="s">
        <v>10</v>
      </c>
      <c r="G39" s="10" t="s">
        <v>11</v>
      </c>
      <c r="H39" s="10" t="s">
        <v>12</v>
      </c>
      <c r="I39" s="10" t="s">
        <v>13</v>
      </c>
      <c r="J39" s="10" t="s">
        <v>14</v>
      </c>
      <c r="K39" s="10" t="s">
        <v>15</v>
      </c>
      <c r="L39" s="10" t="s">
        <v>16</v>
      </c>
      <c r="M39" s="10" t="s">
        <v>17</v>
      </c>
      <c r="N39" s="10" t="s">
        <v>18</v>
      </c>
    </row>
    <row r="40" spans="1:14" x14ac:dyDescent="0.25">
      <c r="A40" s="11" t="str">
        <f>B32</f>
        <v>Al production in China through Al scraps recycling</v>
      </c>
      <c r="B40" s="11" t="str">
        <f>B33</f>
        <v>Al ingot</v>
      </c>
      <c r="C40" s="11" t="str">
        <f>B34</f>
        <v>CN</v>
      </c>
      <c r="D40" s="13">
        <v>1</v>
      </c>
      <c r="E40" s="11" t="s">
        <v>5</v>
      </c>
      <c r="F40" s="14" t="str">
        <f>F19</f>
        <v>Aluminium</v>
      </c>
      <c r="G40" s="11" t="s">
        <v>19</v>
      </c>
    </row>
    <row r="41" spans="1:14" x14ac:dyDescent="0.25">
      <c r="A41" s="11" t="str">
        <f>A19</f>
        <v>[P+R] Al scraps recycling</v>
      </c>
      <c r="B41" s="11" t="str">
        <f>B19</f>
        <v>Al ingot</v>
      </c>
      <c r="C41" s="11" t="str">
        <f>C19</f>
        <v>CN</v>
      </c>
      <c r="D41" s="11">
        <v>1</v>
      </c>
      <c r="E41" s="11" t="str">
        <f>E19</f>
        <v>kilogram</v>
      </c>
      <c r="F41" s="14" t="str">
        <f>F19</f>
        <v>Aluminium</v>
      </c>
      <c r="G41" s="11" t="s">
        <v>25</v>
      </c>
    </row>
    <row r="42" spans="1:14" x14ac:dyDescent="0.25">
      <c r="A42" s="11" t="str">
        <f>A9</f>
        <v>Aluminium (Al) scraps</v>
      </c>
      <c r="B42" s="11" t="str">
        <f t="shared" ref="B42:F42" si="0">B9</f>
        <v>Al scraps</v>
      </c>
      <c r="C42" s="11" t="str">
        <f t="shared" si="0"/>
        <v>CN</v>
      </c>
      <c r="D42" s="11">
        <v>1.18</v>
      </c>
      <c r="E42" s="11" t="str">
        <f t="shared" si="0"/>
        <v>kilogram</v>
      </c>
      <c r="F42" s="14" t="str">
        <f t="shared" si="0"/>
        <v>Aluminium</v>
      </c>
      <c r="G42" s="11" t="s">
        <v>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8" tint="0.39997558519241921"/>
  </sheetPr>
  <dimension ref="A1:N45"/>
  <sheetViews>
    <sheetView workbookViewId="0">
      <selection activeCell="F36" sqref="F36"/>
    </sheetView>
  </sheetViews>
  <sheetFormatPr baseColWidth="10" defaultColWidth="8.7109375" defaultRowHeight="15" x14ac:dyDescent="0.25"/>
  <cols>
    <col min="1" max="2" width="53.42578125" style="11" bestFit="1" customWidth="1"/>
    <col min="3" max="3" width="13.85546875" style="11" bestFit="1" customWidth="1"/>
    <col min="4" max="4" width="12" style="11" bestFit="1" customWidth="1"/>
    <col min="5" max="5" width="11.42578125" style="11" bestFit="1" customWidth="1"/>
    <col min="6" max="6" width="19.7109375" style="11" bestFit="1" customWidth="1"/>
    <col min="7" max="7" width="13.28515625" style="11" bestFit="1" customWidth="1"/>
    <col min="8" max="8" width="25.28515625" style="11" bestFit="1" customWidth="1"/>
    <col min="9" max="9" width="15.5703125" style="11" bestFit="1" customWidth="1"/>
    <col min="10" max="10" width="9.7109375" style="11" bestFit="1" customWidth="1"/>
    <col min="11" max="11" width="3.5703125" style="11" bestFit="1" customWidth="1"/>
    <col min="12" max="12" width="5.42578125" style="11" bestFit="1" customWidth="1"/>
    <col min="13" max="13" width="9.5703125" style="11" bestFit="1" customWidth="1"/>
    <col min="14" max="14" width="9.85546875" style="11" bestFit="1" customWidth="1"/>
    <col min="15" max="16384" width="8.7109375" style="11"/>
  </cols>
  <sheetData>
    <row r="1" spans="1:14" x14ac:dyDescent="0.25">
      <c r="A1" s="10" t="s">
        <v>0</v>
      </c>
      <c r="B1" s="10" t="s">
        <v>240</v>
      </c>
    </row>
    <row r="2" spans="1:14" x14ac:dyDescent="0.25">
      <c r="A2" s="12" t="s">
        <v>1</v>
      </c>
      <c r="B2" s="11" t="s">
        <v>158</v>
      </c>
    </row>
    <row r="3" spans="1:14" x14ac:dyDescent="0.25">
      <c r="A3" s="12" t="s">
        <v>2</v>
      </c>
      <c r="B3" s="11" t="s">
        <v>173</v>
      </c>
    </row>
    <row r="4" spans="1:14" x14ac:dyDescent="0.25">
      <c r="A4" s="12" t="s">
        <v>3</v>
      </c>
      <c r="B4" s="13">
        <v>1</v>
      </c>
    </row>
    <row r="5" spans="1:14" x14ac:dyDescent="0.25">
      <c r="A5" s="12" t="s">
        <v>4</v>
      </c>
      <c r="B5" s="11" t="s">
        <v>5</v>
      </c>
    </row>
    <row r="6" spans="1:14" x14ac:dyDescent="0.25">
      <c r="A6" s="12" t="s">
        <v>6</v>
      </c>
      <c r="B6" s="11" t="s">
        <v>7</v>
      </c>
    </row>
    <row r="7" spans="1:14" x14ac:dyDescent="0.25">
      <c r="A7" s="12" t="s">
        <v>8</v>
      </c>
    </row>
    <row r="8" spans="1:14" x14ac:dyDescent="0.25">
      <c r="A8" s="10" t="s">
        <v>9</v>
      </c>
      <c r="B8" s="10" t="s">
        <v>1</v>
      </c>
      <c r="C8" s="10" t="s">
        <v>2</v>
      </c>
      <c r="D8" s="10" t="s">
        <v>3</v>
      </c>
      <c r="E8" s="10" t="s">
        <v>4</v>
      </c>
      <c r="F8" s="10" t="s">
        <v>10</v>
      </c>
      <c r="G8" s="10" t="s">
        <v>11</v>
      </c>
      <c r="H8" s="10" t="s">
        <v>12</v>
      </c>
      <c r="I8" s="10" t="s">
        <v>13</v>
      </c>
      <c r="J8" s="10" t="s">
        <v>14</v>
      </c>
      <c r="K8" s="10" t="s">
        <v>15</v>
      </c>
      <c r="L8" s="10" t="s">
        <v>16</v>
      </c>
      <c r="M8" s="10" t="s">
        <v>17</v>
      </c>
      <c r="N8" s="10" t="s">
        <v>18</v>
      </c>
    </row>
    <row r="9" spans="1:14" x14ac:dyDescent="0.25">
      <c r="A9" s="11" t="str">
        <f>B1</f>
        <v>[P+R] Aluminium (Al) scraps recycling</v>
      </c>
      <c r="B9" s="11" t="str">
        <f>B2</f>
        <v>Al ingot</v>
      </c>
      <c r="C9" s="11" t="str">
        <f>B3</f>
        <v>North America</v>
      </c>
      <c r="D9" s="13">
        <v>1</v>
      </c>
      <c r="E9" s="11" t="s">
        <v>5</v>
      </c>
      <c r="F9" s="14" t="str">
        <f>Al_Market_GLO!B1</f>
        <v>Aluminium</v>
      </c>
      <c r="G9" s="11" t="s">
        <v>19</v>
      </c>
    </row>
    <row r="10" spans="1:14" x14ac:dyDescent="0.25">
      <c r="A10" s="11" t="s">
        <v>36</v>
      </c>
      <c r="B10" s="11" t="s">
        <v>37</v>
      </c>
      <c r="C10" s="11" t="s">
        <v>29</v>
      </c>
      <c r="D10" s="11">
        <v>-6.1699999999999998E-2</v>
      </c>
      <c r="E10" s="11" t="s">
        <v>5</v>
      </c>
      <c r="F10" s="11" t="s">
        <v>24</v>
      </c>
      <c r="G10" s="11" t="s">
        <v>25</v>
      </c>
      <c r="J10" s="11" t="s">
        <v>127</v>
      </c>
    </row>
    <row r="11" spans="1:14" x14ac:dyDescent="0.25">
      <c r="A11" s="11" t="s">
        <v>241</v>
      </c>
      <c r="D11" s="11">
        <v>0.31028305266929412</v>
      </c>
      <c r="E11" s="11" t="s">
        <v>5</v>
      </c>
      <c r="F11" s="11" t="s">
        <v>42</v>
      </c>
      <c r="G11" s="11" t="s">
        <v>43</v>
      </c>
      <c r="H11" s="11" t="s">
        <v>47</v>
      </c>
      <c r="J11" s="11" t="s">
        <v>127</v>
      </c>
    </row>
    <row r="12" spans="1:14" x14ac:dyDescent="0.25">
      <c r="A12" s="11" t="s">
        <v>242</v>
      </c>
      <c r="D12" s="11">
        <v>0.38200000000000001</v>
      </c>
      <c r="E12" s="11" t="s">
        <v>23</v>
      </c>
      <c r="F12" s="11" t="s">
        <v>42</v>
      </c>
      <c r="G12" s="11" t="s">
        <v>43</v>
      </c>
      <c r="H12" s="11" t="s">
        <v>169</v>
      </c>
      <c r="J12" s="11" t="s">
        <v>127</v>
      </c>
    </row>
    <row r="13" spans="1:14" x14ac:dyDescent="0.25">
      <c r="A13" s="11" t="s">
        <v>243</v>
      </c>
      <c r="D13" s="11">
        <v>0.16500000000000001</v>
      </c>
      <c r="E13" s="11" t="s">
        <v>23</v>
      </c>
      <c r="F13" s="11" t="s">
        <v>42</v>
      </c>
      <c r="G13" s="11" t="s">
        <v>43</v>
      </c>
      <c r="H13" s="11" t="s">
        <v>244</v>
      </c>
      <c r="J13" s="11" t="s">
        <v>127</v>
      </c>
    </row>
    <row r="14" spans="1:14" x14ac:dyDescent="0.25">
      <c r="A14" s="11" t="s">
        <v>245</v>
      </c>
      <c r="D14" s="11">
        <v>3.5099999999999999E-2</v>
      </c>
      <c r="E14" s="11" t="s">
        <v>5</v>
      </c>
      <c r="F14" s="11" t="s">
        <v>42</v>
      </c>
      <c r="G14" s="11" t="s">
        <v>43</v>
      </c>
      <c r="H14" s="11" t="s">
        <v>47</v>
      </c>
      <c r="J14" s="11" t="s">
        <v>127</v>
      </c>
    </row>
    <row r="15" spans="1:14" x14ac:dyDescent="0.25">
      <c r="A15" s="11" t="s">
        <v>48</v>
      </c>
      <c r="D15" s="11">
        <v>4.2900000000000002E-4</v>
      </c>
      <c r="E15" s="11" t="s">
        <v>49</v>
      </c>
      <c r="F15" s="11" t="s">
        <v>42</v>
      </c>
      <c r="G15" s="11" t="s">
        <v>43</v>
      </c>
      <c r="H15" s="11" t="s">
        <v>47</v>
      </c>
      <c r="J15" s="11" t="s">
        <v>127</v>
      </c>
    </row>
    <row r="16" spans="1:14" x14ac:dyDescent="0.25">
      <c r="A16" s="11" t="s">
        <v>83</v>
      </c>
      <c r="D16" s="11">
        <v>0.47899999999999998</v>
      </c>
      <c r="E16" s="11" t="s">
        <v>5</v>
      </c>
      <c r="F16" s="11" t="s">
        <v>42</v>
      </c>
      <c r="G16" s="11" t="s">
        <v>43</v>
      </c>
      <c r="H16" s="11" t="s">
        <v>63</v>
      </c>
      <c r="J16" s="11" t="s">
        <v>127</v>
      </c>
    </row>
    <row r="17" spans="1:10" x14ac:dyDescent="0.25">
      <c r="A17" s="11" t="s">
        <v>84</v>
      </c>
      <c r="D17" s="11">
        <v>1.6200000000000001E-4</v>
      </c>
      <c r="E17" s="11" t="s">
        <v>5</v>
      </c>
      <c r="F17" s="11" t="s">
        <v>42</v>
      </c>
      <c r="G17" s="11" t="s">
        <v>43</v>
      </c>
      <c r="H17" s="11" t="s">
        <v>63</v>
      </c>
      <c r="J17" s="11" t="s">
        <v>127</v>
      </c>
    </row>
    <row r="18" spans="1:10" x14ac:dyDescent="0.25">
      <c r="A18" s="11" t="s">
        <v>238</v>
      </c>
      <c r="D18" s="11">
        <v>9.8899999999999996E-9</v>
      </c>
      <c r="E18" s="11" t="s">
        <v>5</v>
      </c>
      <c r="F18" s="11" t="s">
        <v>42</v>
      </c>
      <c r="G18" s="11" t="s">
        <v>43</v>
      </c>
      <c r="H18" s="11" t="s">
        <v>63</v>
      </c>
      <c r="J18" s="11" t="s">
        <v>127</v>
      </c>
    </row>
    <row r="19" spans="1:10" x14ac:dyDescent="0.25">
      <c r="A19" s="11" t="s">
        <v>246</v>
      </c>
      <c r="D19" s="11">
        <v>2.3499999999999999E-6</v>
      </c>
      <c r="E19" s="11" t="s">
        <v>5</v>
      </c>
      <c r="F19" s="11" t="s">
        <v>42</v>
      </c>
      <c r="G19" s="11" t="s">
        <v>43</v>
      </c>
      <c r="H19" s="11" t="s">
        <v>63</v>
      </c>
      <c r="J19" s="11" t="s">
        <v>127</v>
      </c>
    </row>
    <row r="20" spans="1:10" x14ac:dyDescent="0.25">
      <c r="A20" s="11" t="s">
        <v>92</v>
      </c>
      <c r="D20" s="11">
        <v>5.7599999999999997E-5</v>
      </c>
      <c r="E20" s="11" t="s">
        <v>5</v>
      </c>
      <c r="F20" s="11" t="s">
        <v>42</v>
      </c>
      <c r="G20" s="11" t="s">
        <v>43</v>
      </c>
      <c r="H20" s="11" t="s">
        <v>63</v>
      </c>
      <c r="J20" s="11" t="s">
        <v>127</v>
      </c>
    </row>
    <row r="21" spans="1:10" x14ac:dyDescent="0.25">
      <c r="A21" s="11" t="s">
        <v>93</v>
      </c>
      <c r="D21" s="11">
        <v>1.8E-5</v>
      </c>
      <c r="E21" s="11" t="s">
        <v>5</v>
      </c>
      <c r="F21" s="11" t="s">
        <v>42</v>
      </c>
      <c r="G21" s="11" t="s">
        <v>43</v>
      </c>
      <c r="H21" s="11" t="s">
        <v>63</v>
      </c>
      <c r="J21" s="11" t="s">
        <v>127</v>
      </c>
    </row>
    <row r="22" spans="1:10" x14ac:dyDescent="0.25">
      <c r="A22" s="11" t="s">
        <v>73</v>
      </c>
      <c r="D22" s="11">
        <v>5.8999999999999992E-4</v>
      </c>
      <c r="E22" s="11" t="s">
        <v>5</v>
      </c>
      <c r="F22" s="11" t="s">
        <v>42</v>
      </c>
      <c r="G22" s="11" t="s">
        <v>43</v>
      </c>
      <c r="H22" s="11" t="s">
        <v>63</v>
      </c>
      <c r="J22" s="11" t="s">
        <v>127</v>
      </c>
    </row>
    <row r="23" spans="1:10" x14ac:dyDescent="0.25">
      <c r="A23" s="11" t="s">
        <v>247</v>
      </c>
      <c r="D23" s="11">
        <v>3.7699999999999999E-6</v>
      </c>
      <c r="E23" s="11" t="s">
        <v>5</v>
      </c>
      <c r="F23" s="11" t="s">
        <v>42</v>
      </c>
      <c r="G23" s="11" t="s">
        <v>43</v>
      </c>
      <c r="H23" s="11" t="s">
        <v>63</v>
      </c>
      <c r="J23" s="11" t="s">
        <v>127</v>
      </c>
    </row>
    <row r="24" spans="1:10" x14ac:dyDescent="0.25">
      <c r="A24" s="11" t="s">
        <v>102</v>
      </c>
      <c r="D24" s="11">
        <v>1.5199999999999999E-19</v>
      </c>
      <c r="E24" s="11" t="s">
        <v>5</v>
      </c>
      <c r="F24" s="11" t="s">
        <v>42</v>
      </c>
      <c r="G24" s="11" t="s">
        <v>43</v>
      </c>
      <c r="H24" s="11" t="s">
        <v>63</v>
      </c>
      <c r="J24" s="11" t="s">
        <v>127</v>
      </c>
    </row>
    <row r="25" spans="1:10" x14ac:dyDescent="0.25">
      <c r="A25" s="11" t="s">
        <v>248</v>
      </c>
      <c r="D25" s="11">
        <v>1.3999999999999999E-4</v>
      </c>
      <c r="E25" s="11" t="s">
        <v>5</v>
      </c>
      <c r="F25" s="11" t="s">
        <v>42</v>
      </c>
      <c r="G25" s="11" t="s">
        <v>43</v>
      </c>
      <c r="H25" s="11" t="s">
        <v>63</v>
      </c>
      <c r="J25" s="11" t="s">
        <v>127</v>
      </c>
    </row>
    <row r="26" spans="1:10" x14ac:dyDescent="0.25">
      <c r="A26" s="11" t="s">
        <v>87</v>
      </c>
      <c r="D26" s="11">
        <v>1.5299999999999999E-3</v>
      </c>
      <c r="E26" s="11" t="s">
        <v>5</v>
      </c>
      <c r="F26" s="11" t="s">
        <v>42</v>
      </c>
      <c r="G26" s="11" t="s">
        <v>43</v>
      </c>
      <c r="H26" s="11" t="s">
        <v>63</v>
      </c>
      <c r="J26" s="11" t="s">
        <v>127</v>
      </c>
    </row>
    <row r="27" spans="1:10" x14ac:dyDescent="0.25">
      <c r="A27" s="11" t="s">
        <v>64</v>
      </c>
      <c r="D27" s="11">
        <v>1.18E-4</v>
      </c>
      <c r="E27" s="11" t="s">
        <v>5</v>
      </c>
      <c r="F27" s="11" t="s">
        <v>42</v>
      </c>
      <c r="G27" s="11" t="s">
        <v>43</v>
      </c>
      <c r="H27" s="11" t="s">
        <v>63</v>
      </c>
      <c r="J27" s="11" t="s">
        <v>127</v>
      </c>
    </row>
    <row r="28" spans="1:10" x14ac:dyDescent="0.25">
      <c r="A28" s="11" t="s">
        <v>99</v>
      </c>
      <c r="D28" s="11">
        <v>4.4199999999999997E-5</v>
      </c>
      <c r="E28" s="11" t="s">
        <v>5</v>
      </c>
      <c r="F28" s="11" t="s">
        <v>42</v>
      </c>
      <c r="G28" s="11" t="s">
        <v>43</v>
      </c>
      <c r="H28" s="11" t="s">
        <v>63</v>
      </c>
      <c r="J28" s="11" t="s">
        <v>127</v>
      </c>
    </row>
    <row r="29" spans="1:10" x14ac:dyDescent="0.25">
      <c r="A29" s="11" t="s">
        <v>249</v>
      </c>
      <c r="D29" s="11">
        <v>6.2099999999999998E-6</v>
      </c>
      <c r="E29" s="11" t="s">
        <v>5</v>
      </c>
      <c r="F29" s="11" t="s">
        <v>42</v>
      </c>
      <c r="G29" s="11" t="s">
        <v>43</v>
      </c>
      <c r="H29" s="11" t="s">
        <v>96</v>
      </c>
      <c r="J29" s="11" t="s">
        <v>127</v>
      </c>
    </row>
    <row r="30" spans="1:10" x14ac:dyDescent="0.25">
      <c r="A30" s="11" t="s">
        <v>95</v>
      </c>
      <c r="D30" s="11">
        <v>1.0900000000000001E-4</v>
      </c>
      <c r="E30" s="11" t="s">
        <v>5</v>
      </c>
      <c r="F30" s="11" t="s">
        <v>42</v>
      </c>
      <c r="G30" s="11" t="s">
        <v>43</v>
      </c>
      <c r="H30" s="11" t="s">
        <v>96</v>
      </c>
      <c r="J30" s="11" t="s">
        <v>127</v>
      </c>
    </row>
    <row r="31" spans="1:10" x14ac:dyDescent="0.25">
      <c r="A31" s="11" t="s">
        <v>107</v>
      </c>
      <c r="D31" s="11">
        <v>3.3199999999999999E-4</v>
      </c>
      <c r="E31" s="11" t="s">
        <v>5</v>
      </c>
      <c r="F31" s="11" t="s">
        <v>42</v>
      </c>
      <c r="G31" s="11" t="s">
        <v>43</v>
      </c>
      <c r="H31" s="11" t="s">
        <v>96</v>
      </c>
      <c r="J31" s="11" t="s">
        <v>127</v>
      </c>
    </row>
    <row r="32" spans="1:10" x14ac:dyDescent="0.25">
      <c r="A32" s="11" t="s">
        <v>250</v>
      </c>
      <c r="D32" s="11">
        <v>1.8300000000000001E-7</v>
      </c>
      <c r="E32" s="11" t="s">
        <v>5</v>
      </c>
      <c r="F32" s="11" t="s">
        <v>42</v>
      </c>
      <c r="G32" s="11" t="s">
        <v>43</v>
      </c>
      <c r="H32" s="11" t="s">
        <v>96</v>
      </c>
      <c r="J32" s="11" t="s">
        <v>127</v>
      </c>
    </row>
    <row r="33" spans="1:14" x14ac:dyDescent="0.25">
      <c r="A33" s="11" t="s">
        <v>246</v>
      </c>
      <c r="D33" s="11">
        <v>1.38E-5</v>
      </c>
      <c r="E33" s="11" t="s">
        <v>5</v>
      </c>
      <c r="F33" s="11" t="s">
        <v>42</v>
      </c>
      <c r="G33" s="11" t="s">
        <v>43</v>
      </c>
      <c r="H33" s="11" t="s">
        <v>96</v>
      </c>
      <c r="J33" s="11" t="s">
        <v>127</v>
      </c>
    </row>
    <row r="34" spans="1:14" x14ac:dyDescent="0.25">
      <c r="A34" s="11" t="s">
        <v>101</v>
      </c>
      <c r="D34" s="11">
        <v>2.79E-7</v>
      </c>
      <c r="E34" s="11" t="s">
        <v>5</v>
      </c>
      <c r="F34" s="11" t="s">
        <v>42</v>
      </c>
      <c r="G34" s="11" t="s">
        <v>43</v>
      </c>
      <c r="H34" s="11" t="s">
        <v>96</v>
      </c>
      <c r="J34" s="11" t="s">
        <v>127</v>
      </c>
    </row>
    <row r="35" spans="1:14" s="9" customFormat="1" ht="14.1" customHeight="1" x14ac:dyDescent="0.25"/>
    <row r="36" spans="1:14" x14ac:dyDescent="0.25">
      <c r="A36" s="10" t="s">
        <v>0</v>
      </c>
      <c r="B36" s="10" t="s">
        <v>251</v>
      </c>
    </row>
    <row r="37" spans="1:14" x14ac:dyDescent="0.25">
      <c r="A37" s="12" t="s">
        <v>1</v>
      </c>
      <c r="B37" s="11" t="s">
        <v>158</v>
      </c>
    </row>
    <row r="38" spans="1:14" x14ac:dyDescent="0.25">
      <c r="A38" s="12" t="s">
        <v>2</v>
      </c>
      <c r="B38" s="11" t="s">
        <v>173</v>
      </c>
    </row>
    <row r="39" spans="1:14" x14ac:dyDescent="0.25">
      <c r="A39" s="12" t="s">
        <v>3</v>
      </c>
      <c r="B39" s="13">
        <v>1</v>
      </c>
    </row>
    <row r="40" spans="1:14" x14ac:dyDescent="0.25">
      <c r="A40" s="12" t="s">
        <v>4</v>
      </c>
      <c r="B40" s="11" t="s">
        <v>5</v>
      </c>
    </row>
    <row r="41" spans="1:14" x14ac:dyDescent="0.25">
      <c r="A41" s="12" t="s">
        <v>6</v>
      </c>
      <c r="B41" s="11" t="s">
        <v>7</v>
      </c>
    </row>
    <row r="42" spans="1:14" x14ac:dyDescent="0.25">
      <c r="A42" s="12" t="s">
        <v>8</v>
      </c>
    </row>
    <row r="43" spans="1:14" x14ac:dyDescent="0.25">
      <c r="A43" s="10" t="s">
        <v>9</v>
      </c>
      <c r="B43" s="10" t="s">
        <v>1</v>
      </c>
      <c r="C43" s="10" t="s">
        <v>2</v>
      </c>
      <c r="D43" s="10" t="s">
        <v>3</v>
      </c>
      <c r="E43" s="10" t="s">
        <v>4</v>
      </c>
      <c r="F43" s="10" t="s">
        <v>10</v>
      </c>
      <c r="G43" s="10" t="s">
        <v>11</v>
      </c>
      <c r="H43" s="10" t="s">
        <v>12</v>
      </c>
      <c r="I43" s="10" t="s">
        <v>13</v>
      </c>
      <c r="J43" s="10" t="s">
        <v>14</v>
      </c>
      <c r="K43" s="10" t="s">
        <v>15</v>
      </c>
      <c r="L43" s="10" t="s">
        <v>16</v>
      </c>
      <c r="M43" s="10" t="s">
        <v>17</v>
      </c>
      <c r="N43" s="10" t="s">
        <v>18</v>
      </c>
    </row>
    <row r="44" spans="1:14" x14ac:dyDescent="0.25">
      <c r="A44" s="11" t="str">
        <f>B36</f>
        <v>Al production in North America through Al scraps recycling</v>
      </c>
      <c r="B44" s="11" t="str">
        <f>B37</f>
        <v>Al ingot</v>
      </c>
      <c r="C44" s="11" t="str">
        <f>B38</f>
        <v>North America</v>
      </c>
      <c r="D44" s="13">
        <v>1</v>
      </c>
      <c r="E44" s="11" t="s">
        <v>5</v>
      </c>
      <c r="F44" s="14" t="str">
        <f>F9</f>
        <v>Aluminium</v>
      </c>
      <c r="G44" s="11" t="s">
        <v>19</v>
      </c>
    </row>
    <row r="45" spans="1:14" x14ac:dyDescent="0.25">
      <c r="A45" s="11" t="str">
        <f>A9</f>
        <v>[P+R] Aluminium (Al) scraps recycling</v>
      </c>
      <c r="B45" s="11" t="str">
        <f t="shared" ref="B45:G45" si="0">B9</f>
        <v>Al ingot</v>
      </c>
      <c r="C45" s="11" t="str">
        <f t="shared" si="0"/>
        <v>North America</v>
      </c>
      <c r="D45" s="11">
        <v>1</v>
      </c>
      <c r="E45" s="11" t="str">
        <f t="shared" si="0"/>
        <v>kilogram</v>
      </c>
      <c r="F45" s="14" t="str">
        <f t="shared" si="0"/>
        <v>Aluminium</v>
      </c>
      <c r="G45" s="11" t="s">
        <v>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8" tint="0.39997558519241921"/>
  </sheetPr>
  <dimension ref="A1:N53"/>
  <sheetViews>
    <sheetView workbookViewId="0"/>
  </sheetViews>
  <sheetFormatPr baseColWidth="10" defaultColWidth="8.7109375" defaultRowHeight="15" x14ac:dyDescent="0.25"/>
  <cols>
    <col min="1" max="1" width="60.28515625" style="11" bestFit="1" customWidth="1"/>
    <col min="2" max="2" width="59.140625" style="11" customWidth="1"/>
    <col min="3" max="3" width="25.85546875" style="11" bestFit="1" customWidth="1"/>
    <col min="4" max="4" width="12" style="11" bestFit="1" customWidth="1"/>
    <col min="5" max="5" width="12.85546875" style="11" bestFit="1" customWidth="1"/>
    <col min="6" max="6" width="19.7109375" style="11" bestFit="1" customWidth="1"/>
    <col min="7" max="7" width="13.28515625" style="11" bestFit="1" customWidth="1"/>
    <col min="8" max="8" width="24.140625" style="11" bestFit="1" customWidth="1"/>
    <col min="9" max="9" width="15.5703125" style="11" bestFit="1" customWidth="1"/>
    <col min="10" max="10" width="17.7109375" style="11" bestFit="1" customWidth="1"/>
    <col min="11" max="11" width="3.5703125" style="11" bestFit="1" customWidth="1"/>
    <col min="12" max="12" width="5.42578125" style="11" bestFit="1" customWidth="1"/>
    <col min="13" max="13" width="9.5703125" style="11" bestFit="1" customWidth="1"/>
    <col min="14" max="14" width="9.85546875" style="11" bestFit="1" customWidth="1"/>
    <col min="15" max="16384" width="8.7109375" style="11"/>
  </cols>
  <sheetData>
    <row r="1" spans="1:14" x14ac:dyDescent="0.25">
      <c r="A1" s="10" t="s">
        <v>0</v>
      </c>
      <c r="B1" s="10" t="s">
        <v>231</v>
      </c>
    </row>
    <row r="2" spans="1:14" x14ac:dyDescent="0.25">
      <c r="A2" s="12" t="s">
        <v>1</v>
      </c>
      <c r="B2" s="11" t="s">
        <v>232</v>
      </c>
    </row>
    <row r="3" spans="1:14" x14ac:dyDescent="0.25">
      <c r="A3" s="12" t="s">
        <v>2</v>
      </c>
      <c r="B3" s="11" t="s">
        <v>180</v>
      </c>
    </row>
    <row r="4" spans="1:14" x14ac:dyDescent="0.25">
      <c r="A4" s="12" t="s">
        <v>3</v>
      </c>
      <c r="B4" s="13">
        <v>1</v>
      </c>
    </row>
    <row r="5" spans="1:14" x14ac:dyDescent="0.25">
      <c r="A5" s="12" t="s">
        <v>4</v>
      </c>
      <c r="B5" s="11" t="s">
        <v>5</v>
      </c>
    </row>
    <row r="6" spans="1:14" ht="30" x14ac:dyDescent="0.25">
      <c r="A6" s="12" t="s">
        <v>6</v>
      </c>
      <c r="B6" s="15" t="s">
        <v>233</v>
      </c>
    </row>
    <row r="7" spans="1:14" x14ac:dyDescent="0.25">
      <c r="A7" s="12" t="s">
        <v>8</v>
      </c>
    </row>
    <row r="8" spans="1:14" x14ac:dyDescent="0.25">
      <c r="A8" s="10" t="s">
        <v>9</v>
      </c>
      <c r="B8" s="10" t="s">
        <v>1</v>
      </c>
      <c r="C8" s="10" t="s">
        <v>2</v>
      </c>
      <c r="D8" s="10" t="s">
        <v>3</v>
      </c>
      <c r="E8" s="10" t="s">
        <v>4</v>
      </c>
      <c r="F8" s="10" t="s">
        <v>10</v>
      </c>
      <c r="G8" s="10" t="s">
        <v>11</v>
      </c>
      <c r="H8" s="10" t="s">
        <v>12</v>
      </c>
      <c r="I8" s="10" t="s">
        <v>13</v>
      </c>
      <c r="J8" s="10" t="s">
        <v>14</v>
      </c>
      <c r="K8" s="10" t="s">
        <v>15</v>
      </c>
      <c r="L8" s="10" t="s">
        <v>16</v>
      </c>
      <c r="M8" s="10" t="s">
        <v>17</v>
      </c>
      <c r="N8" s="10" t="s">
        <v>18</v>
      </c>
    </row>
    <row r="9" spans="1:14" x14ac:dyDescent="0.25">
      <c r="A9" s="11" t="str">
        <f>B1</f>
        <v>Aluminium (Al) scraps</v>
      </c>
      <c r="B9" s="11" t="str">
        <f>B2</f>
        <v>Al scraps</v>
      </c>
      <c r="C9" s="11" t="str">
        <f>B3</f>
        <v>Europe</v>
      </c>
      <c r="D9" s="13">
        <v>1</v>
      </c>
      <c r="E9" s="11" t="s">
        <v>5</v>
      </c>
      <c r="F9" s="14" t="str">
        <f>Al_Market_GLO!B1</f>
        <v>Aluminium</v>
      </c>
      <c r="G9" s="11" t="s">
        <v>19</v>
      </c>
    </row>
    <row r="10" spans="1:14" s="8" customFormat="1" x14ac:dyDescent="0.25"/>
    <row r="11" spans="1:14" x14ac:dyDescent="0.25">
      <c r="A11" s="10" t="s">
        <v>0</v>
      </c>
      <c r="B11" s="10" t="s">
        <v>234</v>
      </c>
    </row>
    <row r="12" spans="1:14" x14ac:dyDescent="0.25">
      <c r="A12" s="12" t="s">
        <v>1</v>
      </c>
      <c r="B12" s="11" t="s">
        <v>158</v>
      </c>
    </row>
    <row r="13" spans="1:14" x14ac:dyDescent="0.25">
      <c r="A13" s="12" t="s">
        <v>2</v>
      </c>
      <c r="B13" s="11" t="s">
        <v>180</v>
      </c>
    </row>
    <row r="14" spans="1:14" x14ac:dyDescent="0.25">
      <c r="A14" s="12" t="s">
        <v>3</v>
      </c>
      <c r="B14" s="13">
        <v>1</v>
      </c>
    </row>
    <row r="15" spans="1:14" x14ac:dyDescent="0.25">
      <c r="A15" s="12" t="s">
        <v>4</v>
      </c>
      <c r="B15" s="11" t="s">
        <v>5</v>
      </c>
    </row>
    <row r="16" spans="1:14" x14ac:dyDescent="0.25">
      <c r="A16" s="12" t="s">
        <v>6</v>
      </c>
      <c r="B16" s="11" t="s">
        <v>7</v>
      </c>
    </row>
    <row r="17" spans="1:14" x14ac:dyDescent="0.25">
      <c r="A17" s="12" t="s">
        <v>8</v>
      </c>
    </row>
    <row r="18" spans="1:14" x14ac:dyDescent="0.25">
      <c r="A18" s="10" t="s">
        <v>9</v>
      </c>
      <c r="B18" s="10" t="s">
        <v>1</v>
      </c>
      <c r="C18" s="10" t="s">
        <v>2</v>
      </c>
      <c r="D18" s="10" t="s">
        <v>3</v>
      </c>
      <c r="E18" s="10" t="s">
        <v>4</v>
      </c>
      <c r="F18" s="10" t="s">
        <v>10</v>
      </c>
      <c r="G18" s="10" t="s">
        <v>11</v>
      </c>
      <c r="H18" s="10" t="s">
        <v>12</v>
      </c>
      <c r="I18" s="10" t="s">
        <v>13</v>
      </c>
      <c r="J18" s="10" t="s">
        <v>14</v>
      </c>
      <c r="K18" s="10" t="s">
        <v>15</v>
      </c>
      <c r="L18" s="10" t="s">
        <v>16</v>
      </c>
      <c r="M18" s="10" t="s">
        <v>17</v>
      </c>
      <c r="N18" s="10" t="s">
        <v>18</v>
      </c>
    </row>
    <row r="19" spans="1:14" x14ac:dyDescent="0.25">
      <c r="A19" s="11" t="str">
        <f>B11</f>
        <v>[P+R] Al scraps recycling</v>
      </c>
      <c r="B19" s="11" t="str">
        <f>B12</f>
        <v>Al ingot</v>
      </c>
      <c r="C19" s="11" t="str">
        <f>B13</f>
        <v>Europe</v>
      </c>
      <c r="D19" s="13">
        <v>1</v>
      </c>
      <c r="E19" s="11" t="s">
        <v>5</v>
      </c>
      <c r="F19" s="14" t="str">
        <f>F9</f>
        <v>Aluminium</v>
      </c>
      <c r="G19" s="11" t="s">
        <v>19</v>
      </c>
    </row>
    <row r="20" spans="1:14" x14ac:dyDescent="0.25">
      <c r="A20" s="11" t="s">
        <v>110</v>
      </c>
      <c r="B20" s="11" t="s">
        <v>111</v>
      </c>
      <c r="C20" s="11" t="s">
        <v>29</v>
      </c>
      <c r="D20" s="11">
        <v>1.6904761904761899E-3</v>
      </c>
      <c r="E20" s="11" t="s">
        <v>5</v>
      </c>
      <c r="F20" s="11" t="s">
        <v>24</v>
      </c>
      <c r="G20" s="11" t="s">
        <v>25</v>
      </c>
      <c r="J20" s="11" t="s">
        <v>252</v>
      </c>
    </row>
    <row r="21" spans="1:14" x14ac:dyDescent="0.25">
      <c r="A21" s="11" t="s">
        <v>55</v>
      </c>
      <c r="B21" s="11" t="s">
        <v>56</v>
      </c>
      <c r="C21" s="11" t="s">
        <v>29</v>
      </c>
      <c r="D21" s="11">
        <v>5.465116279069767E-4</v>
      </c>
      <c r="E21" s="11" t="s">
        <v>5</v>
      </c>
      <c r="F21" s="11" t="s">
        <v>24</v>
      </c>
      <c r="G21" s="11" t="s">
        <v>25</v>
      </c>
      <c r="J21" s="11" t="s">
        <v>252</v>
      </c>
    </row>
    <row r="22" spans="1:14" x14ac:dyDescent="0.25">
      <c r="A22" s="11" t="s">
        <v>20</v>
      </c>
      <c r="B22" s="11" t="s">
        <v>21</v>
      </c>
      <c r="C22" s="11" t="s">
        <v>22</v>
      </c>
      <c r="D22" s="11">
        <v>2.35E-2</v>
      </c>
      <c r="E22" s="11" t="s">
        <v>23</v>
      </c>
      <c r="F22" s="11" t="s">
        <v>24</v>
      </c>
      <c r="G22" s="11" t="s">
        <v>25</v>
      </c>
      <c r="J22" s="11" t="s">
        <v>252</v>
      </c>
    </row>
    <row r="23" spans="1:14" x14ac:dyDescent="0.25">
      <c r="A23" s="11" t="s">
        <v>57</v>
      </c>
      <c r="B23" s="11" t="s">
        <v>58</v>
      </c>
      <c r="C23" s="11" t="s">
        <v>29</v>
      </c>
      <c r="D23" s="11">
        <v>7.6182266009852215E-2</v>
      </c>
      <c r="E23" s="11" t="s">
        <v>49</v>
      </c>
      <c r="F23" s="11" t="s">
        <v>24</v>
      </c>
      <c r="G23" s="11" t="s">
        <v>25</v>
      </c>
      <c r="J23" s="11" t="s">
        <v>252</v>
      </c>
    </row>
    <row r="24" spans="1:14" x14ac:dyDescent="0.25">
      <c r="A24" s="11" t="s">
        <v>26</v>
      </c>
      <c r="B24" s="11" t="s">
        <v>27</v>
      </c>
      <c r="C24" s="11" t="s">
        <v>89</v>
      </c>
      <c r="D24" s="11">
        <v>4.1666666666666657E-2</v>
      </c>
      <c r="E24" s="11" t="s">
        <v>28</v>
      </c>
      <c r="F24" s="11" t="s">
        <v>24</v>
      </c>
      <c r="G24" s="11" t="s">
        <v>25</v>
      </c>
      <c r="J24" s="11" t="s">
        <v>252</v>
      </c>
    </row>
    <row r="25" spans="1:14" x14ac:dyDescent="0.25">
      <c r="A25" s="11" t="s">
        <v>30</v>
      </c>
      <c r="B25" s="11" t="s">
        <v>31</v>
      </c>
      <c r="C25" s="11" t="s">
        <v>22</v>
      </c>
      <c r="D25" s="11">
        <v>2.1499999999999998E-2</v>
      </c>
      <c r="E25" s="11" t="s">
        <v>5</v>
      </c>
      <c r="F25" s="11" t="s">
        <v>24</v>
      </c>
      <c r="G25" s="11" t="s">
        <v>25</v>
      </c>
      <c r="J25" s="11" t="s">
        <v>252</v>
      </c>
    </row>
    <row r="26" spans="1:14" x14ac:dyDescent="0.25">
      <c r="A26" s="11" t="s">
        <v>79</v>
      </c>
      <c r="B26" s="11" t="s">
        <v>80</v>
      </c>
      <c r="C26" s="11" t="s">
        <v>89</v>
      </c>
      <c r="D26" s="11">
        <v>1.9E-3</v>
      </c>
      <c r="E26" s="11" t="s">
        <v>5</v>
      </c>
      <c r="F26" s="11" t="s">
        <v>24</v>
      </c>
      <c r="G26" s="11" t="s">
        <v>25</v>
      </c>
      <c r="J26" s="11" t="s">
        <v>252</v>
      </c>
    </row>
    <row r="27" spans="1:14" x14ac:dyDescent="0.25">
      <c r="A27" s="11" t="s">
        <v>65</v>
      </c>
      <c r="B27" s="11" t="s">
        <v>66</v>
      </c>
      <c r="C27" s="11" t="s">
        <v>89</v>
      </c>
      <c r="D27" s="11">
        <v>8.0000000000000004E-4</v>
      </c>
      <c r="E27" s="11" t="s">
        <v>5</v>
      </c>
      <c r="F27" s="11" t="s">
        <v>24</v>
      </c>
      <c r="G27" s="11" t="s">
        <v>25</v>
      </c>
      <c r="J27" s="11" t="s">
        <v>252</v>
      </c>
    </row>
    <row r="28" spans="1:14" x14ac:dyDescent="0.25">
      <c r="A28" s="11" t="s">
        <v>159</v>
      </c>
      <c r="B28" s="11" t="s">
        <v>160</v>
      </c>
      <c r="C28" s="11" t="s">
        <v>29</v>
      </c>
      <c r="D28" s="11">
        <v>2.0000000000000001E-4</v>
      </c>
      <c r="E28" s="11" t="s">
        <v>5</v>
      </c>
      <c r="F28" s="11" t="s">
        <v>24</v>
      </c>
      <c r="G28" s="11" t="s">
        <v>25</v>
      </c>
      <c r="J28" s="11" t="s">
        <v>252</v>
      </c>
    </row>
    <row r="29" spans="1:14" x14ac:dyDescent="0.25">
      <c r="A29" s="11" t="s">
        <v>30</v>
      </c>
      <c r="B29" s="11" t="s">
        <v>31</v>
      </c>
      <c r="C29" s="11" t="s">
        <v>22</v>
      </c>
      <c r="D29" s="11">
        <v>2.9999999999999997E-4</v>
      </c>
      <c r="E29" s="11" t="s">
        <v>5</v>
      </c>
      <c r="F29" s="11" t="s">
        <v>24</v>
      </c>
      <c r="G29" s="11" t="s">
        <v>25</v>
      </c>
      <c r="J29" s="11" t="s">
        <v>252</v>
      </c>
    </row>
    <row r="30" spans="1:14" x14ac:dyDescent="0.25">
      <c r="A30" s="11" t="s">
        <v>164</v>
      </c>
      <c r="B30" s="11" t="s">
        <v>165</v>
      </c>
      <c r="C30" s="11" t="s">
        <v>89</v>
      </c>
      <c r="D30" s="11">
        <v>-5.0999999999999997E-2</v>
      </c>
      <c r="E30" s="11" t="s">
        <v>5</v>
      </c>
      <c r="F30" s="11" t="s">
        <v>24</v>
      </c>
      <c r="G30" s="11" t="s">
        <v>25</v>
      </c>
      <c r="J30" s="11" t="s">
        <v>252</v>
      </c>
    </row>
    <row r="31" spans="1:14" x14ac:dyDescent="0.25">
      <c r="A31" s="11" t="s">
        <v>69</v>
      </c>
      <c r="B31" s="11" t="s">
        <v>70</v>
      </c>
      <c r="C31" s="11" t="s">
        <v>29</v>
      </c>
      <c r="D31" s="11">
        <v>-1.2999999999999999E-3</v>
      </c>
      <c r="E31" s="11" t="s">
        <v>5</v>
      </c>
      <c r="F31" s="11" t="s">
        <v>24</v>
      </c>
      <c r="G31" s="11" t="s">
        <v>25</v>
      </c>
      <c r="J31" s="11" t="s">
        <v>252</v>
      </c>
    </row>
    <row r="32" spans="1:14" x14ac:dyDescent="0.25">
      <c r="A32" s="11" t="s">
        <v>253</v>
      </c>
      <c r="B32" s="11" t="s">
        <v>37</v>
      </c>
      <c r="C32" s="11" t="s">
        <v>29</v>
      </c>
      <c r="D32" s="11">
        <v>-5.9999999999999995E-4</v>
      </c>
      <c r="E32" s="11" t="s">
        <v>5</v>
      </c>
      <c r="F32" s="11" t="s">
        <v>24</v>
      </c>
      <c r="G32" s="11" t="s">
        <v>25</v>
      </c>
      <c r="J32" s="11" t="s">
        <v>252</v>
      </c>
    </row>
    <row r="33" spans="1:10" x14ac:dyDescent="0.25">
      <c r="A33" s="11" t="s">
        <v>254</v>
      </c>
      <c r="B33" s="11" t="s">
        <v>81</v>
      </c>
      <c r="C33" s="11" t="s">
        <v>88</v>
      </c>
      <c r="D33" s="11">
        <v>-2.0000000000000001E-4</v>
      </c>
      <c r="E33" s="11" t="s">
        <v>5</v>
      </c>
      <c r="F33" s="11" t="s">
        <v>24</v>
      </c>
      <c r="G33" s="11" t="s">
        <v>25</v>
      </c>
      <c r="J33" s="11" t="s">
        <v>252</v>
      </c>
    </row>
    <row r="34" spans="1:10" x14ac:dyDescent="0.25">
      <c r="A34" s="11" t="s">
        <v>255</v>
      </c>
      <c r="D34" s="11">
        <v>8.199999999999999E-3</v>
      </c>
      <c r="E34" s="11" t="s">
        <v>49</v>
      </c>
      <c r="F34" s="11" t="s">
        <v>42</v>
      </c>
      <c r="G34" s="11" t="s">
        <v>43</v>
      </c>
      <c r="H34" s="11" t="s">
        <v>169</v>
      </c>
      <c r="J34" s="11" t="s">
        <v>252</v>
      </c>
    </row>
    <row r="35" spans="1:10" x14ac:dyDescent="0.25">
      <c r="A35" s="11" t="s">
        <v>238</v>
      </c>
      <c r="D35" s="11">
        <v>6.9999999999999997E-7</v>
      </c>
      <c r="E35" s="11" t="s">
        <v>5</v>
      </c>
      <c r="F35" s="11" t="s">
        <v>42</v>
      </c>
      <c r="G35" s="11" t="s">
        <v>43</v>
      </c>
      <c r="H35" s="11" t="s">
        <v>63</v>
      </c>
      <c r="J35" s="11" t="s">
        <v>252</v>
      </c>
    </row>
    <row r="36" spans="1:10" x14ac:dyDescent="0.25">
      <c r="A36" s="11" t="s">
        <v>92</v>
      </c>
      <c r="D36" s="11">
        <v>1.06E-5</v>
      </c>
      <c r="E36" s="11" t="s">
        <v>5</v>
      </c>
      <c r="F36" s="11" t="s">
        <v>42</v>
      </c>
      <c r="G36" s="11" t="s">
        <v>43</v>
      </c>
      <c r="H36" s="11" t="s">
        <v>63</v>
      </c>
      <c r="J36" s="11" t="s">
        <v>252</v>
      </c>
    </row>
    <row r="37" spans="1:10" x14ac:dyDescent="0.25">
      <c r="A37" s="11" t="s">
        <v>64</v>
      </c>
      <c r="D37" s="11">
        <v>3.1300000000000002E-5</v>
      </c>
      <c r="E37" s="11" t="s">
        <v>5</v>
      </c>
      <c r="F37" s="11" t="s">
        <v>42</v>
      </c>
      <c r="G37" s="11" t="s">
        <v>43</v>
      </c>
      <c r="H37" s="11" t="s">
        <v>63</v>
      </c>
      <c r="J37" s="11" t="s">
        <v>252</v>
      </c>
    </row>
    <row r="38" spans="1:10" x14ac:dyDescent="0.25">
      <c r="A38" s="11" t="s">
        <v>73</v>
      </c>
      <c r="D38" s="11">
        <v>2.9999999999999997E-4</v>
      </c>
      <c r="E38" s="11" t="s">
        <v>5</v>
      </c>
      <c r="F38" s="11" t="s">
        <v>42</v>
      </c>
      <c r="G38" s="11" t="s">
        <v>43</v>
      </c>
      <c r="H38" s="11" t="s">
        <v>63</v>
      </c>
      <c r="J38" s="11" t="s">
        <v>252</v>
      </c>
    </row>
    <row r="39" spans="1:10" x14ac:dyDescent="0.25">
      <c r="A39" s="11" t="s">
        <v>62</v>
      </c>
      <c r="D39" s="11">
        <v>5.2200000000000002E-5</v>
      </c>
      <c r="E39" s="11" t="s">
        <v>5</v>
      </c>
      <c r="F39" s="11" t="s">
        <v>42</v>
      </c>
      <c r="G39" s="11" t="s">
        <v>43</v>
      </c>
      <c r="H39" s="11" t="s">
        <v>63</v>
      </c>
      <c r="J39" s="11" t="s">
        <v>252</v>
      </c>
    </row>
    <row r="40" spans="1:10" x14ac:dyDescent="0.25">
      <c r="A40" s="11" t="s">
        <v>91</v>
      </c>
      <c r="D40" s="11">
        <v>6.5099999999999997E-5</v>
      </c>
      <c r="E40" s="11" t="s">
        <v>5</v>
      </c>
      <c r="F40" s="11" t="s">
        <v>42</v>
      </c>
      <c r="G40" s="11" t="s">
        <v>43</v>
      </c>
      <c r="H40" s="11" t="s">
        <v>63</v>
      </c>
      <c r="J40" s="11" t="s">
        <v>252</v>
      </c>
    </row>
    <row r="41" spans="1:10" x14ac:dyDescent="0.25">
      <c r="A41" s="11" t="s">
        <v>118</v>
      </c>
      <c r="D41" s="11">
        <v>8.0999999999999996E-3</v>
      </c>
      <c r="E41" s="11" t="s">
        <v>49</v>
      </c>
      <c r="F41" s="11" t="s">
        <v>42</v>
      </c>
      <c r="G41" s="11" t="s">
        <v>43</v>
      </c>
      <c r="H41" s="11" t="s">
        <v>96</v>
      </c>
      <c r="J41" s="11" t="s">
        <v>252</v>
      </c>
    </row>
    <row r="42" spans="1:10" s="9" customFormat="1" ht="14.1" customHeight="1" x14ac:dyDescent="0.25"/>
    <row r="43" spans="1:10" x14ac:dyDescent="0.25">
      <c r="A43" s="10" t="s">
        <v>0</v>
      </c>
      <c r="B43" s="10" t="s">
        <v>256</v>
      </c>
    </row>
    <row r="44" spans="1:10" x14ac:dyDescent="0.25">
      <c r="A44" s="12" t="s">
        <v>1</v>
      </c>
      <c r="B44" s="11" t="s">
        <v>158</v>
      </c>
    </row>
    <row r="45" spans="1:10" x14ac:dyDescent="0.25">
      <c r="A45" s="12" t="s">
        <v>2</v>
      </c>
      <c r="B45" s="11" t="s">
        <v>180</v>
      </c>
    </row>
    <row r="46" spans="1:10" x14ac:dyDescent="0.25">
      <c r="A46" s="12" t="s">
        <v>3</v>
      </c>
      <c r="B46" s="13">
        <v>1</v>
      </c>
    </row>
    <row r="47" spans="1:10" x14ac:dyDescent="0.25">
      <c r="A47" s="12" t="s">
        <v>4</v>
      </c>
      <c r="B47" s="11" t="s">
        <v>5</v>
      </c>
    </row>
    <row r="48" spans="1:10" x14ac:dyDescent="0.25">
      <c r="A48" s="12" t="s">
        <v>6</v>
      </c>
      <c r="B48" s="11" t="s">
        <v>7</v>
      </c>
    </row>
    <row r="49" spans="1:14" x14ac:dyDescent="0.25">
      <c r="A49" s="12" t="s">
        <v>8</v>
      </c>
    </row>
    <row r="50" spans="1:14" x14ac:dyDescent="0.25">
      <c r="A50" s="10" t="s">
        <v>9</v>
      </c>
      <c r="B50" s="10" t="s">
        <v>1</v>
      </c>
      <c r="C50" s="10" t="s">
        <v>2</v>
      </c>
      <c r="D50" s="10" t="s">
        <v>3</v>
      </c>
      <c r="E50" s="10" t="s">
        <v>4</v>
      </c>
      <c r="F50" s="10" t="s">
        <v>10</v>
      </c>
      <c r="G50" s="10" t="s">
        <v>11</v>
      </c>
      <c r="H50" s="10" t="s">
        <v>12</v>
      </c>
      <c r="I50" s="10" t="s">
        <v>13</v>
      </c>
      <c r="J50" s="10" t="s">
        <v>14</v>
      </c>
      <c r="K50" s="10" t="s">
        <v>15</v>
      </c>
      <c r="L50" s="10" t="s">
        <v>16</v>
      </c>
      <c r="M50" s="10" t="s">
        <v>17</v>
      </c>
      <c r="N50" s="10" t="s">
        <v>18</v>
      </c>
    </row>
    <row r="51" spans="1:14" x14ac:dyDescent="0.25">
      <c r="A51" s="11" t="str">
        <f>B43</f>
        <v>Al production in Europe through Al scraps recycling</v>
      </c>
      <c r="B51" s="11" t="str">
        <f>B44</f>
        <v>Al ingot</v>
      </c>
      <c r="C51" s="11" t="str">
        <f>B45</f>
        <v>Europe</v>
      </c>
      <c r="D51" s="13">
        <v>1</v>
      </c>
      <c r="E51" s="11" t="s">
        <v>5</v>
      </c>
      <c r="F51" s="14" t="str">
        <f>F19</f>
        <v>Aluminium</v>
      </c>
      <c r="G51" s="11" t="s">
        <v>19</v>
      </c>
    </row>
    <row r="52" spans="1:14" x14ac:dyDescent="0.25">
      <c r="A52" s="11" t="str">
        <f>A19</f>
        <v>[P+R] Al scraps recycling</v>
      </c>
      <c r="B52" s="11" t="str">
        <f>B19</f>
        <v>Al ingot</v>
      </c>
      <c r="C52" s="11" t="str">
        <f>C19</f>
        <v>Europe</v>
      </c>
      <c r="D52" s="11">
        <v>1</v>
      </c>
      <c r="E52" s="11" t="str">
        <f>E19</f>
        <v>kilogram</v>
      </c>
      <c r="F52" s="14" t="str">
        <f>F19</f>
        <v>Aluminium</v>
      </c>
      <c r="G52" s="11" t="s">
        <v>25</v>
      </c>
    </row>
    <row r="53" spans="1:14" x14ac:dyDescent="0.25">
      <c r="A53" s="11" t="str">
        <f>A9</f>
        <v>Aluminium (Al) scraps</v>
      </c>
      <c r="B53" s="11" t="str">
        <f>B9</f>
        <v>Al scraps</v>
      </c>
      <c r="C53" s="11" t="str">
        <f>C9</f>
        <v>Europe</v>
      </c>
      <c r="D53" s="11">
        <v>1.0189999999999999</v>
      </c>
      <c r="E53" s="11" t="str">
        <f>E9</f>
        <v>kilogram</v>
      </c>
      <c r="F53" s="14" t="str">
        <f>F9</f>
        <v>Aluminium</v>
      </c>
      <c r="G53" s="11" t="s">
        <v>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8c010b-218d-4be4-b2d9-423b1f51aae5">
      <Terms xmlns="http://schemas.microsoft.com/office/infopath/2007/PartnerControls"/>
    </lcf76f155ced4ddcb4097134ff3c332f>
    <TaxCatchAll xmlns="adc0c41a-12c1-4165-8422-5f5ca88e9f6a" xsi:nil="true"/>
  </documentManagement>
</p:properties>
</file>

<file path=customXml/itemProps1.xml><?xml version="1.0" encoding="utf-8"?>
<ds:datastoreItem xmlns:ds="http://schemas.openxmlformats.org/officeDocument/2006/customXml" ds:itemID="{C20CDCB7-26A1-42A5-8239-B2D8D165CA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E82C3D-342F-4CCE-AFC6-6CB3B2BD91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EF878A-BCB3-48AA-9DB8-5140F8D515A0}">
  <ds:schemaRefs>
    <ds:schemaRef ds:uri="http://schemas.microsoft.com/office/2006/metadata/properties"/>
    <ds:schemaRef ds:uri="http://schemas.microsoft.com/office/infopath/2007/PartnerControls"/>
    <ds:schemaRef ds:uri="d78c010b-218d-4be4-b2d9-423b1f51aae5"/>
    <ds:schemaRef ds:uri="adc0c41a-12c1-4165-8422-5f5ca88e9f6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Note</vt:lpstr>
      <vt:lpstr>Al_Market_GLO</vt:lpstr>
      <vt:lpstr>Al_Mining_GLO</vt:lpstr>
      <vt:lpstr>PR1_Al_SAM</vt:lpstr>
      <vt:lpstr>PR2_Al_OCA</vt:lpstr>
      <vt:lpstr>PR3_Al_NAM</vt:lpstr>
      <vt:lpstr>PR4_Al_EUR</vt:lpstr>
      <vt:lpstr>PR5_Al_ROE</vt:lpstr>
      <vt:lpstr>PR6_Al_GCC</vt:lpstr>
      <vt:lpstr>PR7_Al_AFR</vt:lpstr>
      <vt:lpstr>PR8_Al_OAS</vt:lpstr>
      <vt:lpstr>PR9_Al_CN</vt:lpstr>
      <vt:lpstr>PR10_Al_CN_Recycling</vt:lpstr>
      <vt:lpstr>PR11_Al_NAM_Recycling</vt:lpstr>
      <vt:lpstr>PR12_Al_EUR_Recycling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Frederic</cp:lastModifiedBy>
  <dcterms:created xsi:type="dcterms:W3CDTF">2015-06-05T18:19:34Z</dcterms:created>
  <dcterms:modified xsi:type="dcterms:W3CDTF">2025-07-17T08:45:38Z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