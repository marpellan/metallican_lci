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https://brgm365.sharepoint.com/sites/RPPEXIMPMET/Documents partages/General/P2/04_Data/04_Modelling/02_LCI modelling/Se_Selenium/"/>
    </mc:Choice>
  </mc:AlternateContent>
  <xr:revisionPtr revIDLastSave="2" documentId="8_{6D7C7054-C941-45C6-A892-54D70497BC06}" xr6:coauthVersionLast="47" xr6:coauthVersionMax="47" xr10:uidLastSave="{9BB68C31-12A6-4105-9DA0-F8495C4535EB}"/>
  <bookViews>
    <workbookView xWindow="-23148" yWindow="-108" windowWidth="23256" windowHeight="12576" activeTab="3" xr2:uid="{00000000-000D-0000-FFFF-FFFF00000000}"/>
  </bookViews>
  <sheets>
    <sheet name="Note" sheetId="1" r:id="rId1"/>
    <sheet name="Se_Market_GLO" sheetId="3" r:id="rId2"/>
    <sheet name="PR1_Se_US" sheetId="2" r:id="rId3"/>
    <sheet name="PR2_Se_SE_Pyro" sheetId="4" r:id="rId4"/>
    <sheet name="PR3_Se_CN_CuSlime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9" i="5" l="1"/>
  <c r="E14" i="3"/>
  <c r="B13" i="3"/>
  <c r="C13" i="3"/>
  <c r="E13" i="3"/>
  <c r="F13" i="3"/>
  <c r="A13" i="3"/>
  <c r="B12" i="3"/>
  <c r="C12" i="3"/>
  <c r="E12" i="3"/>
  <c r="F12" i="3"/>
  <c r="A12" i="3"/>
  <c r="E32" i="5"/>
  <c r="C31" i="5"/>
  <c r="C14" i="3" s="1"/>
  <c r="B31" i="5"/>
  <c r="B14" i="3" s="1"/>
  <c r="A31" i="5"/>
  <c r="A14" i="3" s="1"/>
  <c r="C9" i="5"/>
  <c r="C32" i="5" s="1"/>
  <c r="B9" i="5"/>
  <c r="B32" i="5" s="1"/>
  <c r="A9" i="5"/>
  <c r="A32" i="5" s="1"/>
  <c r="F9" i="4" l="1"/>
  <c r="F31" i="5" l="1"/>
  <c r="F14" i="3" s="1"/>
  <c r="F32" i="5"/>
  <c r="F144" i="4"/>
  <c r="E144" i="4"/>
  <c r="C144" i="4"/>
  <c r="E143" i="4"/>
  <c r="C143" i="4"/>
  <c r="B142" i="4"/>
  <c r="A142" i="4"/>
  <c r="F60" i="4"/>
  <c r="F142" i="4" s="1"/>
  <c r="B60" i="4"/>
  <c r="B143" i="4" s="1"/>
  <c r="A60" i="4"/>
  <c r="A143" i="4" s="1"/>
  <c r="B9" i="4"/>
  <c r="B144" i="4" s="1"/>
  <c r="A9" i="4"/>
  <c r="A144" i="4" s="1"/>
  <c r="F143" i="4" l="1"/>
  <c r="B65" i="2"/>
  <c r="C65" i="2"/>
  <c r="D65" i="2"/>
  <c r="E65" i="2"/>
  <c r="A65" i="2"/>
  <c r="C64" i="2"/>
  <c r="D64" i="2"/>
  <c r="E64" i="2"/>
  <c r="C63" i="2"/>
  <c r="B63" i="2"/>
  <c r="A63" i="2"/>
  <c r="C22" i="2"/>
  <c r="B22" i="2"/>
  <c r="B64" i="2" s="1"/>
  <c r="A22" i="2"/>
  <c r="A64" i="2" s="1"/>
  <c r="F9" i="2"/>
  <c r="F65" i="2" s="1"/>
  <c r="C9" i="2"/>
  <c r="B9" i="2"/>
  <c r="A9" i="2"/>
  <c r="F11" i="3"/>
  <c r="C11" i="3"/>
  <c r="B11" i="3"/>
  <c r="A11" i="3"/>
  <c r="F22" i="2" l="1"/>
  <c r="F64" i="2" l="1"/>
  <c r="F63" i="2"/>
</calcChain>
</file>

<file path=xl/sharedStrings.xml><?xml version="1.0" encoding="utf-8"?>
<sst xmlns="http://schemas.openxmlformats.org/spreadsheetml/2006/main" count="1329" uniqueCount="228">
  <si>
    <t>Activity</t>
  </si>
  <si>
    <t>[M+C] Copper (Cu) ore mining and concentration (United States)</t>
  </si>
  <si>
    <t>reference product</t>
  </si>
  <si>
    <t>Cu concentrate</t>
  </si>
  <si>
    <t>location</t>
  </si>
  <si>
    <t>US</t>
  </si>
  <si>
    <t>amount</t>
  </si>
  <si>
    <t>unit</t>
  </si>
  <si>
    <t>kilogram</t>
  </si>
  <si>
    <t>comment</t>
  </si>
  <si>
    <t>Exchanges</t>
  </si>
  <si>
    <t>name</t>
  </si>
  <si>
    <t>database</t>
  </si>
  <si>
    <t>type</t>
  </si>
  <si>
    <t>categories</t>
  </si>
  <si>
    <t>uncertainty type</t>
  </si>
  <si>
    <t>pedigree</t>
  </si>
  <si>
    <t>loc</t>
  </si>
  <si>
    <t>scale</t>
  </si>
  <si>
    <t>minimum</t>
  </si>
  <si>
    <t>maximum</t>
  </si>
  <si>
    <t>production</t>
  </si>
  <si>
    <t>market group for electricity, medium voltage</t>
  </si>
  <si>
    <t>electricity, medium voltage</t>
  </si>
  <si>
    <t>kilowatt hour</t>
  </si>
  <si>
    <t>ecoinvent 3.10 cutoff</t>
  </si>
  <si>
    <t>technosphere</t>
  </si>
  <si>
    <t>(4,5,5,1,2)</t>
  </si>
  <si>
    <t>market for heavy fuel oil, burned in refinery furnace</t>
  </si>
  <si>
    <t>heavy fuel oil, burned in refinery furnace</t>
  </si>
  <si>
    <t>GLO</t>
  </si>
  <si>
    <t>megajoule</t>
  </si>
  <si>
    <t>Particulate Matter, &gt; 2.5 um and &lt; 10um</t>
  </si>
  <si>
    <t>biosphere3</t>
  </si>
  <si>
    <t>biosphere</t>
  </si>
  <si>
    <t>air</t>
  </si>
  <si>
    <t>(3,5,5,1,2)</t>
  </si>
  <si>
    <t>[P+R] Refined Selenium (Se) production - Pyrometallurgy</t>
  </si>
  <si>
    <t>Refined Se</t>
  </si>
  <si>
    <t>(3,5,5,2,2)</t>
  </si>
  <si>
    <t>market for hard coal briquettes</t>
  </si>
  <si>
    <t>hard coal briquettes</t>
  </si>
  <si>
    <t>RoW</t>
  </si>
  <si>
    <t>market for heat, district or industrial, natural gas</t>
  </si>
  <si>
    <t>heat, district or industrial, natural gas</t>
  </si>
  <si>
    <t>(1,5,5,1,2)</t>
  </si>
  <si>
    <t>Sulfur oxides</t>
  </si>
  <si>
    <t>Silver I</t>
  </si>
  <si>
    <t>Arsenic ion</t>
  </si>
  <si>
    <t>Cadmium II</t>
  </si>
  <si>
    <t>Chromium III</t>
  </si>
  <si>
    <t>Copper ion</t>
  </si>
  <si>
    <t>Mercury II</t>
  </si>
  <si>
    <t>Manganese II</t>
  </si>
  <si>
    <t>Nickel II</t>
  </si>
  <si>
    <t>Lead II</t>
  </si>
  <si>
    <t>Antimony ion</t>
  </si>
  <si>
    <t>Selenium IV</t>
  </si>
  <si>
    <t>Vanadium V</t>
  </si>
  <si>
    <t>Zinc II</t>
  </si>
  <si>
    <t>water</t>
  </si>
  <si>
    <t>Se recovery from Cu production in the US through Pyrometallurgy</t>
  </si>
  <si>
    <t>n/a</t>
  </si>
  <si>
    <t>Copper</t>
  </si>
  <si>
    <t>CN</t>
  </si>
  <si>
    <t>SE</t>
  </si>
  <si>
    <t>Selenium</t>
  </si>
  <si>
    <t>Selenium (Se) global market</t>
  </si>
  <si>
    <r>
      <rPr>
        <sz val="11"/>
        <color theme="5"/>
        <rFont val="Calibri"/>
        <family val="2"/>
        <scheme val="minor"/>
      </rPr>
      <t>This unit process is allocated, but with unknown allocation factors (not provided in the original data source).</t>
    </r>
    <r>
      <rPr>
        <sz val="11"/>
        <color rgb="FFFF0000"/>
        <rFont val="Calibri"/>
        <family val="2"/>
        <scheme val="minor"/>
      </rPr>
      <t xml:space="preserve">
</t>
    </r>
    <r>
      <rPr>
        <sz val="11"/>
        <rFont val="Calibri"/>
        <family val="2"/>
        <scheme val="minor"/>
      </rPr>
      <t xml:space="preserve">In the absence of detailed mass balance for this intermediary product, the reference flow of this unit process is set by default at 1 kg, while the input and ouput flows of the inventory are actually scaled to </t>
    </r>
    <r>
      <rPr>
        <b/>
        <sz val="11"/>
        <rFont val="Calibri"/>
        <family val="2"/>
        <scheme val="minor"/>
      </rPr>
      <t>1 kg of refined Se</t>
    </r>
    <r>
      <rPr>
        <sz val="11"/>
        <rFont val="Calibri"/>
        <family val="2"/>
        <scheme val="minor"/>
      </rPr>
      <t>.</t>
    </r>
  </si>
  <si>
    <t>This unit process is allocated, but with unknown allocation factors (not provided in the original data source).</t>
  </si>
  <si>
    <t>[M+C] Copper (Cu) ore mining and concentration (Sweden)</t>
  </si>
  <si>
    <t>market for diesel, burned in building machine</t>
  </si>
  <si>
    <t>diesel, burned in building machine</t>
  </si>
  <si>
    <t>(1,1,3,1,1)</t>
  </si>
  <si>
    <t>market for electricity, high voltage</t>
  </si>
  <si>
    <t>electricity, high voltage</t>
  </si>
  <si>
    <t>heat production, wood pellet, at furnace 25kW, state-of-the-art 2014</t>
  </si>
  <si>
    <t>heat, central or small-scale, other than natural gas</t>
  </si>
  <si>
    <t>market for explosive, tovex</t>
  </si>
  <si>
    <t>explosive, tovex</t>
  </si>
  <si>
    <t>market for lime, packed</t>
  </si>
  <si>
    <t>lime, packed</t>
  </si>
  <si>
    <t>Europe without Switzerland</t>
  </si>
  <si>
    <t>market for sodium chloride, powder</t>
  </si>
  <si>
    <t>sodium chloride, powder</t>
  </si>
  <si>
    <t>market for sodium chloride, brine solution</t>
  </si>
  <si>
    <t>sodium chloride, brine solution</t>
  </si>
  <si>
    <t>market for aluminium hydroxide</t>
  </si>
  <si>
    <t>aluminium hydroxide</t>
  </si>
  <si>
    <t>market for chemical, inorganic</t>
  </si>
  <si>
    <t>chemical, inorganic</t>
  </si>
  <si>
    <t>market for light fuel oil</t>
  </si>
  <si>
    <t>light fuel oil</t>
  </si>
  <si>
    <t>transport, freight train, electricity</t>
  </si>
  <si>
    <t>transport, freight train</t>
  </si>
  <si>
    <t>ton kilometer</t>
  </si>
  <si>
    <t>market for non-sulfidic overburden, off-site</t>
  </si>
  <si>
    <t>non-sulfidic overburden, off-site</t>
  </si>
  <si>
    <t>treatment of hazardous waste, underground deposit</t>
  </si>
  <si>
    <t>hazardous waste, for underground deposit</t>
  </si>
  <si>
    <t>market for waste mineral oil</t>
  </si>
  <si>
    <t>waste mineral oil</t>
  </si>
  <si>
    <t>market for sewage sludge</t>
  </si>
  <si>
    <t>sewage sludge</t>
  </si>
  <si>
    <t>cubic meter</t>
  </si>
  <si>
    <t>treatment of hazardous waste, hazardous waste incineration</t>
  </si>
  <si>
    <t>hazardous waste, for incineration</t>
  </si>
  <si>
    <t>Occupation, mineral extraction site</t>
  </si>
  <si>
    <t>square meter-year</t>
  </si>
  <si>
    <t>natural resource::land</t>
  </si>
  <si>
    <t>natural resource::in ground</t>
  </si>
  <si>
    <t>Water, river</t>
  </si>
  <si>
    <t>natural resource::in water</t>
  </si>
  <si>
    <t>Water, well, in ground</t>
  </si>
  <si>
    <t>Nitrogen oxides</t>
  </si>
  <si>
    <t>Carbon dioxide, fossil</t>
  </si>
  <si>
    <t>Aluminium III</t>
  </si>
  <si>
    <t>Nitrogen</t>
  </si>
  <si>
    <t>[P+R] Selenium (Se) production - Pyrometallurgy (Sweden)</t>
  </si>
  <si>
    <t>market for heavy fuel oil</t>
  </si>
  <si>
    <t>heavy fuel oil</t>
  </si>
  <si>
    <t>market for liquefied petroleum gas</t>
  </si>
  <si>
    <t>liquefied petroleum gas</t>
  </si>
  <si>
    <t>market for tap water</t>
  </si>
  <si>
    <t>tap water</t>
  </si>
  <si>
    <t>market for silica sand</t>
  </si>
  <si>
    <t>silica sand</t>
  </si>
  <si>
    <t>market for lime</t>
  </si>
  <si>
    <t>lime</t>
  </si>
  <si>
    <t>RER</t>
  </si>
  <si>
    <t>market for limestone, crushed, washed</t>
  </si>
  <si>
    <t>limestone, crushed, washed</t>
  </si>
  <si>
    <t>market for compressed air, 800 kPa gauge</t>
  </si>
  <si>
    <t>compressed air, 800 kPa gauge</t>
  </si>
  <si>
    <t>market for soda ash, dense</t>
  </si>
  <si>
    <t>soda ash, dense</t>
  </si>
  <si>
    <t>market for borax, anhydrous, powder</t>
  </si>
  <si>
    <t>borax, anhydrous, powder</t>
  </si>
  <si>
    <t>market for barite</t>
  </si>
  <si>
    <t>barite</t>
  </si>
  <si>
    <t>market for sodium hydroxide, without water, in 50% solution state</t>
  </si>
  <si>
    <t>sodium hydroxide, without water, in 50% solution state</t>
  </si>
  <si>
    <t>market for ammonia, anhydrous, liquid</t>
  </si>
  <si>
    <t>ammonia, anhydrous, liquid</t>
  </si>
  <si>
    <t>market for chemical, organic</t>
  </si>
  <si>
    <t>chemical, organic</t>
  </si>
  <si>
    <t>market for paraffin</t>
  </si>
  <si>
    <t>paraffin</t>
  </si>
  <si>
    <t>market for graphite</t>
  </si>
  <si>
    <t>graphite</t>
  </si>
  <si>
    <t>market for iron sulfate</t>
  </si>
  <si>
    <t>iron sulfate</t>
  </si>
  <si>
    <t>market for chlorine, gaseous</t>
  </si>
  <si>
    <t>chlorine, gaseous</t>
  </si>
  <si>
    <t>chemical production, inorganic</t>
  </si>
  <si>
    <t>market for polyacrylamide</t>
  </si>
  <si>
    <t>polyacrylamide</t>
  </si>
  <si>
    <t>market for sodium sulfide</t>
  </si>
  <si>
    <t>sodium sulfide</t>
  </si>
  <si>
    <t>market for sodium formate</t>
  </si>
  <si>
    <t>sodium formate</t>
  </si>
  <si>
    <t>market for nitric acid, without water, in 50% solution state</t>
  </si>
  <si>
    <t>nitric acid, without water, in 50% solution state</t>
  </si>
  <si>
    <t>market for hydrochloric acid, without water, in 30% solution state</t>
  </si>
  <si>
    <t>hydrochloric acid, without water, in 30% solution state</t>
  </si>
  <si>
    <t>market for dithiocarbamate-compound</t>
  </si>
  <si>
    <t>dithiocarbamate-compound</t>
  </si>
  <si>
    <t>market for sodium phosphate</t>
  </si>
  <si>
    <t>sodium phosphate</t>
  </si>
  <si>
    <t>market for wax, lost-wax casting</t>
  </si>
  <si>
    <t>wax, lost-wax casting</t>
  </si>
  <si>
    <t>market for hydrogen peroxide, without water, in 50% solution state</t>
  </si>
  <si>
    <t>hydrogen peroxide, without water, in 50% solution state</t>
  </si>
  <si>
    <t>market for inert waste, for final disposal</t>
  </si>
  <si>
    <t>inert waste, for final disposal</t>
  </si>
  <si>
    <t>treatment of waste paper, unsorted, sorting</t>
  </si>
  <si>
    <t>waste paper, sorted</t>
  </si>
  <si>
    <t>market for ferrous metal, in mixed metal scrap</t>
  </si>
  <si>
    <t>ferrous metal, in mixed metal scrap</t>
  </si>
  <si>
    <t>treatment of waste wood, untreated, municipal incineration</t>
  </si>
  <si>
    <t>waste wood, untreated</t>
  </si>
  <si>
    <t>treatment of waste mineral oil, hazardous waste incineration</t>
  </si>
  <si>
    <t>market for waste plastic, mixture</t>
  </si>
  <si>
    <t>waste plastic, mixture</t>
  </si>
  <si>
    <t>market for used Li-ion battery</t>
  </si>
  <si>
    <t>used Li-ion battery</t>
  </si>
  <si>
    <t>market for waste emulsion paint</t>
  </si>
  <si>
    <t>waste emulsion paint</t>
  </si>
  <si>
    <t>market for used fluorescent lamp</t>
  </si>
  <si>
    <t>used fluorescent lamp</t>
  </si>
  <si>
    <t>market for refinery sludge</t>
  </si>
  <si>
    <t>refinery sludge</t>
  </si>
  <si>
    <t>treatment of municipal solid waste, municipal incineration</t>
  </si>
  <si>
    <t>municipal solid waste</t>
  </si>
  <si>
    <t>market for hazardous waste, for underground deposit</t>
  </si>
  <si>
    <t>market for sulfuric acid</t>
  </si>
  <si>
    <t>sulfuric acid</t>
  </si>
  <si>
    <t>market for sulfur dioxide, liquid</t>
  </si>
  <si>
    <t>sulfur dioxide, liquid</t>
  </si>
  <si>
    <t>Dioxins, measured as 2,3,7,8-tetrachlorodibenzo-p-dioxin</t>
  </si>
  <si>
    <t>Sulfur dioxide</t>
  </si>
  <si>
    <t>Se recovery from Cu production in Sweden/Rönnskärsverken</t>
  </si>
  <si>
    <r>
      <t xml:space="preserve">Applied AF: "Cu concentrate" input = </t>
    </r>
    <r>
      <rPr>
        <b/>
        <sz val="11"/>
        <color theme="5"/>
        <rFont val="Calibri"/>
        <family val="2"/>
        <scheme val="minor"/>
      </rPr>
      <t>0.07%</t>
    </r>
    <r>
      <rPr>
        <sz val="11"/>
        <color theme="5"/>
        <rFont val="Calibri"/>
        <family val="2"/>
        <scheme val="minor"/>
      </rPr>
      <t>.</t>
    </r>
  </si>
  <si>
    <r>
      <t xml:space="preserve">Allocated unit process, considering as allocation factors (AF): 45.7% for Cu (1 kg cathode), 0.02% for Cu (0.002 kg CuSO4), 0.5% for Ni (0.02 kg NiSO4), 30.6% for Au (0.00009 kg), 16.2% for Ag (0.004 kg), 0.03% for Te (0.0002 kg CuTe), </t>
    </r>
    <r>
      <rPr>
        <b/>
        <sz val="11"/>
        <color theme="5"/>
        <rFont val="Calibri"/>
        <family val="2"/>
        <scheme val="minor"/>
      </rPr>
      <t>0.07% for Se (0.0004 kg)</t>
    </r>
    <r>
      <rPr>
        <sz val="11"/>
        <color theme="5"/>
        <rFont val="Calibri"/>
        <family val="2"/>
        <scheme val="minor"/>
      </rPr>
      <t xml:space="preserve">, 4.3% for Zn (0.2 kg ZnO2), 2.4% for Pb (0.2 kg) and 0.06% for Fe (1.8 kg sand).
</t>
    </r>
    <r>
      <rPr>
        <sz val="11"/>
        <color rgb="FF7030A0"/>
        <rFont val="Calibri"/>
        <family val="2"/>
        <scheme val="minor"/>
      </rPr>
      <t>The co-produced sulfuric acid, sulfur dioxide, electricity and heat are dealt through substitution.</t>
    </r>
  </si>
  <si>
    <t>[P+R] Selenium (Se) production (from anode slime)</t>
  </si>
  <si>
    <r>
      <t>Allocated unit process, considering as allocation factors (AF): 75.4% for Au (1 kg)</t>
    </r>
    <r>
      <rPr>
        <b/>
        <sz val="11"/>
        <color theme="5"/>
        <rFont val="Calibri"/>
        <family val="2"/>
        <scheme val="minor"/>
      </rPr>
      <t xml:space="preserve">, </t>
    </r>
    <r>
      <rPr>
        <sz val="11"/>
        <color theme="5"/>
        <rFont val="Calibri"/>
        <family val="2"/>
        <scheme val="minor"/>
      </rPr>
      <t xml:space="preserve">22.2% for Ag (23 kg), 1.3% for Te (14 kg CuTe) and </t>
    </r>
    <r>
      <rPr>
        <b/>
        <sz val="11"/>
        <color theme="5"/>
        <rFont val="Calibri"/>
        <family val="2"/>
        <scheme val="minor"/>
      </rPr>
      <t>1.1% for Se (27 kg)</t>
    </r>
    <r>
      <rPr>
        <sz val="11"/>
        <color theme="5"/>
        <rFont val="Calibri"/>
        <family val="2"/>
        <scheme val="minor"/>
      </rPr>
      <t>.</t>
    </r>
  </si>
  <si>
    <t>(1,5,1,1,1)</t>
  </si>
  <si>
    <t>market for sodium chlorate, powder</t>
  </si>
  <si>
    <t>sodium chlorate, powder</t>
  </si>
  <si>
    <t>market for ammonium chloride</t>
  </si>
  <si>
    <t>ammonium chloride</t>
  </si>
  <si>
    <t>market for copper slag</t>
  </si>
  <si>
    <t>copper slag</t>
  </si>
  <si>
    <t>Water, unspecified natural origin</t>
  </si>
  <si>
    <t>Se production in China through Cu anode slime processing</t>
  </si>
  <si>
    <t>skip</t>
  </si>
  <si>
    <t>Sheet</t>
  </si>
  <si>
    <t>Corresponding route</t>
  </si>
  <si>
    <r>
      <rPr>
        <b/>
        <sz val="14"/>
        <color theme="1"/>
        <rFont val="Calibri"/>
        <family val="2"/>
        <scheme val="minor"/>
      </rPr>
      <t xml:space="preserve">Life cycle inventories of global metal and mineral supply chains: a comprehensive data review, analysis and processing </t>
    </r>
    <r>
      <rPr>
        <b/>
        <sz val="16"/>
        <color theme="1"/>
        <rFont val="Calibri"/>
        <family val="2"/>
        <scheme val="minor"/>
      </rPr>
      <t xml:space="preserve">
</t>
    </r>
    <r>
      <rPr>
        <sz val="11"/>
        <color theme="1"/>
        <rFont val="Calibri"/>
        <family val="2"/>
        <scheme val="minor"/>
      </rPr>
      <t xml:space="preserve">
Frédéric Lai</t>
    </r>
    <r>
      <rPr>
        <vertAlign val="superscript"/>
        <sz val="11"/>
        <color theme="1"/>
        <rFont val="Calibri"/>
        <family val="2"/>
        <scheme val="minor"/>
      </rPr>
      <t>a*</t>
    </r>
    <r>
      <rPr>
        <sz val="11"/>
        <color theme="1"/>
        <rFont val="Calibri"/>
        <family val="2"/>
        <scheme val="minor"/>
      </rPr>
      <t>, Stéphanie Muller</t>
    </r>
    <r>
      <rPr>
        <vertAlign val="superscript"/>
        <sz val="11"/>
        <color theme="1"/>
        <rFont val="Calibri"/>
        <family val="2"/>
        <scheme val="minor"/>
      </rPr>
      <t>a</t>
    </r>
    <r>
      <rPr>
        <sz val="11"/>
        <color theme="1"/>
        <rFont val="Calibri"/>
        <family val="2"/>
        <scheme val="minor"/>
      </rPr>
      <t>, Audrey Philippe</t>
    </r>
    <r>
      <rPr>
        <vertAlign val="superscript"/>
        <sz val="11"/>
        <color theme="1"/>
        <rFont val="Calibri"/>
        <family val="2"/>
        <scheme val="minor"/>
      </rPr>
      <t>a</t>
    </r>
    <r>
      <rPr>
        <sz val="11"/>
        <color theme="1"/>
        <rFont val="Calibri"/>
        <family val="2"/>
        <scheme val="minor"/>
      </rPr>
      <t>, Robert Istrate</t>
    </r>
    <r>
      <rPr>
        <vertAlign val="superscript"/>
        <sz val="11"/>
        <color theme="1"/>
        <rFont val="Calibri"/>
        <family val="2"/>
        <scheme val="minor"/>
      </rPr>
      <t>b</t>
    </r>
    <r>
      <rPr>
        <sz val="11"/>
        <color theme="1"/>
        <rFont val="Calibri"/>
        <family val="2"/>
        <scheme val="minor"/>
      </rPr>
      <t>, Brenda Miranda Xicotencatl</t>
    </r>
    <r>
      <rPr>
        <vertAlign val="superscript"/>
        <sz val="11"/>
        <color theme="1"/>
        <rFont val="Calibri"/>
        <family val="2"/>
        <scheme val="minor"/>
      </rPr>
      <t>b</t>
    </r>
    <r>
      <rPr>
        <sz val="11"/>
        <color theme="1"/>
        <rFont val="Calibri"/>
        <family val="2"/>
        <scheme val="minor"/>
      </rPr>
      <t>, Afsoon Mansouri Aski</t>
    </r>
    <r>
      <rPr>
        <vertAlign val="superscript"/>
        <sz val="11"/>
        <color theme="1"/>
        <rFont val="Calibri"/>
        <family val="2"/>
        <scheme val="minor"/>
      </rPr>
      <t>c</t>
    </r>
    <r>
      <rPr>
        <sz val="11"/>
        <color theme="1"/>
        <rFont val="Calibri"/>
        <family val="2"/>
        <scheme val="minor"/>
      </rPr>
      <t>, Aina Mas Fons</t>
    </r>
    <r>
      <rPr>
        <vertAlign val="superscript"/>
        <sz val="11"/>
        <color theme="1"/>
        <rFont val="Calibri"/>
        <family val="2"/>
        <scheme val="minor"/>
      </rPr>
      <t>d,a</t>
    </r>
    <r>
      <rPr>
        <sz val="11"/>
        <color theme="1"/>
        <rFont val="Calibri"/>
        <family val="2"/>
        <scheme val="minor"/>
      </rPr>
      <t>, Juliana Segura-Salazar</t>
    </r>
    <r>
      <rPr>
        <vertAlign val="superscript"/>
        <sz val="11"/>
        <color theme="1"/>
        <rFont val="Calibri"/>
        <family val="2"/>
        <scheme val="minor"/>
      </rPr>
      <t>e</t>
    </r>
    <r>
      <rPr>
        <sz val="11"/>
        <color theme="1"/>
        <rFont val="Calibri"/>
        <family val="2"/>
        <scheme val="minor"/>
      </rPr>
      <t>, Jair Santillán Saldivar</t>
    </r>
    <r>
      <rPr>
        <vertAlign val="superscript"/>
        <sz val="11"/>
        <color theme="1"/>
        <rFont val="Calibri"/>
        <family val="2"/>
        <scheme val="minor"/>
      </rPr>
      <t>a</t>
    </r>
    <r>
      <rPr>
        <sz val="11"/>
        <color theme="1"/>
        <rFont val="Calibri"/>
        <family val="2"/>
        <scheme val="minor"/>
      </rPr>
      <t>, Alexander Cimprich</t>
    </r>
    <r>
      <rPr>
        <vertAlign val="superscript"/>
        <sz val="11"/>
        <color theme="1"/>
        <rFont val="Calibri"/>
        <family val="2"/>
        <scheme val="minor"/>
      </rPr>
      <t>f</t>
    </r>
    <r>
      <rPr>
        <sz val="11"/>
        <color theme="1"/>
        <rFont val="Calibri"/>
        <family val="2"/>
        <scheme val="minor"/>
      </rPr>
      <t>, Stephen Northey</t>
    </r>
    <r>
      <rPr>
        <vertAlign val="superscript"/>
        <sz val="11"/>
        <color theme="1"/>
        <rFont val="Calibri"/>
        <family val="2"/>
        <scheme val="minor"/>
      </rPr>
      <t>g</t>
    </r>
    <r>
      <rPr>
        <sz val="11"/>
        <color theme="1"/>
        <rFont val="Calibri"/>
        <family val="2"/>
        <scheme val="minor"/>
      </rPr>
      <t>, Lígia da Silva Lima</t>
    </r>
    <r>
      <rPr>
        <vertAlign val="superscript"/>
        <sz val="11"/>
        <color theme="1"/>
        <rFont val="Calibri"/>
        <family val="2"/>
        <scheme val="minor"/>
      </rPr>
      <t>h</t>
    </r>
    <r>
      <rPr>
        <sz val="11"/>
        <color theme="1"/>
        <rFont val="Calibri"/>
        <family val="2"/>
        <scheme val="minor"/>
      </rPr>
      <t>, Lieselot Boone</t>
    </r>
    <r>
      <rPr>
        <vertAlign val="superscript"/>
        <sz val="11"/>
        <color theme="1"/>
        <rFont val="Calibri"/>
        <family val="2"/>
        <scheme val="minor"/>
      </rPr>
      <t>h</t>
    </r>
    <r>
      <rPr>
        <sz val="11"/>
        <color theme="1"/>
        <rFont val="Calibri"/>
        <family val="2"/>
        <scheme val="minor"/>
      </rPr>
      <t>, Ryosuke Yokoi</t>
    </r>
    <r>
      <rPr>
        <vertAlign val="superscript"/>
        <sz val="11"/>
        <color theme="1"/>
        <rFont val="Calibri"/>
        <family val="2"/>
        <scheme val="minor"/>
      </rPr>
      <t>i</t>
    </r>
    <r>
      <rPr>
        <sz val="11"/>
        <color theme="1"/>
        <rFont val="Calibri"/>
        <family val="2"/>
        <scheme val="minor"/>
      </rPr>
      <t>, Kamrul Islam</t>
    </r>
    <r>
      <rPr>
        <vertAlign val="superscript"/>
        <sz val="11"/>
        <color theme="1"/>
        <rFont val="Calibri"/>
        <family val="2"/>
        <scheme val="minor"/>
      </rPr>
      <t>i</t>
    </r>
    <r>
      <rPr>
        <sz val="11"/>
        <color theme="1"/>
        <rFont val="Calibri"/>
        <family val="2"/>
        <scheme val="minor"/>
      </rPr>
      <t>, Ioanna Paschalidou</t>
    </r>
    <r>
      <rPr>
        <vertAlign val="superscript"/>
        <sz val="11"/>
        <color theme="1"/>
        <rFont val="Calibri"/>
        <family val="2"/>
        <scheme val="minor"/>
      </rPr>
      <t>j</t>
    </r>
    <r>
      <rPr>
        <sz val="11"/>
        <color theme="1"/>
        <rFont val="Calibri"/>
        <family val="2"/>
        <scheme val="minor"/>
      </rPr>
      <t>, Felipe Cerdas</t>
    </r>
    <r>
      <rPr>
        <vertAlign val="superscript"/>
        <sz val="11"/>
        <color theme="1"/>
        <rFont val="Calibri"/>
        <family val="2"/>
        <scheme val="minor"/>
      </rPr>
      <t>k,l</t>
    </r>
    <r>
      <rPr>
        <sz val="11"/>
        <color theme="1"/>
        <rFont val="Calibri"/>
        <family val="2"/>
        <scheme val="minor"/>
      </rPr>
      <t>, Victor Balboa-Espinoza</t>
    </r>
    <r>
      <rPr>
        <vertAlign val="superscript"/>
        <sz val="11"/>
        <color theme="1"/>
        <rFont val="Calibri"/>
        <family val="2"/>
        <scheme val="minor"/>
      </rPr>
      <t>e</t>
    </r>
    <r>
      <rPr>
        <sz val="11"/>
        <color theme="1"/>
        <rFont val="Calibri"/>
        <family val="2"/>
        <scheme val="minor"/>
      </rPr>
      <t>, Anish Koyamparambath</t>
    </r>
    <r>
      <rPr>
        <vertAlign val="superscript"/>
        <sz val="11"/>
        <color theme="1"/>
        <rFont val="Calibri"/>
        <family val="2"/>
        <scheme val="minor"/>
      </rPr>
      <t>d</t>
    </r>
    <r>
      <rPr>
        <sz val="11"/>
        <color theme="1"/>
        <rFont val="Calibri"/>
        <family val="2"/>
        <scheme val="minor"/>
      </rPr>
      <t>, Diae Hennioui</t>
    </r>
    <r>
      <rPr>
        <vertAlign val="superscript"/>
        <sz val="11"/>
        <color theme="1"/>
        <rFont val="Calibri"/>
        <family val="2"/>
        <scheme val="minor"/>
      </rPr>
      <t>a</t>
    </r>
    <r>
      <rPr>
        <sz val="11"/>
        <color theme="1"/>
        <rFont val="Calibri"/>
        <family val="2"/>
        <scheme val="minor"/>
      </rPr>
      <t>, Victoire Collignon</t>
    </r>
    <r>
      <rPr>
        <vertAlign val="superscript"/>
        <sz val="11"/>
        <color theme="1"/>
        <rFont val="Calibri"/>
        <family val="2"/>
        <scheme val="minor"/>
      </rPr>
      <t>a</t>
    </r>
    <r>
      <rPr>
        <sz val="11"/>
        <color theme="1"/>
        <rFont val="Calibri"/>
        <family val="2"/>
        <scheme val="minor"/>
      </rPr>
      <t>, Aurélien Reys</t>
    </r>
    <r>
      <rPr>
        <vertAlign val="superscript"/>
        <sz val="11"/>
        <color theme="1"/>
        <rFont val="Calibri"/>
        <family val="2"/>
        <scheme val="minor"/>
      </rPr>
      <t>a</t>
    </r>
    <r>
      <rPr>
        <sz val="11"/>
        <color theme="1"/>
        <rFont val="Calibri"/>
        <family val="2"/>
        <scheme val="minor"/>
      </rPr>
      <t>, Gyslain Ngadi Sakatadi</t>
    </r>
    <r>
      <rPr>
        <vertAlign val="superscript"/>
        <sz val="11"/>
        <color theme="1"/>
        <rFont val="Calibri"/>
        <family val="2"/>
        <scheme val="minor"/>
      </rPr>
      <t>m</t>
    </r>
    <r>
      <rPr>
        <sz val="11"/>
        <color theme="1"/>
        <rFont val="Calibri"/>
        <family val="2"/>
        <scheme val="minor"/>
      </rPr>
      <t>, Jo Dewulf</t>
    </r>
    <r>
      <rPr>
        <vertAlign val="superscript"/>
        <sz val="11"/>
        <color theme="1"/>
        <rFont val="Calibri"/>
        <family val="2"/>
        <scheme val="minor"/>
      </rPr>
      <t>h</t>
    </r>
    <r>
      <rPr>
        <sz val="11"/>
        <color theme="1"/>
        <rFont val="Calibri"/>
        <family val="2"/>
        <scheme val="minor"/>
      </rPr>
      <t>, Bernhard Steubing</t>
    </r>
    <r>
      <rPr>
        <vertAlign val="superscript"/>
        <sz val="11"/>
        <color theme="1"/>
        <rFont val="Calibri"/>
        <family val="2"/>
        <scheme val="minor"/>
      </rPr>
      <t>b</t>
    </r>
    <r>
      <rPr>
        <sz val="11"/>
        <color theme="1"/>
        <rFont val="Calibri"/>
        <family val="2"/>
        <scheme val="minor"/>
      </rPr>
      <t>, Christoph Helbig</t>
    </r>
    <r>
      <rPr>
        <vertAlign val="superscript"/>
        <sz val="11"/>
        <color theme="1"/>
        <rFont val="Calibri"/>
        <family val="2"/>
        <scheme val="minor"/>
      </rPr>
      <t>c</t>
    </r>
    <r>
      <rPr>
        <sz val="11"/>
        <color theme="1"/>
        <rFont val="Calibri"/>
        <family val="2"/>
        <scheme val="minor"/>
      </rPr>
      <t>, Gaétan Lefebvre</t>
    </r>
    <r>
      <rPr>
        <vertAlign val="superscript"/>
        <sz val="11"/>
        <color theme="1"/>
        <rFont val="Calibri"/>
        <family val="2"/>
        <scheme val="minor"/>
      </rPr>
      <t>a</t>
    </r>
    <r>
      <rPr>
        <sz val="11"/>
        <color theme="1"/>
        <rFont val="Calibri"/>
        <family val="2"/>
        <scheme val="minor"/>
      </rPr>
      <t>, Gian Andrea Blengini</t>
    </r>
    <r>
      <rPr>
        <vertAlign val="superscript"/>
        <sz val="11"/>
        <color theme="1"/>
        <rFont val="Calibri"/>
        <family val="2"/>
        <scheme val="minor"/>
      </rPr>
      <t>n,m</t>
    </r>
    <r>
      <rPr>
        <sz val="11"/>
        <color theme="1"/>
        <rFont val="Calibri"/>
        <family val="2"/>
        <scheme val="minor"/>
      </rPr>
      <t>, Valeria Superti</t>
    </r>
    <r>
      <rPr>
        <vertAlign val="superscript"/>
        <sz val="11"/>
        <color theme="1"/>
        <rFont val="Calibri"/>
        <family val="2"/>
        <scheme val="minor"/>
      </rPr>
      <t>o</t>
    </r>
    <r>
      <rPr>
        <sz val="11"/>
        <color theme="1"/>
        <rFont val="Calibri"/>
        <family val="2"/>
        <scheme val="minor"/>
      </rPr>
      <t>, Masaharu Motoshita</t>
    </r>
    <r>
      <rPr>
        <vertAlign val="superscript"/>
        <sz val="11"/>
        <color theme="1"/>
        <rFont val="Calibri"/>
        <family val="2"/>
        <scheme val="minor"/>
      </rPr>
      <t>i</t>
    </r>
    <r>
      <rPr>
        <sz val="11"/>
        <color theme="1"/>
        <rFont val="Calibri"/>
        <family val="2"/>
        <scheme val="minor"/>
      </rPr>
      <t>, Guido Sonnemann</t>
    </r>
    <r>
      <rPr>
        <vertAlign val="superscript"/>
        <sz val="11"/>
        <color theme="1"/>
        <rFont val="Calibri"/>
        <family val="2"/>
        <scheme val="minor"/>
      </rPr>
      <t>d</t>
    </r>
    <r>
      <rPr>
        <sz val="11"/>
        <color theme="1"/>
        <rFont val="Calibri"/>
        <family val="2"/>
        <scheme val="minor"/>
      </rPr>
      <t>, Kwame Awuah-Offei</t>
    </r>
    <r>
      <rPr>
        <vertAlign val="superscript"/>
        <sz val="11"/>
        <color theme="1"/>
        <rFont val="Calibri"/>
        <family val="2"/>
        <scheme val="minor"/>
      </rPr>
      <t>j</t>
    </r>
    <r>
      <rPr>
        <sz val="11"/>
        <color theme="1"/>
        <rFont val="Calibri"/>
        <family val="2"/>
        <scheme val="minor"/>
      </rPr>
      <t>, Steven B. Young</t>
    </r>
    <r>
      <rPr>
        <vertAlign val="superscript"/>
        <sz val="11"/>
        <color theme="1"/>
        <rFont val="Calibri"/>
        <family val="2"/>
        <scheme val="minor"/>
      </rPr>
      <t>f</t>
    </r>
    <r>
      <rPr>
        <sz val="11"/>
        <color theme="1"/>
        <rFont val="Calibri"/>
        <family val="2"/>
        <scheme val="minor"/>
      </rPr>
      <t>, Shinsuke Murakami</t>
    </r>
    <r>
      <rPr>
        <vertAlign val="superscript"/>
        <sz val="11"/>
        <color theme="1"/>
        <rFont val="Calibri"/>
        <family val="2"/>
        <scheme val="minor"/>
      </rPr>
      <t>p</t>
    </r>
    <r>
      <rPr>
        <sz val="11"/>
        <color theme="1"/>
        <rFont val="Calibri"/>
        <family val="2"/>
        <scheme val="minor"/>
      </rPr>
      <t>, Antoine Beylot</t>
    </r>
    <r>
      <rPr>
        <vertAlign val="superscript"/>
        <sz val="11"/>
        <color theme="1"/>
        <rFont val="Calibri"/>
        <family val="2"/>
        <scheme val="minor"/>
      </rPr>
      <t>a</t>
    </r>
    <r>
      <rPr>
        <sz val="11"/>
        <color theme="1"/>
        <rFont val="Calibri"/>
        <family val="2"/>
        <scheme val="minor"/>
      </rPr>
      <t xml:space="preserve">
</t>
    </r>
    <r>
      <rPr>
        <vertAlign val="superscript"/>
        <sz val="11"/>
        <color theme="1"/>
        <rFont val="Calibri"/>
        <family val="2"/>
        <scheme val="minor"/>
      </rPr>
      <t>a</t>
    </r>
    <r>
      <rPr>
        <sz val="11"/>
        <color theme="1"/>
        <rFont val="Calibri"/>
        <family val="2"/>
        <scheme val="minor"/>
      </rPr>
      <t xml:space="preserve">BRGM, F-45060 Orléans, France
</t>
    </r>
    <r>
      <rPr>
        <vertAlign val="superscript"/>
        <sz val="11"/>
        <color theme="1"/>
        <rFont val="Calibri"/>
        <family val="2"/>
        <scheme val="minor"/>
      </rPr>
      <t>b</t>
    </r>
    <r>
      <rPr>
        <sz val="11"/>
        <color theme="1"/>
        <rFont val="Calibri"/>
        <family val="2"/>
        <scheme val="minor"/>
      </rPr>
      <t xml:space="preserve">Institute of Environmental Sciences (CML), Leiden University, Einsteinweg 2, 2333 CC Leiden, NL
</t>
    </r>
    <r>
      <rPr>
        <vertAlign val="superscript"/>
        <sz val="11"/>
        <color theme="1"/>
        <rFont val="Calibri"/>
        <family val="2"/>
        <scheme val="minor"/>
      </rPr>
      <t>c</t>
    </r>
    <r>
      <rPr>
        <sz val="11"/>
        <color theme="1"/>
        <rFont val="Calibri"/>
        <family val="2"/>
        <scheme val="minor"/>
      </rPr>
      <t xml:space="preserve">Ecological Resource Technology, University of Bayreuth, Universitätstr. 30, 95447 Bayreuth, Germany
</t>
    </r>
    <r>
      <rPr>
        <vertAlign val="superscript"/>
        <sz val="11"/>
        <color theme="1"/>
        <rFont val="Calibri"/>
        <family val="2"/>
        <scheme val="minor"/>
      </rPr>
      <t>d</t>
    </r>
    <r>
      <rPr>
        <sz val="11"/>
        <color theme="1"/>
        <rFont val="Calibri"/>
        <family val="2"/>
        <scheme val="minor"/>
      </rPr>
      <t xml:space="preserve">Univ. Bordeaux, CNRS, Bordeaux INP, ISM, UMR 5255, F-33400 Talence, France
</t>
    </r>
    <r>
      <rPr>
        <vertAlign val="superscript"/>
        <sz val="11"/>
        <color theme="1"/>
        <rFont val="Calibri"/>
        <family val="2"/>
        <scheme val="minor"/>
      </rPr>
      <t>e</t>
    </r>
    <r>
      <rPr>
        <sz val="11"/>
        <color theme="1"/>
        <rFont val="Calibri"/>
        <family val="2"/>
        <scheme val="minor"/>
      </rPr>
      <t xml:space="preserve">Sustainable Minerals Institute, The University of Queensland, QLD, 4072, Australia
</t>
    </r>
    <r>
      <rPr>
        <vertAlign val="superscript"/>
        <sz val="11"/>
        <color theme="1"/>
        <rFont val="Calibri"/>
        <family val="2"/>
        <scheme val="minor"/>
      </rPr>
      <t>f</t>
    </r>
    <r>
      <rPr>
        <sz val="11"/>
        <color theme="1"/>
        <rFont val="Calibri"/>
        <family val="2"/>
        <scheme val="minor"/>
      </rPr>
      <t xml:space="preserve">School of Environment, Enterprise and Development, University of Waterloo, 200 University Avenue West, Waterloo, Ontario N2L 3G1, Canada
</t>
    </r>
    <r>
      <rPr>
        <vertAlign val="superscript"/>
        <sz val="11"/>
        <color theme="1"/>
        <rFont val="Calibri"/>
        <family val="2"/>
        <scheme val="minor"/>
      </rPr>
      <t>g</t>
    </r>
    <r>
      <rPr>
        <sz val="11"/>
        <color theme="1"/>
        <rFont val="Calibri"/>
        <family val="2"/>
        <scheme val="minor"/>
      </rPr>
      <t xml:space="preserve">University of Technology Sydney, Institute for Sustainable Futures, Australia
</t>
    </r>
    <r>
      <rPr>
        <vertAlign val="superscript"/>
        <sz val="11"/>
        <color theme="1"/>
        <rFont val="Calibri"/>
        <family val="2"/>
        <scheme val="minor"/>
      </rPr>
      <t>h</t>
    </r>
    <r>
      <rPr>
        <sz val="11"/>
        <color theme="1"/>
        <rFont val="Calibri"/>
        <family val="2"/>
        <scheme val="minor"/>
      </rPr>
      <t xml:space="preserve">Sustainable Systems Engineering (STEN), Department of Green Chemistry and Technology, Faculty of Bioscience Engineering, Ghent University, Coupure Links 653, 9000 Ghent, Belgium
</t>
    </r>
    <r>
      <rPr>
        <vertAlign val="superscript"/>
        <sz val="11"/>
        <color theme="1"/>
        <rFont val="Calibri"/>
        <family val="2"/>
        <scheme val="minor"/>
      </rPr>
      <t>i</t>
    </r>
    <r>
      <rPr>
        <sz val="11"/>
        <color theme="1"/>
        <rFont val="Calibri"/>
        <family val="2"/>
        <scheme val="minor"/>
      </rPr>
      <t xml:space="preserve">AIST, 305-8569 Tsukuba, Japan
</t>
    </r>
    <r>
      <rPr>
        <vertAlign val="superscript"/>
        <sz val="11"/>
        <color theme="1"/>
        <rFont val="Calibri"/>
        <family val="2"/>
        <scheme val="minor"/>
      </rPr>
      <t>j</t>
    </r>
    <r>
      <rPr>
        <sz val="11"/>
        <color theme="1"/>
        <rFont val="Calibri"/>
        <family val="2"/>
        <scheme val="minor"/>
      </rPr>
      <t xml:space="preserve">Mining &amp; Explosives Engineering, Missouri University of Science &amp; Technology, Rolla, MO, USA 65409
</t>
    </r>
    <r>
      <rPr>
        <vertAlign val="superscript"/>
        <sz val="11"/>
        <color theme="1"/>
        <rFont val="Calibri"/>
        <family val="2"/>
        <scheme val="minor"/>
      </rPr>
      <t>k</t>
    </r>
    <r>
      <rPr>
        <sz val="11"/>
        <color theme="1"/>
        <rFont val="Calibri"/>
        <family val="2"/>
        <scheme val="minor"/>
      </rPr>
      <t xml:space="preserve">Institute for Sustainable Energy Systems (INSYS), Technical University of Applied Sciences Würzburg-Schweinfurt (THWS), Ignaz-Schön-Straße 11, Schweinfurt, Germany 
</t>
    </r>
    <r>
      <rPr>
        <vertAlign val="superscript"/>
        <sz val="11"/>
        <color theme="1"/>
        <rFont val="Calibri"/>
        <family val="2"/>
        <scheme val="minor"/>
      </rPr>
      <t>l</t>
    </r>
    <r>
      <rPr>
        <sz val="11"/>
        <color theme="1"/>
        <rFont val="Calibri"/>
        <family val="2"/>
        <scheme val="minor"/>
      </rPr>
      <t xml:space="preserve">Fraunhofer Institute for Surface Engineering and Thin Films IST, Riedenkamp 2, Braunschweig 38108, Germany
</t>
    </r>
    <r>
      <rPr>
        <vertAlign val="superscript"/>
        <sz val="11"/>
        <color theme="1"/>
        <rFont val="Calibri"/>
        <family val="2"/>
        <scheme val="minor"/>
      </rPr>
      <t>m</t>
    </r>
    <r>
      <rPr>
        <sz val="11"/>
        <color theme="1"/>
        <rFont val="Calibri"/>
        <family val="2"/>
        <scheme val="minor"/>
      </rPr>
      <t xml:space="preserve">Department of Environment, Land and Infrastructure Engineering, Politecnico di Torino, Corso Duca degli Abruzzi, 24, 10129 Torino, Italy
</t>
    </r>
    <r>
      <rPr>
        <vertAlign val="superscript"/>
        <sz val="11"/>
        <color theme="1"/>
        <rFont val="Calibri"/>
        <family val="2"/>
        <scheme val="minor"/>
      </rPr>
      <t>n</t>
    </r>
    <r>
      <rPr>
        <sz val="11"/>
        <color theme="1"/>
        <rFont val="Calibri"/>
        <family val="2"/>
        <scheme val="minor"/>
      </rPr>
      <t xml:space="preserve">University of Turin, Earth Sciences Department (DST), Via Valperga Caluso, 35 – 10125 Torino, Italy
</t>
    </r>
    <r>
      <rPr>
        <vertAlign val="superscript"/>
        <sz val="11"/>
        <color theme="1"/>
        <rFont val="Calibri"/>
        <family val="2"/>
        <scheme val="minor"/>
      </rPr>
      <t>o</t>
    </r>
    <r>
      <rPr>
        <sz val="11"/>
        <color theme="1"/>
        <rFont val="Calibri"/>
        <family val="2"/>
        <scheme val="minor"/>
      </rPr>
      <t xml:space="preserve">ecoinvent association, Technopark, Technoparkstrasse 1, 8005 Zürich, Switzerland 
</t>
    </r>
    <r>
      <rPr>
        <vertAlign val="superscript"/>
        <sz val="11"/>
        <color theme="1"/>
        <rFont val="Calibri"/>
        <family val="2"/>
        <scheme val="minor"/>
      </rPr>
      <t>p</t>
    </r>
    <r>
      <rPr>
        <sz val="11"/>
        <color theme="1"/>
        <rFont val="Calibri"/>
        <family val="2"/>
        <scheme val="minor"/>
      </rPr>
      <t xml:space="preserve">Graduate School of Engineering, The University of Tokyo, Tokyo 113-8656, Japan
*Corresponding author: </t>
    </r>
    <r>
      <rPr>
        <u/>
        <sz val="11"/>
        <color theme="1"/>
        <rFont val="Calibri"/>
        <family val="2"/>
        <scheme val="minor"/>
      </rPr>
      <t xml:space="preserve">f.lai@brgm.fr
</t>
    </r>
    <r>
      <rPr>
        <sz val="11"/>
        <color theme="1"/>
        <rFont val="Calibri"/>
        <family val="2"/>
        <scheme val="minor"/>
      </rPr>
      <t>This file provides all LCI datasets developed for</t>
    </r>
    <r>
      <rPr>
        <b/>
        <sz val="11"/>
        <color theme="1"/>
        <rFont val="Calibri"/>
        <family val="2"/>
        <scheme val="minor"/>
      </rPr>
      <t xml:space="preserve"> Selenium (Se)</t>
    </r>
    <r>
      <rPr>
        <sz val="11"/>
        <color theme="1"/>
        <rFont val="Calibri"/>
        <family val="2"/>
        <scheme val="minor"/>
      </rPr>
      <t>, with distinguishing its global market and each individual production route.</t>
    </r>
  </si>
  <si>
    <t>Se global market</t>
  </si>
  <si>
    <t>Se_Market_GLO</t>
  </si>
  <si>
    <t>PR1_Se_US</t>
  </si>
  <si>
    <t>PR2_Se_SE_Pyro</t>
  </si>
  <si>
    <t>PR3_Se_CN_CuSlime</t>
  </si>
  <si>
    <t>Water, salt, ocean</t>
  </si>
  <si>
    <r>
      <rPr>
        <sz val="11"/>
        <color theme="8"/>
        <rFont val="Calibri"/>
        <family val="2"/>
        <scheme val="minor"/>
      </rPr>
      <t>An ecoinvent activity is here included to model the upstream anode slime production.</t>
    </r>
    <r>
      <rPr>
        <sz val="11"/>
        <color theme="5"/>
        <rFont val="Calibri"/>
        <family val="2"/>
        <scheme val="minor"/>
      </rPr>
      <t xml:space="preserve">
Applied AF: "Anode slime" input = </t>
    </r>
    <r>
      <rPr>
        <b/>
        <sz val="11"/>
        <color theme="5"/>
        <rFont val="Calibri"/>
        <family val="2"/>
        <scheme val="minor"/>
      </rPr>
      <t>1.1%</t>
    </r>
    <r>
      <rPr>
        <sz val="11"/>
        <color theme="5"/>
        <rFont val="Calibri"/>
        <family val="2"/>
        <scheme val="minor"/>
      </rPr>
      <t>.</t>
    </r>
  </si>
  <si>
    <t>market for anode slime from electrorefining of copper, anode</t>
  </si>
  <si>
    <t>anode slime from electrorefining of copper, anode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</si>
</sst>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theme="5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7030A0"/>
      <name val="Calibri"/>
      <family val="2"/>
      <scheme val="minor"/>
    </font>
    <font>
      <b/>
      <sz val="11"/>
      <color theme="5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vertAlign val="superscript"/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1"/>
      <color theme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6"/>
        <bgColor indexed="64"/>
      </patternFill>
    </fill>
    <fill>
      <patternFill patternType="solid">
        <fgColor theme="2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10" fillId="0" borderId="0" applyNumberFormat="0" applyFill="0" applyBorder="0" applyAlignment="0" applyProtection="0"/>
  </cellStyleXfs>
  <cellXfs count="41">
    <xf numFmtId="0" fontId="0" fillId="0" borderId="0" xfId="0"/>
    <xf numFmtId="0" fontId="2" fillId="0" borderId="0" xfId="0" applyFont="1" applyAlignment="1">
      <alignment horizontal="left"/>
    </xf>
    <xf numFmtId="0" fontId="0" fillId="2" borderId="0" xfId="0" applyFill="1"/>
    <xf numFmtId="0" fontId="4" fillId="0" borderId="0" xfId="0" applyFont="1" applyAlignment="1">
      <alignment horizontal="left" vertical="top"/>
    </xf>
    <xf numFmtId="0" fontId="0" fillId="0" borderId="0" xfId="0" applyAlignment="1">
      <alignment horizontal="left"/>
    </xf>
    <xf numFmtId="0" fontId="3" fillId="0" borderId="0" xfId="0" applyFont="1" applyAlignment="1">
      <alignment horizontal="left"/>
    </xf>
    <xf numFmtId="0" fontId="0" fillId="0" borderId="0" xfId="0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/>
    </xf>
    <xf numFmtId="0" fontId="0" fillId="3" borderId="0" xfId="0" applyFill="1" applyAlignment="1">
      <alignment horizontal="left" vertical="center"/>
    </xf>
    <xf numFmtId="0" fontId="5" fillId="0" borderId="0" xfId="0" applyFont="1" applyAlignment="1">
      <alignment horizontal="left" vertical="center" wrapText="1"/>
    </xf>
    <xf numFmtId="0" fontId="0" fillId="2" borderId="0" xfId="0" applyFill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8" fillId="0" borderId="0" xfId="0" applyFont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0" fillId="2" borderId="0" xfId="0" applyFill="1" applyAlignment="1">
      <alignment horizontal="left"/>
    </xf>
    <xf numFmtId="0" fontId="3" fillId="0" borderId="1" xfId="0" applyFont="1" applyBorder="1" applyAlignment="1">
      <alignment horizontal="left" vertical="center"/>
    </xf>
    <xf numFmtId="0" fontId="3" fillId="0" borderId="2" xfId="0" applyFont="1" applyBorder="1" applyAlignment="1">
      <alignment horizontal="left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0" fillId="0" borderId="4" xfId="1" applyBorder="1" applyAlignment="1">
      <alignment horizontal="left" vertical="center"/>
    </xf>
    <xf numFmtId="0" fontId="0" fillId="0" borderId="5" xfId="0" applyBorder="1" applyAlignment="1">
      <alignment horizontal="center" vertical="center"/>
    </xf>
    <xf numFmtId="0" fontId="10" fillId="0" borderId="6" xfId="1" applyBorder="1" applyAlignment="1">
      <alignment horizontal="left" vertical="center"/>
    </xf>
    <xf numFmtId="0" fontId="0" fillId="0" borderId="7" xfId="0" applyBorder="1" applyAlignment="1">
      <alignment horizontal="left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15" fillId="0" borderId="0" xfId="0" applyFont="1" applyAlignment="1">
      <alignment horizontal="left" vertical="center"/>
    </xf>
    <xf numFmtId="0" fontId="0" fillId="0" borderId="1" xfId="0" applyBorder="1" applyAlignment="1">
      <alignment horizontal="left" vertical="center" wrapText="1"/>
    </xf>
    <xf numFmtId="0" fontId="0" fillId="0" borderId="2" xfId="0" applyBorder="1" applyAlignment="1">
      <alignment horizontal="left" vertical="center" wrapText="1"/>
    </xf>
    <xf numFmtId="0" fontId="0" fillId="0" borderId="3" xfId="0" applyBorder="1" applyAlignment="1">
      <alignment horizontal="left" vertical="center" wrapText="1"/>
    </xf>
    <xf numFmtId="0" fontId="0" fillId="0" borderId="4" xfId="0" applyBorder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0" fillId="0" borderId="5" xfId="0" applyBorder="1" applyAlignment="1">
      <alignment horizontal="left" vertical="center" wrapText="1"/>
    </xf>
    <xf numFmtId="0" fontId="0" fillId="0" borderId="6" xfId="0" applyBorder="1" applyAlignment="1">
      <alignment horizontal="left" vertical="center" wrapText="1"/>
    </xf>
    <xf numFmtId="0" fontId="0" fillId="0" borderId="7" xfId="0" applyBorder="1" applyAlignment="1">
      <alignment horizontal="left" vertical="center" wrapText="1"/>
    </xf>
    <xf numFmtId="0" fontId="0" fillId="0" borderId="8" xfId="0" applyBorder="1" applyAlignment="1">
      <alignment horizontal="left" vertical="center" wrapText="1"/>
    </xf>
    <xf numFmtId="11" fontId="5" fillId="0" borderId="0" xfId="0" applyNumberFormat="1" applyFont="1" applyAlignment="1">
      <alignment horizontal="left" vertical="center"/>
    </xf>
  </cellXfs>
  <cellStyles count="2">
    <cellStyle name="Lien hypertexte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0" tint="-0.249977111117893"/>
  </sheetPr>
  <dimension ref="A1:Q37"/>
  <sheetViews>
    <sheetView showGridLines="0" workbookViewId="0">
      <selection activeCell="B37" sqref="B37"/>
    </sheetView>
  </sheetViews>
  <sheetFormatPr baseColWidth="10" defaultRowHeight="14.5" x14ac:dyDescent="0.35"/>
  <cols>
    <col min="1" max="1" width="1.81640625" customWidth="1"/>
    <col min="2" max="2" width="31.81640625" bestFit="1" customWidth="1"/>
  </cols>
  <sheetData>
    <row r="1" spans="1:17" ht="15" thickBot="1" x14ac:dyDescent="0.4">
      <c r="A1" t="s">
        <v>215</v>
      </c>
    </row>
    <row r="2" spans="1:17" ht="15" customHeight="1" x14ac:dyDescent="0.35">
      <c r="B2" s="31" t="s">
        <v>218</v>
      </c>
      <c r="C2" s="32"/>
      <c r="D2" s="32"/>
      <c r="E2" s="32"/>
      <c r="F2" s="32"/>
      <c r="G2" s="32"/>
      <c r="H2" s="32"/>
      <c r="I2" s="32"/>
      <c r="J2" s="32"/>
      <c r="K2" s="32"/>
      <c r="L2" s="32"/>
      <c r="M2" s="32"/>
      <c r="N2" s="32"/>
      <c r="O2" s="32"/>
      <c r="P2" s="32"/>
      <c r="Q2" s="33"/>
    </row>
    <row r="3" spans="1:17" x14ac:dyDescent="0.35">
      <c r="B3" s="34"/>
      <c r="C3" s="35"/>
      <c r="D3" s="35"/>
      <c r="E3" s="35"/>
      <c r="F3" s="35"/>
      <c r="G3" s="35"/>
      <c r="H3" s="35"/>
      <c r="I3" s="35"/>
      <c r="J3" s="35"/>
      <c r="K3" s="35"/>
      <c r="L3" s="35"/>
      <c r="M3" s="35"/>
      <c r="N3" s="35"/>
      <c r="O3" s="35"/>
      <c r="P3" s="35"/>
      <c r="Q3" s="36"/>
    </row>
    <row r="4" spans="1:17" x14ac:dyDescent="0.35">
      <c r="B4" s="34"/>
      <c r="C4" s="35"/>
      <c r="D4" s="35"/>
      <c r="E4" s="35"/>
      <c r="F4" s="35"/>
      <c r="G4" s="35"/>
      <c r="H4" s="35"/>
      <c r="I4" s="35"/>
      <c r="J4" s="35"/>
      <c r="K4" s="35"/>
      <c r="L4" s="35"/>
      <c r="M4" s="35"/>
      <c r="N4" s="35"/>
      <c r="O4" s="35"/>
      <c r="P4" s="35"/>
      <c r="Q4" s="36"/>
    </row>
    <row r="5" spans="1:17" x14ac:dyDescent="0.35">
      <c r="B5" s="34"/>
      <c r="C5" s="35"/>
      <c r="D5" s="35"/>
      <c r="E5" s="35"/>
      <c r="F5" s="35"/>
      <c r="G5" s="35"/>
      <c r="H5" s="35"/>
      <c r="I5" s="35"/>
      <c r="J5" s="35"/>
      <c r="K5" s="35"/>
      <c r="L5" s="35"/>
      <c r="M5" s="35"/>
      <c r="N5" s="35"/>
      <c r="O5" s="35"/>
      <c r="P5" s="35"/>
      <c r="Q5" s="36"/>
    </row>
    <row r="6" spans="1:17" x14ac:dyDescent="0.35">
      <c r="B6" s="34"/>
      <c r="C6" s="35"/>
      <c r="D6" s="35"/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6"/>
    </row>
    <row r="7" spans="1:17" x14ac:dyDescent="0.35">
      <c r="B7" s="34"/>
      <c r="C7" s="35"/>
      <c r="D7" s="35"/>
      <c r="E7" s="35"/>
      <c r="F7" s="35"/>
      <c r="G7" s="35"/>
      <c r="H7" s="35"/>
      <c r="I7" s="35"/>
      <c r="J7" s="35"/>
      <c r="K7" s="35"/>
      <c r="L7" s="35"/>
      <c r="M7" s="35"/>
      <c r="N7" s="35"/>
      <c r="O7" s="35"/>
      <c r="P7" s="35"/>
      <c r="Q7" s="36"/>
    </row>
    <row r="8" spans="1:17" x14ac:dyDescent="0.35">
      <c r="B8" s="34"/>
      <c r="C8" s="35"/>
      <c r="D8" s="35"/>
      <c r="E8" s="35"/>
      <c r="F8" s="35"/>
      <c r="G8" s="35"/>
      <c r="H8" s="35"/>
      <c r="I8" s="35"/>
      <c r="J8" s="35"/>
      <c r="K8" s="35"/>
      <c r="L8" s="35"/>
      <c r="M8" s="35"/>
      <c r="N8" s="35"/>
      <c r="O8" s="35"/>
      <c r="P8" s="35"/>
      <c r="Q8" s="36"/>
    </row>
    <row r="9" spans="1:17" x14ac:dyDescent="0.35">
      <c r="B9" s="34"/>
      <c r="C9" s="35"/>
      <c r="D9" s="35"/>
      <c r="E9" s="35"/>
      <c r="F9" s="35"/>
      <c r="G9" s="35"/>
      <c r="H9" s="35"/>
      <c r="I9" s="35"/>
      <c r="J9" s="35"/>
      <c r="K9" s="35"/>
      <c r="L9" s="35"/>
      <c r="M9" s="35"/>
      <c r="N9" s="35"/>
      <c r="O9" s="35"/>
      <c r="P9" s="35"/>
      <c r="Q9" s="36"/>
    </row>
    <row r="10" spans="1:17" x14ac:dyDescent="0.35">
      <c r="B10" s="34"/>
      <c r="C10" s="35"/>
      <c r="D10" s="35"/>
      <c r="E10" s="35"/>
      <c r="F10" s="35"/>
      <c r="G10" s="35"/>
      <c r="H10" s="35"/>
      <c r="I10" s="35"/>
      <c r="J10" s="35"/>
      <c r="K10" s="35"/>
      <c r="L10" s="35"/>
      <c r="M10" s="35"/>
      <c r="N10" s="35"/>
      <c r="O10" s="35"/>
      <c r="P10" s="35"/>
      <c r="Q10" s="36"/>
    </row>
    <row r="11" spans="1:17" x14ac:dyDescent="0.35">
      <c r="B11" s="34"/>
      <c r="C11" s="35"/>
      <c r="D11" s="35"/>
      <c r="E11" s="35"/>
      <c r="F11" s="35"/>
      <c r="G11" s="35"/>
      <c r="H11" s="35"/>
      <c r="I11" s="35"/>
      <c r="J11" s="35"/>
      <c r="K11" s="35"/>
      <c r="L11" s="35"/>
      <c r="M11" s="35"/>
      <c r="N11" s="35"/>
      <c r="O11" s="35"/>
      <c r="P11" s="35"/>
      <c r="Q11" s="36"/>
    </row>
    <row r="12" spans="1:17" x14ac:dyDescent="0.35">
      <c r="B12" s="34"/>
      <c r="C12" s="35"/>
      <c r="D12" s="35"/>
      <c r="E12" s="35"/>
      <c r="F12" s="35"/>
      <c r="G12" s="35"/>
      <c r="H12" s="35"/>
      <c r="I12" s="35"/>
      <c r="J12" s="35"/>
      <c r="K12" s="35"/>
      <c r="L12" s="35"/>
      <c r="M12" s="35"/>
      <c r="N12" s="35"/>
      <c r="O12" s="35"/>
      <c r="P12" s="35"/>
      <c r="Q12" s="36"/>
    </row>
    <row r="13" spans="1:17" x14ac:dyDescent="0.35">
      <c r="B13" s="34"/>
      <c r="C13" s="35"/>
      <c r="D13" s="35"/>
      <c r="E13" s="35"/>
      <c r="F13" s="35"/>
      <c r="G13" s="35"/>
      <c r="H13" s="35"/>
      <c r="I13" s="35"/>
      <c r="J13" s="35"/>
      <c r="K13" s="35"/>
      <c r="L13" s="35"/>
      <c r="M13" s="35"/>
      <c r="N13" s="35"/>
      <c r="O13" s="35"/>
      <c r="P13" s="35"/>
      <c r="Q13" s="36"/>
    </row>
    <row r="14" spans="1:17" x14ac:dyDescent="0.35">
      <c r="B14" s="34"/>
      <c r="C14" s="35"/>
      <c r="D14" s="35"/>
      <c r="E14" s="35"/>
      <c r="F14" s="35"/>
      <c r="G14" s="35"/>
      <c r="H14" s="35"/>
      <c r="I14" s="35"/>
      <c r="J14" s="35"/>
      <c r="K14" s="35"/>
      <c r="L14" s="35"/>
      <c r="M14" s="35"/>
      <c r="N14" s="35"/>
      <c r="O14" s="35"/>
      <c r="P14" s="35"/>
      <c r="Q14" s="36"/>
    </row>
    <row r="15" spans="1:17" x14ac:dyDescent="0.35">
      <c r="B15" s="34"/>
      <c r="C15" s="35"/>
      <c r="D15" s="35"/>
      <c r="E15" s="35"/>
      <c r="F15" s="35"/>
      <c r="G15" s="35"/>
      <c r="H15" s="35"/>
      <c r="I15" s="35"/>
      <c r="J15" s="35"/>
      <c r="K15" s="35"/>
      <c r="L15" s="35"/>
      <c r="M15" s="35"/>
      <c r="N15" s="35"/>
      <c r="O15" s="35"/>
      <c r="P15" s="35"/>
      <c r="Q15" s="36"/>
    </row>
    <row r="16" spans="1:17" x14ac:dyDescent="0.35">
      <c r="B16" s="34"/>
      <c r="C16" s="35"/>
      <c r="D16" s="35"/>
      <c r="E16" s="35"/>
      <c r="F16" s="35"/>
      <c r="G16" s="35"/>
      <c r="H16" s="35"/>
      <c r="I16" s="35"/>
      <c r="J16" s="35"/>
      <c r="K16" s="35"/>
      <c r="L16" s="35"/>
      <c r="M16" s="35"/>
      <c r="N16" s="35"/>
      <c r="O16" s="35"/>
      <c r="P16" s="35"/>
      <c r="Q16" s="36"/>
    </row>
    <row r="17" spans="2:17" x14ac:dyDescent="0.35">
      <c r="B17" s="34"/>
      <c r="C17" s="35"/>
      <c r="D17" s="35"/>
      <c r="E17" s="35"/>
      <c r="F17" s="35"/>
      <c r="G17" s="35"/>
      <c r="H17" s="35"/>
      <c r="I17" s="35"/>
      <c r="J17" s="35"/>
      <c r="K17" s="35"/>
      <c r="L17" s="35"/>
      <c r="M17" s="35"/>
      <c r="N17" s="35"/>
      <c r="O17" s="35"/>
      <c r="P17" s="35"/>
      <c r="Q17" s="36"/>
    </row>
    <row r="18" spans="2:17" x14ac:dyDescent="0.35">
      <c r="B18" s="34"/>
      <c r="C18" s="35"/>
      <c r="D18" s="35"/>
      <c r="E18" s="35"/>
      <c r="F18" s="35"/>
      <c r="G18" s="35"/>
      <c r="H18" s="35"/>
      <c r="I18" s="35"/>
      <c r="J18" s="35"/>
      <c r="K18" s="35"/>
      <c r="L18" s="35"/>
      <c r="M18" s="35"/>
      <c r="N18" s="35"/>
      <c r="O18" s="35"/>
      <c r="P18" s="35"/>
      <c r="Q18" s="36"/>
    </row>
    <row r="19" spans="2:17" x14ac:dyDescent="0.35">
      <c r="B19" s="34"/>
      <c r="C19" s="35"/>
      <c r="D19" s="35"/>
      <c r="E19" s="35"/>
      <c r="F19" s="35"/>
      <c r="G19" s="35"/>
      <c r="H19" s="35"/>
      <c r="I19" s="35"/>
      <c r="J19" s="35"/>
      <c r="K19" s="35"/>
      <c r="L19" s="35"/>
      <c r="M19" s="35"/>
      <c r="N19" s="35"/>
      <c r="O19" s="35"/>
      <c r="P19" s="35"/>
      <c r="Q19" s="36"/>
    </row>
    <row r="20" spans="2:17" x14ac:dyDescent="0.35">
      <c r="B20" s="34"/>
      <c r="C20" s="35"/>
      <c r="D20" s="35"/>
      <c r="E20" s="35"/>
      <c r="F20" s="35"/>
      <c r="G20" s="35"/>
      <c r="H20" s="35"/>
      <c r="I20" s="35"/>
      <c r="J20" s="35"/>
      <c r="K20" s="35"/>
      <c r="L20" s="35"/>
      <c r="M20" s="35"/>
      <c r="N20" s="35"/>
      <c r="O20" s="35"/>
      <c r="P20" s="35"/>
      <c r="Q20" s="36"/>
    </row>
    <row r="21" spans="2:17" x14ac:dyDescent="0.35">
      <c r="B21" s="34"/>
      <c r="C21" s="35"/>
      <c r="D21" s="35"/>
      <c r="E21" s="35"/>
      <c r="F21" s="35"/>
      <c r="G21" s="35"/>
      <c r="H21" s="35"/>
      <c r="I21" s="35"/>
      <c r="J21" s="35"/>
      <c r="K21" s="35"/>
      <c r="L21" s="35"/>
      <c r="M21" s="35"/>
      <c r="N21" s="35"/>
      <c r="O21" s="35"/>
      <c r="P21" s="35"/>
      <c r="Q21" s="36"/>
    </row>
    <row r="22" spans="2:17" x14ac:dyDescent="0.35">
      <c r="B22" s="34"/>
      <c r="C22" s="35"/>
      <c r="D22" s="35"/>
      <c r="E22" s="35"/>
      <c r="F22" s="35"/>
      <c r="G22" s="35"/>
      <c r="H22" s="35"/>
      <c r="I22" s="35"/>
      <c r="J22" s="35"/>
      <c r="K22" s="35"/>
      <c r="L22" s="35"/>
      <c r="M22" s="35"/>
      <c r="N22" s="35"/>
      <c r="O22" s="35"/>
      <c r="P22" s="35"/>
      <c r="Q22" s="36"/>
    </row>
    <row r="23" spans="2:17" x14ac:dyDescent="0.35">
      <c r="B23" s="34"/>
      <c r="C23" s="35"/>
      <c r="D23" s="35"/>
      <c r="E23" s="35"/>
      <c r="F23" s="35"/>
      <c r="G23" s="35"/>
      <c r="H23" s="35"/>
      <c r="I23" s="35"/>
      <c r="J23" s="35"/>
      <c r="K23" s="35"/>
      <c r="L23" s="35"/>
      <c r="M23" s="35"/>
      <c r="N23" s="35"/>
      <c r="O23" s="35"/>
      <c r="P23" s="35"/>
      <c r="Q23" s="36"/>
    </row>
    <row r="24" spans="2:17" ht="15" customHeight="1" x14ac:dyDescent="0.35">
      <c r="B24" s="34"/>
      <c r="C24" s="35"/>
      <c r="D24" s="35"/>
      <c r="E24" s="35"/>
      <c r="F24" s="35"/>
      <c r="G24" s="35"/>
      <c r="H24" s="35"/>
      <c r="I24" s="35"/>
      <c r="J24" s="35"/>
      <c r="K24" s="35"/>
      <c r="L24" s="35"/>
      <c r="M24" s="35"/>
      <c r="N24" s="35"/>
      <c r="O24" s="35"/>
      <c r="P24" s="35"/>
      <c r="Q24" s="36"/>
    </row>
    <row r="25" spans="2:17" x14ac:dyDescent="0.35">
      <c r="B25" s="34"/>
      <c r="C25" s="35"/>
      <c r="D25" s="35"/>
      <c r="E25" s="35"/>
      <c r="F25" s="35"/>
      <c r="G25" s="35"/>
      <c r="H25" s="35"/>
      <c r="I25" s="35"/>
      <c r="J25" s="35"/>
      <c r="K25" s="35"/>
      <c r="L25" s="35"/>
      <c r="M25" s="35"/>
      <c r="N25" s="35"/>
      <c r="O25" s="35"/>
      <c r="P25" s="35"/>
      <c r="Q25" s="36"/>
    </row>
    <row r="26" spans="2:17" x14ac:dyDescent="0.35">
      <c r="B26" s="34"/>
      <c r="C26" s="35"/>
      <c r="D26" s="35"/>
      <c r="E26" s="35"/>
      <c r="F26" s="35"/>
      <c r="G26" s="35"/>
      <c r="H26" s="35"/>
      <c r="I26" s="35"/>
      <c r="J26" s="35"/>
      <c r="K26" s="35"/>
      <c r="L26" s="35"/>
      <c r="M26" s="35"/>
      <c r="N26" s="35"/>
      <c r="O26" s="35"/>
      <c r="P26" s="35"/>
      <c r="Q26" s="36"/>
    </row>
    <row r="27" spans="2:17" x14ac:dyDescent="0.35">
      <c r="B27" s="34"/>
      <c r="C27" s="35"/>
      <c r="D27" s="35"/>
      <c r="E27" s="35"/>
      <c r="F27" s="35"/>
      <c r="G27" s="35"/>
      <c r="H27" s="35"/>
      <c r="I27" s="35"/>
      <c r="J27" s="35"/>
      <c r="K27" s="35"/>
      <c r="L27" s="35"/>
      <c r="M27" s="35"/>
      <c r="N27" s="35"/>
      <c r="O27" s="35"/>
      <c r="P27" s="35"/>
      <c r="Q27" s="36"/>
    </row>
    <row r="28" spans="2:17" x14ac:dyDescent="0.35">
      <c r="B28" s="34"/>
      <c r="C28" s="35"/>
      <c r="D28" s="35"/>
      <c r="E28" s="35"/>
      <c r="F28" s="35"/>
      <c r="G28" s="35"/>
      <c r="H28" s="35"/>
      <c r="I28" s="35"/>
      <c r="J28" s="35"/>
      <c r="K28" s="35"/>
      <c r="L28" s="35"/>
      <c r="M28" s="35"/>
      <c r="N28" s="35"/>
      <c r="O28" s="35"/>
      <c r="P28" s="35"/>
      <c r="Q28" s="36"/>
    </row>
    <row r="29" spans="2:17" x14ac:dyDescent="0.35">
      <c r="B29" s="34"/>
      <c r="C29" s="35"/>
      <c r="D29" s="35"/>
      <c r="E29" s="35"/>
      <c r="F29" s="35"/>
      <c r="G29" s="35"/>
      <c r="H29" s="35"/>
      <c r="I29" s="35"/>
      <c r="J29" s="35"/>
      <c r="K29" s="35"/>
      <c r="L29" s="35"/>
      <c r="M29" s="35"/>
      <c r="N29" s="35"/>
      <c r="O29" s="35"/>
      <c r="P29" s="35"/>
      <c r="Q29" s="36"/>
    </row>
    <row r="30" spans="2:17" x14ac:dyDescent="0.35">
      <c r="B30" s="34"/>
      <c r="C30" s="35"/>
      <c r="D30" s="35"/>
      <c r="E30" s="35"/>
      <c r="F30" s="35"/>
      <c r="G30" s="35"/>
      <c r="H30" s="35"/>
      <c r="I30" s="35"/>
      <c r="J30" s="35"/>
      <c r="K30" s="35"/>
      <c r="L30" s="35"/>
      <c r="M30" s="35"/>
      <c r="N30" s="35"/>
      <c r="O30" s="35"/>
      <c r="P30" s="35"/>
      <c r="Q30" s="36"/>
    </row>
    <row r="31" spans="2:17" ht="15" thickBot="1" x14ac:dyDescent="0.4">
      <c r="B31" s="37"/>
      <c r="C31" s="38"/>
      <c r="D31" s="38"/>
      <c r="E31" s="38"/>
      <c r="F31" s="38"/>
      <c r="G31" s="38"/>
      <c r="H31" s="38"/>
      <c r="I31" s="38"/>
      <c r="J31" s="38"/>
      <c r="K31" s="38"/>
      <c r="L31" s="38"/>
      <c r="M31" s="38"/>
      <c r="N31" s="38"/>
      <c r="O31" s="38"/>
      <c r="P31" s="38"/>
      <c r="Q31" s="39"/>
    </row>
    <row r="32" spans="2:17" ht="15" thickBot="1" x14ac:dyDescent="0.4"/>
    <row r="33" spans="2:10" x14ac:dyDescent="0.35">
      <c r="B33" s="19" t="s">
        <v>216</v>
      </c>
      <c r="C33" s="20" t="s">
        <v>217</v>
      </c>
      <c r="D33" s="21"/>
      <c r="E33" s="21"/>
      <c r="F33" s="21"/>
      <c r="G33" s="21"/>
      <c r="H33" s="22"/>
      <c r="I33" s="23"/>
      <c r="J33" s="23"/>
    </row>
    <row r="34" spans="2:10" x14ac:dyDescent="0.35">
      <c r="B34" s="24" t="s">
        <v>220</v>
      </c>
      <c r="C34" s="6" t="s">
        <v>219</v>
      </c>
      <c r="D34" s="23"/>
      <c r="E34" s="23"/>
      <c r="F34" s="23"/>
      <c r="G34" s="23"/>
      <c r="H34" s="25"/>
      <c r="I34" s="23"/>
      <c r="J34" s="23"/>
    </row>
    <row r="35" spans="2:10" x14ac:dyDescent="0.35">
      <c r="B35" s="24" t="s">
        <v>221</v>
      </c>
      <c r="C35" s="6" t="s">
        <v>61</v>
      </c>
      <c r="D35" s="23"/>
      <c r="E35" s="23"/>
      <c r="F35" s="23"/>
      <c r="G35" s="23"/>
      <c r="H35" s="25"/>
      <c r="I35" s="23"/>
      <c r="J35" s="23"/>
    </row>
    <row r="36" spans="2:10" x14ac:dyDescent="0.35">
      <c r="B36" s="24" t="s">
        <v>222</v>
      </c>
      <c r="C36" s="6" t="s">
        <v>201</v>
      </c>
      <c r="D36" s="23"/>
      <c r="E36" s="23"/>
      <c r="F36" s="23"/>
      <c r="G36" s="23"/>
      <c r="H36" s="25"/>
      <c r="I36" s="23"/>
      <c r="J36" s="23"/>
    </row>
    <row r="37" spans="2:10" ht="15" thickBot="1" x14ac:dyDescent="0.4">
      <c r="B37" s="26" t="s">
        <v>223</v>
      </c>
      <c r="C37" s="27" t="s">
        <v>214</v>
      </c>
      <c r="D37" s="28"/>
      <c r="E37" s="28"/>
      <c r="F37" s="28"/>
      <c r="G37" s="28"/>
      <c r="H37" s="29"/>
      <c r="I37" s="23"/>
      <c r="J37" s="23"/>
    </row>
  </sheetData>
  <mergeCells count="1">
    <mergeCell ref="B2:Q31"/>
  </mergeCells>
  <hyperlinks>
    <hyperlink ref="B34" location="Se_Market_GLO!A1" display="Se_Market_GLO" xr:uid="{F6AD28FA-61FB-407E-855E-1DCB4EAFBDC8}"/>
    <hyperlink ref="B35" location="PR1_Se_US!A1" display="PR1_Se_US" xr:uid="{16CE4173-F006-4CDF-A68F-2480EF1276F5}"/>
    <hyperlink ref="B36" location="PR2_Se_SE_Pyro!A1" display="PR2_Se_SE_Pyro" xr:uid="{F4E2215C-361F-4AC8-8B9D-C6B81D828178}"/>
    <hyperlink ref="B37" location="PR3_Se_CN_CuSlime!A1" display="PR3_Se_CN_CuSlime" xr:uid="{1033FA65-6E2A-41BC-8413-F9B187391995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FF79EC-F00E-48C9-B05A-F24C976CBA53}">
  <sheetPr>
    <tabColor theme="8" tint="0.39997558519241921"/>
  </sheetPr>
  <dimension ref="A1:N28"/>
  <sheetViews>
    <sheetView workbookViewId="0"/>
  </sheetViews>
  <sheetFormatPr baseColWidth="10" defaultRowHeight="14.5" x14ac:dyDescent="0.35"/>
  <cols>
    <col min="1" max="1" width="89.1796875" bestFit="1" customWidth="1"/>
    <col min="2" max="2" width="26.7265625" customWidth="1"/>
    <col min="3" max="3" width="8.1796875" bestFit="1" customWidth="1"/>
    <col min="4" max="4" width="12" bestFit="1" customWidth="1"/>
    <col min="5" max="5" width="8.7265625" bestFit="1" customWidth="1"/>
    <col min="6" max="6" width="9.453125" bestFit="1" customWidth="1"/>
    <col min="7" max="7" width="13.26953125" bestFit="1" customWidth="1"/>
    <col min="8" max="8" width="10.1796875" bestFit="1" customWidth="1"/>
    <col min="9" max="9" width="15.54296875" bestFit="1" customWidth="1"/>
    <col min="10" max="10" width="9" bestFit="1" customWidth="1"/>
    <col min="11" max="11" width="3.54296875" bestFit="1" customWidth="1"/>
    <col min="12" max="12" width="5.453125" bestFit="1" customWidth="1"/>
    <col min="13" max="13" width="9.54296875" bestFit="1" customWidth="1"/>
    <col min="14" max="14" width="9.81640625" bestFit="1" customWidth="1"/>
  </cols>
  <sheetData>
    <row r="1" spans="1:14" x14ac:dyDescent="0.35">
      <c r="A1" t="s">
        <v>12</v>
      </c>
      <c r="B1" s="1" t="s">
        <v>66</v>
      </c>
    </row>
    <row r="2" spans="1:14" s="2" customFormat="1" x14ac:dyDescent="0.35"/>
    <row r="3" spans="1:14" x14ac:dyDescent="0.35">
      <c r="A3" s="3" t="s">
        <v>0</v>
      </c>
      <c r="B3" s="3" t="s">
        <v>67</v>
      </c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</row>
    <row r="4" spans="1:14" x14ac:dyDescent="0.35">
      <c r="A4" s="5" t="s">
        <v>2</v>
      </c>
      <c r="B4" s="4" t="s">
        <v>38</v>
      </c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</row>
    <row r="5" spans="1:14" x14ac:dyDescent="0.35">
      <c r="A5" s="5" t="s">
        <v>4</v>
      </c>
      <c r="B5" s="4" t="s">
        <v>30</v>
      </c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</row>
    <row r="6" spans="1:14" x14ac:dyDescent="0.35">
      <c r="A6" s="5" t="s">
        <v>6</v>
      </c>
      <c r="B6" s="4">
        <v>1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</row>
    <row r="7" spans="1:14" x14ac:dyDescent="0.35">
      <c r="A7" s="5" t="s">
        <v>7</v>
      </c>
      <c r="B7" s="4" t="s">
        <v>8</v>
      </c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</row>
    <row r="8" spans="1:14" x14ac:dyDescent="0.35">
      <c r="A8" s="5" t="s">
        <v>9</v>
      </c>
      <c r="B8" s="4" t="s">
        <v>62</v>
      </c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</row>
    <row r="9" spans="1:14" x14ac:dyDescent="0.35">
      <c r="A9" s="5" t="s">
        <v>10</v>
      </c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</row>
    <row r="10" spans="1:14" x14ac:dyDescent="0.35">
      <c r="A10" s="3" t="s">
        <v>11</v>
      </c>
      <c r="B10" s="3" t="s">
        <v>2</v>
      </c>
      <c r="C10" s="3" t="s">
        <v>4</v>
      </c>
      <c r="D10" s="3" t="s">
        <v>6</v>
      </c>
      <c r="E10" s="3" t="s">
        <v>7</v>
      </c>
      <c r="F10" s="3" t="s">
        <v>12</v>
      </c>
      <c r="G10" s="3" t="s">
        <v>13</v>
      </c>
      <c r="H10" s="3" t="s">
        <v>14</v>
      </c>
      <c r="I10" s="3" t="s">
        <v>15</v>
      </c>
      <c r="J10" s="3" t="s">
        <v>16</v>
      </c>
      <c r="K10" s="3" t="s">
        <v>17</v>
      </c>
      <c r="L10" s="3" t="s">
        <v>18</v>
      </c>
      <c r="M10" s="3" t="s">
        <v>19</v>
      </c>
      <c r="N10" s="3" t="s">
        <v>20</v>
      </c>
    </row>
    <row r="11" spans="1:14" x14ac:dyDescent="0.35">
      <c r="A11" t="str">
        <f>B3</f>
        <v>Selenium (Se) global market</v>
      </c>
      <c r="B11" t="str">
        <f>B4</f>
        <v>Refined Se</v>
      </c>
      <c r="C11" t="str">
        <f>B5</f>
        <v>GLO</v>
      </c>
      <c r="D11" s="4">
        <v>1</v>
      </c>
      <c r="E11" s="4" t="s">
        <v>8</v>
      </c>
      <c r="F11" s="1" t="str">
        <f>B1</f>
        <v>Selenium</v>
      </c>
      <c r="G11" s="4" t="s">
        <v>21</v>
      </c>
    </row>
    <row r="12" spans="1:14" s="4" customFormat="1" x14ac:dyDescent="0.35">
      <c r="A12" s="4" t="str">
        <f>PR1_Se_US!A63</f>
        <v>Se recovery from Cu production in the US through Pyrometallurgy</v>
      </c>
      <c r="B12" s="4" t="str">
        <f>PR1_Se_US!B63</f>
        <v>Refined Se</v>
      </c>
      <c r="C12" s="4" t="str">
        <f>PR1_Se_US!C63</f>
        <v>US</v>
      </c>
      <c r="D12" s="4">
        <v>4.5450000454500011E-2</v>
      </c>
      <c r="E12" s="4" t="str">
        <f>PR1_Se_US!E63</f>
        <v>kilogram</v>
      </c>
      <c r="F12" s="1" t="str">
        <f>PR1_Se_US!F63</f>
        <v>Selenium</v>
      </c>
      <c r="G12" s="6" t="s">
        <v>26</v>
      </c>
    </row>
    <row r="13" spans="1:14" s="4" customFormat="1" x14ac:dyDescent="0.35">
      <c r="A13" s="4" t="str">
        <f>PR2_Se_SE_Pyro!A142</f>
        <v>Se recovery from Cu production in Sweden/Rönnskärsverken</v>
      </c>
      <c r="B13" s="4" t="str">
        <f>PR2_Se_SE_Pyro!B142</f>
        <v>Refined Se</v>
      </c>
      <c r="C13" s="4" t="str">
        <f>PR2_Se_SE_Pyro!C142</f>
        <v>SE</v>
      </c>
      <c r="D13" s="4">
        <v>4.5450000454500011E-2</v>
      </c>
      <c r="E13" s="4" t="str">
        <f>PR2_Se_SE_Pyro!E142</f>
        <v>kilogram</v>
      </c>
      <c r="F13" s="1" t="str">
        <f>PR2_Se_SE_Pyro!F142</f>
        <v>Selenium</v>
      </c>
      <c r="G13" s="6" t="s">
        <v>26</v>
      </c>
    </row>
    <row r="14" spans="1:14" s="4" customFormat="1" x14ac:dyDescent="0.35">
      <c r="A14" s="4" t="str">
        <f>PR3_Se_CN_CuSlime!A31</f>
        <v>Se production in China through Cu anode slime processing</v>
      </c>
      <c r="B14" s="4" t="str">
        <f>PR3_Se_CN_CuSlime!B31</f>
        <v>Refined Se</v>
      </c>
      <c r="C14" s="4" t="str">
        <f>PR3_Se_CN_CuSlime!C31</f>
        <v>CN</v>
      </c>
      <c r="D14" s="4">
        <v>0.90909999909100014</v>
      </c>
      <c r="E14" s="4" t="str">
        <f>PR3_Se_CN_CuSlime!E31</f>
        <v>kilogram</v>
      </c>
      <c r="F14" s="1" t="str">
        <f>PR3_Se_CN_CuSlime!F31</f>
        <v>Selenium</v>
      </c>
      <c r="G14" s="6" t="s">
        <v>26</v>
      </c>
    </row>
    <row r="15" spans="1:14" s="4" customFormat="1" x14ac:dyDescent="0.35">
      <c r="F15" s="1"/>
    </row>
    <row r="16" spans="1:14" s="4" customFormat="1" x14ac:dyDescent="0.35">
      <c r="F16" s="1"/>
    </row>
    <row r="17" spans="6:6" s="4" customFormat="1" x14ac:dyDescent="0.35">
      <c r="F17" s="1"/>
    </row>
    <row r="18" spans="6:6" s="4" customFormat="1" x14ac:dyDescent="0.35">
      <c r="F18" s="1"/>
    </row>
    <row r="19" spans="6:6" s="4" customFormat="1" x14ac:dyDescent="0.35">
      <c r="F19" s="1"/>
    </row>
    <row r="20" spans="6:6" s="4" customFormat="1" x14ac:dyDescent="0.35">
      <c r="F20" s="1"/>
    </row>
    <row r="21" spans="6:6" s="4" customFormat="1" x14ac:dyDescent="0.35">
      <c r="F21" s="1"/>
    </row>
    <row r="22" spans="6:6" s="4" customFormat="1" x14ac:dyDescent="0.35">
      <c r="F22" s="1"/>
    </row>
    <row r="23" spans="6:6" s="4" customFormat="1" x14ac:dyDescent="0.35">
      <c r="F23" s="1"/>
    </row>
    <row r="24" spans="6:6" s="4" customFormat="1" x14ac:dyDescent="0.35">
      <c r="F24" s="1"/>
    </row>
    <row r="25" spans="6:6" s="4" customFormat="1" x14ac:dyDescent="0.35">
      <c r="F25" s="1"/>
    </row>
    <row r="26" spans="6:6" s="4" customFormat="1" x14ac:dyDescent="0.35">
      <c r="F26" s="1"/>
    </row>
    <row r="27" spans="6:6" s="4" customFormat="1" x14ac:dyDescent="0.35">
      <c r="F27" s="1"/>
    </row>
    <row r="28" spans="6:6" s="4" customFormat="1" x14ac:dyDescent="0.35">
      <c r="F28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8" tint="0.39997558519241921"/>
  </sheetPr>
  <dimension ref="A1:N65"/>
  <sheetViews>
    <sheetView workbookViewId="0"/>
  </sheetViews>
  <sheetFormatPr baseColWidth="10" defaultColWidth="9.1796875" defaultRowHeight="14.5" x14ac:dyDescent="0.35"/>
  <cols>
    <col min="1" max="1" width="59.81640625" style="6" bestFit="1" customWidth="1"/>
    <col min="2" max="2" width="60" style="6" bestFit="1" customWidth="1"/>
    <col min="3" max="3" width="8.1796875" style="6" bestFit="1" customWidth="1"/>
    <col min="4" max="4" width="12" style="6" bestFit="1" customWidth="1"/>
    <col min="5" max="5" width="12.81640625" style="6" bestFit="1" customWidth="1"/>
    <col min="6" max="6" width="19.7265625" style="6" bestFit="1" customWidth="1"/>
    <col min="7" max="7" width="13.26953125" style="6" bestFit="1" customWidth="1"/>
    <col min="8" max="8" width="10.1796875" style="6" bestFit="1" customWidth="1"/>
    <col min="9" max="9" width="15.54296875" style="6" bestFit="1" customWidth="1"/>
    <col min="10" max="10" width="9.7265625" style="6" bestFit="1" customWidth="1"/>
    <col min="11" max="11" width="3.54296875" style="6" bestFit="1" customWidth="1"/>
    <col min="12" max="12" width="5.453125" style="6" bestFit="1" customWidth="1"/>
    <col min="13" max="13" width="9.54296875" style="6" bestFit="1" customWidth="1"/>
    <col min="14" max="14" width="9.81640625" style="6" bestFit="1" customWidth="1"/>
    <col min="15" max="16384" width="9.1796875" style="6"/>
  </cols>
  <sheetData>
    <row r="1" spans="1:14" x14ac:dyDescent="0.35">
      <c r="A1" s="7" t="s">
        <v>0</v>
      </c>
      <c r="B1" s="7" t="s">
        <v>1</v>
      </c>
    </row>
    <row r="2" spans="1:14" x14ac:dyDescent="0.35">
      <c r="A2" s="8" t="s">
        <v>2</v>
      </c>
      <c r="B2" s="6" t="s">
        <v>3</v>
      </c>
    </row>
    <row r="3" spans="1:14" x14ac:dyDescent="0.35">
      <c r="A3" s="8" t="s">
        <v>4</v>
      </c>
      <c r="B3" s="6" t="s">
        <v>5</v>
      </c>
    </row>
    <row r="4" spans="1:14" x14ac:dyDescent="0.35">
      <c r="A4" s="8" t="s">
        <v>6</v>
      </c>
      <c r="B4" s="6">
        <v>1</v>
      </c>
    </row>
    <row r="5" spans="1:14" x14ac:dyDescent="0.35">
      <c r="A5" s="8" t="s">
        <v>7</v>
      </c>
      <c r="B5" s="6" t="s">
        <v>8</v>
      </c>
    </row>
    <row r="6" spans="1:14" ht="87" x14ac:dyDescent="0.35">
      <c r="A6" s="8" t="s">
        <v>9</v>
      </c>
      <c r="B6" s="9" t="s">
        <v>68</v>
      </c>
    </row>
    <row r="7" spans="1:14" x14ac:dyDescent="0.35">
      <c r="A7" s="8" t="s">
        <v>10</v>
      </c>
    </row>
    <row r="8" spans="1:14" x14ac:dyDescent="0.35">
      <c r="A8" s="7" t="s">
        <v>11</v>
      </c>
      <c r="B8" s="7" t="s">
        <v>2</v>
      </c>
      <c r="C8" s="7" t="s">
        <v>4</v>
      </c>
      <c r="D8" s="7" t="s">
        <v>6</v>
      </c>
      <c r="E8" s="7" t="s">
        <v>7</v>
      </c>
      <c r="F8" s="7" t="s">
        <v>12</v>
      </c>
      <c r="G8" s="7" t="s">
        <v>13</v>
      </c>
      <c r="H8" s="7" t="s">
        <v>14</v>
      </c>
      <c r="I8" s="7" t="s">
        <v>15</v>
      </c>
      <c r="J8" s="7" t="s">
        <v>16</v>
      </c>
      <c r="K8" s="7" t="s">
        <v>17</v>
      </c>
      <c r="L8" s="7" t="s">
        <v>18</v>
      </c>
      <c r="M8" s="7" t="s">
        <v>19</v>
      </c>
      <c r="N8" s="7" t="s">
        <v>20</v>
      </c>
    </row>
    <row r="9" spans="1:14" x14ac:dyDescent="0.35">
      <c r="A9" s="6" t="str">
        <f>B1</f>
        <v>[M+C] Copper (Cu) ore mining and concentration (United States)</v>
      </c>
      <c r="B9" s="6" t="str">
        <f>B2</f>
        <v>Cu concentrate</v>
      </c>
      <c r="C9" s="6" t="str">
        <f>B3</f>
        <v>US</v>
      </c>
      <c r="D9" s="6">
        <v>1</v>
      </c>
      <c r="E9" s="6" t="s">
        <v>8</v>
      </c>
      <c r="F9" s="10" t="str">
        <f>Se_Market_GLO!B1</f>
        <v>Selenium</v>
      </c>
      <c r="G9" s="6" t="s">
        <v>21</v>
      </c>
    </row>
    <row r="10" spans="1:14" x14ac:dyDescent="0.35">
      <c r="A10" s="6" t="s">
        <v>22</v>
      </c>
      <c r="B10" s="6" t="s">
        <v>23</v>
      </c>
      <c r="C10" s="6" t="s">
        <v>5</v>
      </c>
      <c r="D10" s="6">
        <v>1.3888888888888891</v>
      </c>
      <c r="E10" s="6" t="s">
        <v>24</v>
      </c>
      <c r="F10" s="6" t="s">
        <v>25</v>
      </c>
      <c r="G10" s="6" t="s">
        <v>26</v>
      </c>
      <c r="J10" s="6" t="s">
        <v>27</v>
      </c>
    </row>
    <row r="11" spans="1:14" x14ac:dyDescent="0.35">
      <c r="A11" s="6" t="s">
        <v>28</v>
      </c>
      <c r="B11" s="6" t="s">
        <v>29</v>
      </c>
      <c r="C11" s="6" t="s">
        <v>30</v>
      </c>
      <c r="D11" s="6">
        <v>4.5999999999999996</v>
      </c>
      <c r="E11" s="6" t="s">
        <v>31</v>
      </c>
      <c r="F11" s="6" t="s">
        <v>25</v>
      </c>
      <c r="G11" s="6" t="s">
        <v>26</v>
      </c>
      <c r="J11" s="6" t="s">
        <v>27</v>
      </c>
    </row>
    <row r="12" spans="1:14" x14ac:dyDescent="0.35">
      <c r="A12" s="6" t="s">
        <v>32</v>
      </c>
      <c r="D12" s="6">
        <v>2.32E-4</v>
      </c>
      <c r="E12" s="6" t="s">
        <v>8</v>
      </c>
      <c r="F12" s="6" t="s">
        <v>33</v>
      </c>
      <c r="G12" s="6" t="s">
        <v>34</v>
      </c>
      <c r="H12" s="6" t="s">
        <v>35</v>
      </c>
      <c r="J12" s="6" t="s">
        <v>36</v>
      </c>
    </row>
    <row r="13" spans="1:14" s="11" customFormat="1" x14ac:dyDescent="0.35"/>
    <row r="14" spans="1:14" x14ac:dyDescent="0.35">
      <c r="A14" s="7" t="s">
        <v>0</v>
      </c>
      <c r="B14" s="7" t="s">
        <v>37</v>
      </c>
    </row>
    <row r="15" spans="1:14" x14ac:dyDescent="0.35">
      <c r="A15" s="8" t="s">
        <v>2</v>
      </c>
      <c r="B15" s="6" t="s">
        <v>38</v>
      </c>
    </row>
    <row r="16" spans="1:14" x14ac:dyDescent="0.35">
      <c r="A16" s="8" t="s">
        <v>4</v>
      </c>
      <c r="B16" s="6" t="s">
        <v>5</v>
      </c>
    </row>
    <row r="17" spans="1:14" x14ac:dyDescent="0.35">
      <c r="A17" s="8" t="s">
        <v>6</v>
      </c>
      <c r="B17" s="6">
        <v>1</v>
      </c>
    </row>
    <row r="18" spans="1:14" x14ac:dyDescent="0.35">
      <c r="A18" s="8" t="s">
        <v>7</v>
      </c>
      <c r="B18" s="6" t="s">
        <v>8</v>
      </c>
    </row>
    <row r="19" spans="1:14" ht="29" x14ac:dyDescent="0.35">
      <c r="A19" s="8" t="s">
        <v>9</v>
      </c>
      <c r="B19" s="12" t="s">
        <v>69</v>
      </c>
    </row>
    <row r="20" spans="1:14" x14ac:dyDescent="0.35">
      <c r="A20" s="8" t="s">
        <v>10</v>
      </c>
    </row>
    <row r="21" spans="1:14" x14ac:dyDescent="0.35">
      <c r="A21" s="7" t="s">
        <v>11</v>
      </c>
      <c r="B21" s="7" t="s">
        <v>2</v>
      </c>
      <c r="C21" s="7" t="s">
        <v>4</v>
      </c>
      <c r="D21" s="7" t="s">
        <v>6</v>
      </c>
      <c r="E21" s="7" t="s">
        <v>7</v>
      </c>
      <c r="F21" s="7" t="s">
        <v>12</v>
      </c>
      <c r="G21" s="7" t="s">
        <v>13</v>
      </c>
      <c r="H21" s="7" t="s">
        <v>14</v>
      </c>
      <c r="I21" s="7" t="s">
        <v>15</v>
      </c>
      <c r="J21" s="7" t="s">
        <v>16</v>
      </c>
      <c r="K21" s="7" t="s">
        <v>17</v>
      </c>
      <c r="L21" s="7" t="s">
        <v>18</v>
      </c>
      <c r="M21" s="7" t="s">
        <v>19</v>
      </c>
      <c r="N21" s="7" t="s">
        <v>20</v>
      </c>
    </row>
    <row r="22" spans="1:14" x14ac:dyDescent="0.35">
      <c r="A22" s="6" t="str">
        <f>B14</f>
        <v>[P+R] Refined Selenium (Se) production - Pyrometallurgy</v>
      </c>
      <c r="B22" s="6" t="str">
        <f>B15</f>
        <v>Refined Se</v>
      </c>
      <c r="C22" s="6" t="str">
        <f>B16</f>
        <v>US</v>
      </c>
      <c r="D22" s="6">
        <v>1</v>
      </c>
      <c r="E22" s="6" t="s">
        <v>8</v>
      </c>
      <c r="F22" s="10" t="str">
        <f>F9</f>
        <v>Selenium</v>
      </c>
      <c r="G22" s="6" t="s">
        <v>21</v>
      </c>
    </row>
    <row r="23" spans="1:14" x14ac:dyDescent="0.35">
      <c r="A23" s="6" t="s">
        <v>22</v>
      </c>
      <c r="B23" s="6" t="s">
        <v>23</v>
      </c>
      <c r="C23" s="6" t="s">
        <v>5</v>
      </c>
      <c r="D23" s="6">
        <v>8.1388888888888893</v>
      </c>
      <c r="E23" s="6" t="s">
        <v>24</v>
      </c>
      <c r="F23" s="6" t="s">
        <v>25</v>
      </c>
      <c r="G23" s="6" t="s">
        <v>26</v>
      </c>
      <c r="J23" s="6" t="s">
        <v>39</v>
      </c>
    </row>
    <row r="24" spans="1:14" x14ac:dyDescent="0.35">
      <c r="A24" s="6" t="s">
        <v>40</v>
      </c>
      <c r="B24" s="6" t="s">
        <v>41</v>
      </c>
      <c r="C24" s="6" t="s">
        <v>42</v>
      </c>
      <c r="D24" s="6">
        <v>14.7</v>
      </c>
      <c r="E24" s="6" t="s">
        <v>31</v>
      </c>
      <c r="F24" s="6" t="s">
        <v>25</v>
      </c>
      <c r="G24" s="6" t="s">
        <v>26</v>
      </c>
      <c r="J24" s="6" t="s">
        <v>39</v>
      </c>
    </row>
    <row r="25" spans="1:14" x14ac:dyDescent="0.35">
      <c r="A25" s="6" t="s">
        <v>43</v>
      </c>
      <c r="B25" s="6" t="s">
        <v>44</v>
      </c>
      <c r="C25" s="6" t="s">
        <v>42</v>
      </c>
      <c r="D25" s="6">
        <v>38.799999999999997</v>
      </c>
      <c r="E25" s="6" t="s">
        <v>31</v>
      </c>
      <c r="F25" s="6" t="s">
        <v>25</v>
      </c>
      <c r="G25" s="6" t="s">
        <v>26</v>
      </c>
      <c r="J25" s="6" t="s">
        <v>39</v>
      </c>
    </row>
    <row r="26" spans="1:14" x14ac:dyDescent="0.35">
      <c r="A26" s="6" t="s">
        <v>28</v>
      </c>
      <c r="B26" s="6" t="s">
        <v>29</v>
      </c>
      <c r="C26" s="6" t="s">
        <v>30</v>
      </c>
      <c r="D26" s="6">
        <v>6</v>
      </c>
      <c r="E26" s="6" t="s">
        <v>31</v>
      </c>
      <c r="F26" s="6" t="s">
        <v>25</v>
      </c>
      <c r="G26" s="6" t="s">
        <v>26</v>
      </c>
      <c r="J26" s="6" t="s">
        <v>39</v>
      </c>
    </row>
    <row r="27" spans="1:14" x14ac:dyDescent="0.35">
      <c r="A27" s="6" t="s">
        <v>46</v>
      </c>
      <c r="D27" s="6">
        <v>8.6E-3</v>
      </c>
      <c r="E27" s="6" t="s">
        <v>8</v>
      </c>
      <c r="F27" s="6" t="s">
        <v>33</v>
      </c>
      <c r="G27" s="6" t="s">
        <v>34</v>
      </c>
      <c r="H27" s="6" t="s">
        <v>35</v>
      </c>
      <c r="J27" s="6" t="s">
        <v>45</v>
      </c>
    </row>
    <row r="28" spans="1:14" x14ac:dyDescent="0.35">
      <c r="A28" s="6" t="s">
        <v>47</v>
      </c>
      <c r="D28" s="6">
        <v>3.1E-6</v>
      </c>
      <c r="E28" s="6" t="s">
        <v>8</v>
      </c>
      <c r="F28" s="6" t="s">
        <v>33</v>
      </c>
      <c r="G28" s="6" t="s">
        <v>34</v>
      </c>
      <c r="H28" s="6" t="s">
        <v>35</v>
      </c>
      <c r="J28" s="6" t="s">
        <v>45</v>
      </c>
    </row>
    <row r="29" spans="1:14" x14ac:dyDescent="0.35">
      <c r="A29" s="6" t="s">
        <v>48</v>
      </c>
      <c r="D29" s="6">
        <v>1.1399999999999999E-5</v>
      </c>
      <c r="E29" s="6" t="s">
        <v>8</v>
      </c>
      <c r="F29" s="6" t="s">
        <v>33</v>
      </c>
      <c r="G29" s="6" t="s">
        <v>34</v>
      </c>
      <c r="H29" s="6" t="s">
        <v>35</v>
      </c>
      <c r="J29" s="6" t="s">
        <v>45</v>
      </c>
    </row>
    <row r="30" spans="1:14" x14ac:dyDescent="0.35">
      <c r="A30" s="6" t="s">
        <v>49</v>
      </c>
      <c r="D30" s="6">
        <v>1.5999999999999999E-6</v>
      </c>
      <c r="E30" s="6" t="s">
        <v>8</v>
      </c>
      <c r="F30" s="6" t="s">
        <v>33</v>
      </c>
      <c r="G30" s="6" t="s">
        <v>34</v>
      </c>
      <c r="H30" s="6" t="s">
        <v>35</v>
      </c>
      <c r="J30" s="6" t="s">
        <v>45</v>
      </c>
    </row>
    <row r="31" spans="1:14" x14ac:dyDescent="0.35">
      <c r="A31" s="6" t="s">
        <v>50</v>
      </c>
      <c r="D31" s="6">
        <v>3.1E-6</v>
      </c>
      <c r="E31" s="6" t="s">
        <v>8</v>
      </c>
      <c r="F31" s="6" t="s">
        <v>33</v>
      </c>
      <c r="G31" s="6" t="s">
        <v>34</v>
      </c>
      <c r="H31" s="6" t="s">
        <v>35</v>
      </c>
      <c r="J31" s="6" t="s">
        <v>45</v>
      </c>
    </row>
    <row r="32" spans="1:14" x14ac:dyDescent="0.35">
      <c r="A32" s="6" t="s">
        <v>51</v>
      </c>
      <c r="D32" s="6">
        <v>3.3399999999999999E-4</v>
      </c>
      <c r="E32" s="6" t="s">
        <v>8</v>
      </c>
      <c r="F32" s="6" t="s">
        <v>33</v>
      </c>
      <c r="G32" s="6" t="s">
        <v>34</v>
      </c>
      <c r="H32" s="6" t="s">
        <v>35</v>
      </c>
      <c r="J32" s="6" t="s">
        <v>45</v>
      </c>
    </row>
    <row r="33" spans="1:10" x14ac:dyDescent="0.35">
      <c r="A33" s="6" t="s">
        <v>52</v>
      </c>
      <c r="D33" s="6">
        <v>6.1999999999999999E-8</v>
      </c>
      <c r="E33" s="6" t="s">
        <v>8</v>
      </c>
      <c r="F33" s="6" t="s">
        <v>33</v>
      </c>
      <c r="G33" s="6" t="s">
        <v>34</v>
      </c>
      <c r="H33" s="6" t="s">
        <v>35</v>
      </c>
      <c r="J33" s="6" t="s">
        <v>45</v>
      </c>
    </row>
    <row r="34" spans="1:10" x14ac:dyDescent="0.35">
      <c r="A34" s="6" t="s">
        <v>53</v>
      </c>
      <c r="D34" s="6">
        <v>1.5999999999999999E-6</v>
      </c>
      <c r="E34" s="6" t="s">
        <v>8</v>
      </c>
      <c r="F34" s="6" t="s">
        <v>33</v>
      </c>
      <c r="G34" s="6" t="s">
        <v>34</v>
      </c>
      <c r="H34" s="6" t="s">
        <v>35</v>
      </c>
      <c r="J34" s="6" t="s">
        <v>45</v>
      </c>
    </row>
    <row r="35" spans="1:10" x14ac:dyDescent="0.35">
      <c r="A35" s="6" t="s">
        <v>54</v>
      </c>
      <c r="D35" s="6">
        <v>3.1E-6</v>
      </c>
      <c r="E35" s="6" t="s">
        <v>8</v>
      </c>
      <c r="F35" s="6" t="s">
        <v>33</v>
      </c>
      <c r="G35" s="6" t="s">
        <v>34</v>
      </c>
      <c r="H35" s="6" t="s">
        <v>35</v>
      </c>
      <c r="J35" s="6" t="s">
        <v>45</v>
      </c>
    </row>
    <row r="36" spans="1:10" x14ac:dyDescent="0.35">
      <c r="A36" s="6" t="s">
        <v>55</v>
      </c>
      <c r="D36" s="6">
        <v>5.3699999999999997E-5</v>
      </c>
      <c r="E36" s="6" t="s">
        <v>8</v>
      </c>
      <c r="F36" s="6" t="s">
        <v>33</v>
      </c>
      <c r="G36" s="6" t="s">
        <v>34</v>
      </c>
      <c r="H36" s="6" t="s">
        <v>35</v>
      </c>
      <c r="J36" s="6" t="s">
        <v>45</v>
      </c>
    </row>
    <row r="37" spans="1:10" x14ac:dyDescent="0.35">
      <c r="A37" s="6" t="s">
        <v>56</v>
      </c>
      <c r="D37" s="6">
        <v>3.1E-6</v>
      </c>
      <c r="E37" s="6" t="s">
        <v>8</v>
      </c>
      <c r="F37" s="6" t="s">
        <v>33</v>
      </c>
      <c r="G37" s="6" t="s">
        <v>34</v>
      </c>
      <c r="H37" s="6" t="s">
        <v>35</v>
      </c>
      <c r="J37" s="6" t="s">
        <v>45</v>
      </c>
    </row>
    <row r="38" spans="1:10" x14ac:dyDescent="0.35">
      <c r="A38" s="6" t="s">
        <v>57</v>
      </c>
      <c r="D38" s="6">
        <v>3.1E-6</v>
      </c>
      <c r="E38" s="6" t="s">
        <v>8</v>
      </c>
      <c r="F38" s="6" t="s">
        <v>33</v>
      </c>
      <c r="G38" s="6" t="s">
        <v>34</v>
      </c>
      <c r="H38" s="6" t="s">
        <v>35</v>
      </c>
      <c r="J38" s="6" t="s">
        <v>45</v>
      </c>
    </row>
    <row r="39" spans="1:10" x14ac:dyDescent="0.35">
      <c r="A39" s="6" t="s">
        <v>58</v>
      </c>
      <c r="D39" s="6">
        <v>1.5999999999999999E-6</v>
      </c>
      <c r="E39" s="6" t="s">
        <v>8</v>
      </c>
      <c r="F39" s="6" t="s">
        <v>33</v>
      </c>
      <c r="G39" s="6" t="s">
        <v>34</v>
      </c>
      <c r="H39" s="6" t="s">
        <v>35</v>
      </c>
      <c r="J39" s="6" t="s">
        <v>45</v>
      </c>
    </row>
    <row r="40" spans="1:10" x14ac:dyDescent="0.35">
      <c r="A40" s="6" t="s">
        <v>59</v>
      </c>
      <c r="D40" s="6">
        <v>6.1999999999999999E-6</v>
      </c>
      <c r="E40" s="6" t="s">
        <v>8</v>
      </c>
      <c r="F40" s="6" t="s">
        <v>33</v>
      </c>
      <c r="G40" s="6" t="s">
        <v>34</v>
      </c>
      <c r="H40" s="6" t="s">
        <v>35</v>
      </c>
      <c r="J40" s="6" t="s">
        <v>45</v>
      </c>
    </row>
    <row r="41" spans="1:10" x14ac:dyDescent="0.35">
      <c r="A41" s="6" t="s">
        <v>47</v>
      </c>
      <c r="D41" s="6">
        <v>1.5E-6</v>
      </c>
      <c r="E41" s="6" t="s">
        <v>8</v>
      </c>
      <c r="F41" s="6" t="s">
        <v>33</v>
      </c>
      <c r="G41" s="6" t="s">
        <v>34</v>
      </c>
      <c r="H41" s="6" t="s">
        <v>60</v>
      </c>
      <c r="J41" s="6" t="s">
        <v>45</v>
      </c>
    </row>
    <row r="42" spans="1:10" x14ac:dyDescent="0.35">
      <c r="A42" s="6" t="s">
        <v>48</v>
      </c>
      <c r="D42" s="6">
        <v>4.6E-6</v>
      </c>
      <c r="E42" s="6" t="s">
        <v>8</v>
      </c>
      <c r="F42" s="6" t="s">
        <v>33</v>
      </c>
      <c r="G42" s="6" t="s">
        <v>34</v>
      </c>
      <c r="H42" s="6" t="s">
        <v>60</v>
      </c>
      <c r="J42" s="6" t="s">
        <v>45</v>
      </c>
    </row>
    <row r="43" spans="1:10" x14ac:dyDescent="0.35">
      <c r="A43" s="6" t="s">
        <v>49</v>
      </c>
      <c r="D43" s="6">
        <v>1.5E-6</v>
      </c>
      <c r="E43" s="6" t="s">
        <v>8</v>
      </c>
      <c r="F43" s="6" t="s">
        <v>33</v>
      </c>
      <c r="G43" s="6" t="s">
        <v>34</v>
      </c>
      <c r="H43" s="6" t="s">
        <v>60</v>
      </c>
      <c r="J43" s="6" t="s">
        <v>45</v>
      </c>
    </row>
    <row r="44" spans="1:10" x14ac:dyDescent="0.35">
      <c r="A44" s="6" t="s">
        <v>50</v>
      </c>
      <c r="D44" s="6">
        <v>1.5E-6</v>
      </c>
      <c r="E44" s="6" t="s">
        <v>8</v>
      </c>
      <c r="F44" s="6" t="s">
        <v>33</v>
      </c>
      <c r="G44" s="6" t="s">
        <v>34</v>
      </c>
      <c r="H44" s="6" t="s">
        <v>60</v>
      </c>
      <c r="J44" s="6" t="s">
        <v>45</v>
      </c>
    </row>
    <row r="45" spans="1:10" x14ac:dyDescent="0.35">
      <c r="A45" s="6" t="s">
        <v>51</v>
      </c>
      <c r="D45" s="6">
        <v>4.6E-6</v>
      </c>
      <c r="E45" s="6" t="s">
        <v>8</v>
      </c>
      <c r="F45" s="6" t="s">
        <v>33</v>
      </c>
      <c r="G45" s="6" t="s">
        <v>34</v>
      </c>
      <c r="H45" s="6" t="s">
        <v>60</v>
      </c>
      <c r="J45" s="6" t="s">
        <v>45</v>
      </c>
    </row>
    <row r="46" spans="1:10" x14ac:dyDescent="0.35">
      <c r="A46" s="6" t="s">
        <v>52</v>
      </c>
      <c r="D46" s="6">
        <v>2.4999999999999999E-8</v>
      </c>
      <c r="E46" s="6" t="s">
        <v>8</v>
      </c>
      <c r="F46" s="6" t="s">
        <v>33</v>
      </c>
      <c r="G46" s="6" t="s">
        <v>34</v>
      </c>
      <c r="H46" s="6" t="s">
        <v>60</v>
      </c>
      <c r="J46" s="6" t="s">
        <v>45</v>
      </c>
    </row>
    <row r="47" spans="1:10" x14ac:dyDescent="0.35">
      <c r="A47" s="6" t="s">
        <v>53</v>
      </c>
      <c r="D47" s="6">
        <v>1.5E-6</v>
      </c>
      <c r="E47" s="6" t="s">
        <v>8</v>
      </c>
      <c r="F47" s="6" t="s">
        <v>33</v>
      </c>
      <c r="G47" s="6" t="s">
        <v>34</v>
      </c>
      <c r="H47" s="6" t="s">
        <v>60</v>
      </c>
      <c r="J47" s="6" t="s">
        <v>45</v>
      </c>
    </row>
    <row r="48" spans="1:10" x14ac:dyDescent="0.35">
      <c r="A48" s="6" t="s">
        <v>54</v>
      </c>
      <c r="D48" s="6">
        <v>4.6E-6</v>
      </c>
      <c r="E48" s="6" t="s">
        <v>8</v>
      </c>
      <c r="F48" s="6" t="s">
        <v>33</v>
      </c>
      <c r="G48" s="6" t="s">
        <v>34</v>
      </c>
      <c r="H48" s="6" t="s">
        <v>60</v>
      </c>
      <c r="J48" s="6" t="s">
        <v>45</v>
      </c>
    </row>
    <row r="49" spans="1:14" x14ac:dyDescent="0.35">
      <c r="A49" s="6" t="s">
        <v>55</v>
      </c>
      <c r="D49" s="6">
        <v>8.0000000000000007E-7</v>
      </c>
      <c r="E49" s="6" t="s">
        <v>8</v>
      </c>
      <c r="F49" s="6" t="s">
        <v>33</v>
      </c>
      <c r="G49" s="6" t="s">
        <v>34</v>
      </c>
      <c r="H49" s="6" t="s">
        <v>60</v>
      </c>
      <c r="J49" s="6" t="s">
        <v>45</v>
      </c>
    </row>
    <row r="50" spans="1:14" x14ac:dyDescent="0.35">
      <c r="A50" s="6" t="s">
        <v>56</v>
      </c>
      <c r="D50" s="6">
        <v>1.5E-6</v>
      </c>
      <c r="E50" s="6" t="s">
        <v>8</v>
      </c>
      <c r="F50" s="6" t="s">
        <v>33</v>
      </c>
      <c r="G50" s="6" t="s">
        <v>34</v>
      </c>
      <c r="H50" s="6" t="s">
        <v>60</v>
      </c>
      <c r="J50" s="6" t="s">
        <v>45</v>
      </c>
    </row>
    <row r="51" spans="1:14" x14ac:dyDescent="0.35">
      <c r="A51" s="6" t="s">
        <v>57</v>
      </c>
      <c r="D51" s="6">
        <v>7.4000000000000003E-6</v>
      </c>
      <c r="E51" s="6" t="s">
        <v>8</v>
      </c>
      <c r="F51" s="6" t="s">
        <v>33</v>
      </c>
      <c r="G51" s="6" t="s">
        <v>34</v>
      </c>
      <c r="H51" s="6" t="s">
        <v>60</v>
      </c>
      <c r="J51" s="6" t="s">
        <v>45</v>
      </c>
    </row>
    <row r="52" spans="1:14" x14ac:dyDescent="0.35">
      <c r="A52" s="6" t="s">
        <v>58</v>
      </c>
      <c r="D52" s="6">
        <v>1.5E-6</v>
      </c>
      <c r="E52" s="6" t="s">
        <v>8</v>
      </c>
      <c r="F52" s="6" t="s">
        <v>33</v>
      </c>
      <c r="G52" s="6" t="s">
        <v>34</v>
      </c>
      <c r="H52" s="6" t="s">
        <v>60</v>
      </c>
      <c r="J52" s="6" t="s">
        <v>45</v>
      </c>
    </row>
    <row r="53" spans="1:14" x14ac:dyDescent="0.35">
      <c r="A53" s="6" t="s">
        <v>59</v>
      </c>
      <c r="D53" s="6">
        <v>4.6E-6</v>
      </c>
      <c r="E53" s="6" t="s">
        <v>8</v>
      </c>
      <c r="F53" s="6" t="s">
        <v>33</v>
      </c>
      <c r="G53" s="6" t="s">
        <v>34</v>
      </c>
      <c r="H53" s="6" t="s">
        <v>60</v>
      </c>
      <c r="J53" s="6" t="s">
        <v>45</v>
      </c>
    </row>
    <row r="54" spans="1:14" s="13" customFormat="1" x14ac:dyDescent="0.35"/>
    <row r="55" spans="1:14" x14ac:dyDescent="0.35">
      <c r="A55" s="7" t="s">
        <v>0</v>
      </c>
      <c r="B55" s="7" t="s">
        <v>61</v>
      </c>
    </row>
    <row r="56" spans="1:14" x14ac:dyDescent="0.35">
      <c r="A56" s="8" t="s">
        <v>2</v>
      </c>
      <c r="B56" s="6" t="s">
        <v>38</v>
      </c>
    </row>
    <row r="57" spans="1:14" x14ac:dyDescent="0.35">
      <c r="A57" s="8" t="s">
        <v>4</v>
      </c>
      <c r="B57" s="6" t="s">
        <v>5</v>
      </c>
    </row>
    <row r="58" spans="1:14" x14ac:dyDescent="0.35">
      <c r="A58" s="8" t="s">
        <v>6</v>
      </c>
      <c r="B58" s="6">
        <v>1</v>
      </c>
    </row>
    <row r="59" spans="1:14" x14ac:dyDescent="0.35">
      <c r="A59" s="8" t="s">
        <v>7</v>
      </c>
      <c r="B59" s="6" t="s">
        <v>8</v>
      </c>
    </row>
    <row r="60" spans="1:14" x14ac:dyDescent="0.35">
      <c r="A60" s="8" t="s">
        <v>9</v>
      </c>
      <c r="B60" s="6" t="s">
        <v>62</v>
      </c>
    </row>
    <row r="61" spans="1:14" x14ac:dyDescent="0.35">
      <c r="A61" s="8" t="s">
        <v>10</v>
      </c>
    </row>
    <row r="62" spans="1:14" x14ac:dyDescent="0.35">
      <c r="A62" s="7" t="s">
        <v>11</v>
      </c>
      <c r="B62" s="7" t="s">
        <v>2</v>
      </c>
      <c r="C62" s="7" t="s">
        <v>4</v>
      </c>
      <c r="D62" s="7" t="s">
        <v>6</v>
      </c>
      <c r="E62" s="7" t="s">
        <v>7</v>
      </c>
      <c r="F62" s="7" t="s">
        <v>12</v>
      </c>
      <c r="G62" s="7" t="s">
        <v>13</v>
      </c>
      <c r="H62" s="7" t="s">
        <v>14</v>
      </c>
      <c r="I62" s="7" t="s">
        <v>15</v>
      </c>
      <c r="J62" s="7" t="s">
        <v>16</v>
      </c>
      <c r="K62" s="7" t="s">
        <v>17</v>
      </c>
      <c r="L62" s="7" t="s">
        <v>18</v>
      </c>
      <c r="M62" s="7" t="s">
        <v>19</v>
      </c>
      <c r="N62" s="7" t="s">
        <v>20</v>
      </c>
    </row>
    <row r="63" spans="1:14" x14ac:dyDescent="0.35">
      <c r="A63" s="6" t="str">
        <f>B55</f>
        <v>Se recovery from Cu production in the US through Pyrometallurgy</v>
      </c>
      <c r="B63" s="6" t="str">
        <f>B56</f>
        <v>Refined Se</v>
      </c>
      <c r="C63" s="6" t="str">
        <f>B57</f>
        <v>US</v>
      </c>
      <c r="D63" s="6">
        <v>1</v>
      </c>
      <c r="E63" s="6" t="s">
        <v>8</v>
      </c>
      <c r="F63" s="10" t="str">
        <f>F22</f>
        <v>Selenium</v>
      </c>
      <c r="G63" s="6" t="s">
        <v>21</v>
      </c>
    </row>
    <row r="64" spans="1:14" x14ac:dyDescent="0.35">
      <c r="A64" s="6" t="str">
        <f t="shared" ref="A64:F64" si="0">A22</f>
        <v>[P+R] Refined Selenium (Se) production - Pyrometallurgy</v>
      </c>
      <c r="B64" s="6" t="str">
        <f t="shared" si="0"/>
        <v>Refined Se</v>
      </c>
      <c r="C64" s="6" t="str">
        <f t="shared" si="0"/>
        <v>US</v>
      </c>
      <c r="D64" s="6">
        <f t="shared" si="0"/>
        <v>1</v>
      </c>
      <c r="E64" s="6" t="str">
        <f t="shared" si="0"/>
        <v>kilogram</v>
      </c>
      <c r="F64" s="10" t="str">
        <f t="shared" si="0"/>
        <v>Selenium</v>
      </c>
      <c r="G64" s="6" t="s">
        <v>26</v>
      </c>
    </row>
    <row r="65" spans="1:7" x14ac:dyDescent="0.35">
      <c r="A65" s="6" t="str">
        <f t="shared" ref="A65:F65" si="1">A9</f>
        <v>[M+C] Copper (Cu) ore mining and concentration (United States)</v>
      </c>
      <c r="B65" s="6" t="str">
        <f t="shared" si="1"/>
        <v>Cu concentrate</v>
      </c>
      <c r="C65" s="6" t="str">
        <f t="shared" si="1"/>
        <v>US</v>
      </c>
      <c r="D65" s="6">
        <f t="shared" si="1"/>
        <v>1</v>
      </c>
      <c r="E65" s="6" t="str">
        <f t="shared" si="1"/>
        <v>kilogram</v>
      </c>
      <c r="F65" s="10" t="str">
        <f t="shared" si="1"/>
        <v>Selenium</v>
      </c>
      <c r="G65" s="6" t="s">
        <v>26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243C0F-1367-4928-B426-25AB52CADBC8}">
  <sheetPr>
    <tabColor theme="8" tint="0.39997558519241921"/>
  </sheetPr>
  <dimension ref="A1:N144"/>
  <sheetViews>
    <sheetView tabSelected="1" topLeftCell="A84" workbookViewId="0">
      <selection activeCell="D103" sqref="D103"/>
    </sheetView>
  </sheetViews>
  <sheetFormatPr baseColWidth="10" defaultColWidth="8.54296875" defaultRowHeight="14.5" x14ac:dyDescent="0.35"/>
  <cols>
    <col min="1" max="2" width="71.81640625" style="6" bestFit="1" customWidth="1"/>
    <col min="3" max="3" width="25.81640625" style="6" bestFit="1" customWidth="1"/>
    <col min="4" max="4" width="12.7265625" style="6" bestFit="1" customWidth="1"/>
    <col min="5" max="5" width="17.54296875" style="6" bestFit="1" customWidth="1"/>
    <col min="6" max="6" width="19.7265625" style="6" bestFit="1" customWidth="1"/>
    <col min="7" max="7" width="13.26953125" style="6" bestFit="1" customWidth="1"/>
    <col min="8" max="8" width="25.26953125" style="6" bestFit="1" customWidth="1"/>
    <col min="9" max="9" width="15.54296875" style="6" bestFit="1" customWidth="1"/>
    <col min="10" max="10" width="9.7265625" style="6" bestFit="1" customWidth="1"/>
    <col min="11" max="11" width="3.54296875" style="6" bestFit="1" customWidth="1"/>
    <col min="12" max="12" width="5.453125" style="6" bestFit="1" customWidth="1"/>
    <col min="13" max="13" width="9.54296875" style="6" bestFit="1" customWidth="1"/>
    <col min="14" max="14" width="9.81640625" style="6" bestFit="1" customWidth="1"/>
    <col min="15" max="16384" width="8.54296875" style="6"/>
  </cols>
  <sheetData>
    <row r="1" spans="1:14" x14ac:dyDescent="0.35">
      <c r="A1" s="14" t="s">
        <v>0</v>
      </c>
      <c r="B1" s="14" t="s">
        <v>70</v>
      </c>
    </row>
    <row r="2" spans="1:14" x14ac:dyDescent="0.35">
      <c r="A2" s="8" t="s">
        <v>2</v>
      </c>
      <c r="B2" s="6" t="s">
        <v>3</v>
      </c>
    </row>
    <row r="3" spans="1:14" x14ac:dyDescent="0.35">
      <c r="A3" s="8" t="s">
        <v>4</v>
      </c>
      <c r="B3" s="6" t="s">
        <v>65</v>
      </c>
    </row>
    <row r="4" spans="1:14" x14ac:dyDescent="0.35">
      <c r="A4" s="8" t="s">
        <v>6</v>
      </c>
      <c r="B4" s="6">
        <v>1</v>
      </c>
    </row>
    <row r="5" spans="1:14" x14ac:dyDescent="0.35">
      <c r="A5" s="8" t="s">
        <v>7</v>
      </c>
      <c r="B5" s="6" t="s">
        <v>8</v>
      </c>
    </row>
    <row r="6" spans="1:14" x14ac:dyDescent="0.35">
      <c r="A6" s="8" t="s">
        <v>9</v>
      </c>
      <c r="B6" s="17" t="s">
        <v>62</v>
      </c>
    </row>
    <row r="7" spans="1:14" x14ac:dyDescent="0.35">
      <c r="A7" s="8" t="s">
        <v>10</v>
      </c>
    </row>
    <row r="8" spans="1:14" x14ac:dyDescent="0.35">
      <c r="A8" s="14" t="s">
        <v>11</v>
      </c>
      <c r="B8" s="14" t="s">
        <v>2</v>
      </c>
      <c r="C8" s="14" t="s">
        <v>4</v>
      </c>
      <c r="D8" s="14" t="s">
        <v>6</v>
      </c>
      <c r="E8" s="14" t="s">
        <v>7</v>
      </c>
      <c r="F8" s="14" t="s">
        <v>12</v>
      </c>
      <c r="G8" s="14" t="s">
        <v>13</v>
      </c>
      <c r="H8" s="14" t="s">
        <v>14</v>
      </c>
      <c r="I8" s="14" t="s">
        <v>15</v>
      </c>
      <c r="J8" s="14" t="s">
        <v>16</v>
      </c>
      <c r="K8" s="14" t="s">
        <v>17</v>
      </c>
      <c r="L8" s="14" t="s">
        <v>18</v>
      </c>
      <c r="M8" s="14" t="s">
        <v>19</v>
      </c>
      <c r="N8" s="14" t="s">
        <v>20</v>
      </c>
    </row>
    <row r="9" spans="1:14" x14ac:dyDescent="0.35">
      <c r="A9" s="6" t="str">
        <f>B1</f>
        <v>[M+C] Copper (Cu) ore mining and concentration (Sweden)</v>
      </c>
      <c r="B9" s="6" t="str">
        <f>B2</f>
        <v>Cu concentrate</v>
      </c>
      <c r="C9" s="6" t="s">
        <v>65</v>
      </c>
      <c r="D9" s="6">
        <v>1</v>
      </c>
      <c r="E9" s="6" t="s">
        <v>8</v>
      </c>
      <c r="F9" s="10" t="str">
        <f>Se_Market_GLO!B1</f>
        <v>Selenium</v>
      </c>
      <c r="G9" s="6" t="s">
        <v>21</v>
      </c>
    </row>
    <row r="10" spans="1:14" x14ac:dyDescent="0.35">
      <c r="A10" s="6" t="s">
        <v>71</v>
      </c>
      <c r="B10" s="6" t="s">
        <v>72</v>
      </c>
      <c r="C10" s="6" t="s">
        <v>30</v>
      </c>
      <c r="D10" s="6">
        <v>4.0289823311875042</v>
      </c>
      <c r="E10" s="6" t="s">
        <v>31</v>
      </c>
      <c r="F10" s="6" t="s">
        <v>25</v>
      </c>
      <c r="G10" s="6" t="s">
        <v>26</v>
      </c>
      <c r="J10" s="6" t="s">
        <v>73</v>
      </c>
    </row>
    <row r="11" spans="1:14" x14ac:dyDescent="0.35">
      <c r="A11" s="6" t="s">
        <v>74</v>
      </c>
      <c r="B11" s="6" t="s">
        <v>75</v>
      </c>
      <c r="C11" s="6" t="s">
        <v>65</v>
      </c>
      <c r="D11" s="6">
        <v>0.2417770559805896</v>
      </c>
      <c r="E11" s="6" t="s">
        <v>24</v>
      </c>
      <c r="F11" s="6" t="s">
        <v>25</v>
      </c>
      <c r="G11" s="6" t="s">
        <v>26</v>
      </c>
      <c r="J11" s="6" t="s">
        <v>73</v>
      </c>
    </row>
    <row r="12" spans="1:14" x14ac:dyDescent="0.35">
      <c r="A12" s="6" t="s">
        <v>76</v>
      </c>
      <c r="B12" s="6" t="s">
        <v>77</v>
      </c>
      <c r="C12" s="6" t="s">
        <v>42</v>
      </c>
      <c r="D12" s="6">
        <v>2.5828164439313569E-2</v>
      </c>
      <c r="E12" s="6" t="s">
        <v>31</v>
      </c>
      <c r="F12" s="6" t="s">
        <v>25</v>
      </c>
      <c r="G12" s="6" t="s">
        <v>26</v>
      </c>
      <c r="J12" s="6" t="s">
        <v>73</v>
      </c>
    </row>
    <row r="13" spans="1:14" x14ac:dyDescent="0.35">
      <c r="A13" s="6" t="s">
        <v>78</v>
      </c>
      <c r="B13" s="6" t="s">
        <v>79</v>
      </c>
      <c r="C13" s="6" t="s">
        <v>30</v>
      </c>
      <c r="D13" s="6">
        <v>8.2326295810749892E-2</v>
      </c>
      <c r="E13" s="6" t="s">
        <v>8</v>
      </c>
      <c r="F13" s="6" t="s">
        <v>25</v>
      </c>
      <c r="G13" s="6" t="s">
        <v>26</v>
      </c>
      <c r="J13" s="6" t="s">
        <v>73</v>
      </c>
    </row>
    <row r="14" spans="1:14" x14ac:dyDescent="0.35">
      <c r="A14" s="6" t="s">
        <v>80</v>
      </c>
      <c r="B14" s="6" t="s">
        <v>81</v>
      </c>
      <c r="C14" s="6" t="s">
        <v>82</v>
      </c>
      <c r="D14" s="6">
        <v>2.582490330743992E-2</v>
      </c>
      <c r="E14" s="6" t="s">
        <v>8</v>
      </c>
      <c r="F14" s="6" t="s">
        <v>25</v>
      </c>
      <c r="G14" s="6" t="s">
        <v>26</v>
      </c>
      <c r="J14" s="6" t="s">
        <v>73</v>
      </c>
    </row>
    <row r="15" spans="1:14" x14ac:dyDescent="0.35">
      <c r="A15" s="6" t="s">
        <v>83</v>
      </c>
      <c r="B15" s="6" t="s">
        <v>84</v>
      </c>
      <c r="C15" s="6" t="s">
        <v>30</v>
      </c>
      <c r="D15" s="6">
        <v>4.5916736781001924E-3</v>
      </c>
      <c r="E15" s="6" t="s">
        <v>8</v>
      </c>
      <c r="F15" s="6" t="s">
        <v>25</v>
      </c>
      <c r="G15" s="6" t="s">
        <v>26</v>
      </c>
      <c r="J15" s="6" t="s">
        <v>73</v>
      </c>
    </row>
    <row r="16" spans="1:14" x14ac:dyDescent="0.35">
      <c r="A16" s="6" t="s">
        <v>85</v>
      </c>
      <c r="B16" s="6" t="s">
        <v>86</v>
      </c>
      <c r="C16" s="6" t="s">
        <v>30</v>
      </c>
      <c r="D16" s="6">
        <v>1.9155888625824229E-4</v>
      </c>
      <c r="E16" s="6" t="s">
        <v>8</v>
      </c>
      <c r="F16" s="6" t="s">
        <v>25</v>
      </c>
      <c r="G16" s="6" t="s">
        <v>26</v>
      </c>
      <c r="J16" s="6" t="s">
        <v>73</v>
      </c>
    </row>
    <row r="17" spans="1:10" x14ac:dyDescent="0.35">
      <c r="A17" s="6" t="s">
        <v>74</v>
      </c>
      <c r="B17" s="6" t="s">
        <v>75</v>
      </c>
      <c r="C17" s="6" t="s">
        <v>65</v>
      </c>
      <c r="D17" s="6">
        <v>2.2461111002406691</v>
      </c>
      <c r="E17" s="6" t="s">
        <v>24</v>
      </c>
      <c r="F17" s="6" t="s">
        <v>25</v>
      </c>
      <c r="G17" s="6" t="s">
        <v>26</v>
      </c>
      <c r="J17" s="6" t="s">
        <v>73</v>
      </c>
    </row>
    <row r="18" spans="1:10" x14ac:dyDescent="0.35">
      <c r="A18" s="6" t="s">
        <v>76</v>
      </c>
      <c r="B18" s="6" t="s">
        <v>77</v>
      </c>
      <c r="C18" s="6" t="s">
        <v>42</v>
      </c>
      <c r="D18" s="6">
        <v>2.8657522452892908E-2</v>
      </c>
      <c r="E18" s="6" t="s">
        <v>31</v>
      </c>
      <c r="F18" s="6" t="s">
        <v>25</v>
      </c>
      <c r="G18" s="6" t="s">
        <v>26</v>
      </c>
      <c r="J18" s="6" t="s">
        <v>73</v>
      </c>
    </row>
    <row r="19" spans="1:10" x14ac:dyDescent="0.35">
      <c r="A19" s="6" t="s">
        <v>87</v>
      </c>
      <c r="B19" s="6" t="s">
        <v>88</v>
      </c>
      <c r="C19" s="6" t="s">
        <v>30</v>
      </c>
      <c r="D19" s="6">
        <v>2.282792311555492E-5</v>
      </c>
      <c r="E19" s="6" t="s">
        <v>8</v>
      </c>
      <c r="F19" s="6" t="s">
        <v>25</v>
      </c>
      <c r="G19" s="6" t="s">
        <v>26</v>
      </c>
      <c r="J19" s="6" t="s">
        <v>73</v>
      </c>
    </row>
    <row r="20" spans="1:10" x14ac:dyDescent="0.35">
      <c r="A20" s="6" t="s">
        <v>89</v>
      </c>
      <c r="B20" s="6" t="s">
        <v>90</v>
      </c>
      <c r="C20" s="6" t="s">
        <v>30</v>
      </c>
      <c r="D20" s="6">
        <v>1.8001447942551879E-3</v>
      </c>
      <c r="E20" s="6" t="s">
        <v>8</v>
      </c>
      <c r="F20" s="6" t="s">
        <v>25</v>
      </c>
      <c r="G20" s="6" t="s">
        <v>26</v>
      </c>
      <c r="J20" s="6" t="s">
        <v>73</v>
      </c>
    </row>
    <row r="21" spans="1:10" x14ac:dyDescent="0.35">
      <c r="A21" s="6" t="s">
        <v>91</v>
      </c>
      <c r="B21" s="6" t="s">
        <v>92</v>
      </c>
      <c r="C21" s="6" t="s">
        <v>82</v>
      </c>
      <c r="D21" s="6">
        <v>2.5436828614475492E-6</v>
      </c>
      <c r="E21" s="6" t="s">
        <v>8</v>
      </c>
      <c r="F21" s="6" t="s">
        <v>25</v>
      </c>
      <c r="G21" s="6" t="s">
        <v>26</v>
      </c>
      <c r="J21" s="6" t="s">
        <v>73</v>
      </c>
    </row>
    <row r="22" spans="1:10" x14ac:dyDescent="0.35">
      <c r="A22" s="6" t="s">
        <v>93</v>
      </c>
      <c r="B22" s="6" t="s">
        <v>94</v>
      </c>
      <c r="C22" s="6" t="s">
        <v>82</v>
      </c>
      <c r="D22" s="6">
        <v>0.40999999999999959</v>
      </c>
      <c r="E22" s="6" t="s">
        <v>95</v>
      </c>
      <c r="F22" s="6" t="s">
        <v>25</v>
      </c>
      <c r="G22" s="6" t="s">
        <v>26</v>
      </c>
      <c r="J22" s="6" t="s">
        <v>73</v>
      </c>
    </row>
    <row r="23" spans="1:10" x14ac:dyDescent="0.35">
      <c r="A23" s="6" t="s">
        <v>96</v>
      </c>
      <c r="B23" s="6" t="s">
        <v>97</v>
      </c>
      <c r="C23" s="6" t="s">
        <v>30</v>
      </c>
      <c r="D23" s="6">
        <v>-89.257179381819711</v>
      </c>
      <c r="E23" s="6" t="s">
        <v>8</v>
      </c>
      <c r="F23" s="6" t="s">
        <v>25</v>
      </c>
      <c r="G23" s="6" t="s">
        <v>26</v>
      </c>
      <c r="J23" s="6" t="s">
        <v>73</v>
      </c>
    </row>
    <row r="24" spans="1:10" x14ac:dyDescent="0.35">
      <c r="A24" s="6" t="s">
        <v>98</v>
      </c>
      <c r="B24" s="6" t="s">
        <v>99</v>
      </c>
      <c r="C24" s="6" t="s">
        <v>42</v>
      </c>
      <c r="D24" s="6">
        <v>-1.7355743831569039E-3</v>
      </c>
      <c r="E24" s="6" t="s">
        <v>8</v>
      </c>
      <c r="F24" s="6" t="s">
        <v>25</v>
      </c>
      <c r="G24" s="6" t="s">
        <v>26</v>
      </c>
      <c r="J24" s="6" t="s">
        <v>73</v>
      </c>
    </row>
    <row r="25" spans="1:10" x14ac:dyDescent="0.35">
      <c r="A25" s="6" t="s">
        <v>100</v>
      </c>
      <c r="B25" s="6" t="s">
        <v>101</v>
      </c>
      <c r="C25" s="6" t="s">
        <v>82</v>
      </c>
      <c r="D25" s="6">
        <v>-1.754488948024079E-3</v>
      </c>
      <c r="E25" s="6" t="s">
        <v>8</v>
      </c>
      <c r="F25" s="6" t="s">
        <v>25</v>
      </c>
      <c r="G25" s="6" t="s">
        <v>26</v>
      </c>
      <c r="J25" s="6" t="s">
        <v>73</v>
      </c>
    </row>
    <row r="26" spans="1:10" x14ac:dyDescent="0.35">
      <c r="A26" s="6" t="s">
        <v>102</v>
      </c>
      <c r="B26" s="6" t="s">
        <v>103</v>
      </c>
      <c r="C26" s="6" t="s">
        <v>42</v>
      </c>
      <c r="D26" s="6">
        <v>-6.3298569667560143E-5</v>
      </c>
      <c r="E26" s="6" t="s">
        <v>104</v>
      </c>
      <c r="F26" s="6" t="s">
        <v>25</v>
      </c>
      <c r="G26" s="6" t="s">
        <v>26</v>
      </c>
      <c r="J26" s="6" t="s">
        <v>73</v>
      </c>
    </row>
    <row r="27" spans="1:10" x14ac:dyDescent="0.35">
      <c r="A27" s="6" t="s">
        <v>105</v>
      </c>
      <c r="B27" s="6" t="s">
        <v>106</v>
      </c>
      <c r="C27" s="6" t="s">
        <v>82</v>
      </c>
      <c r="D27" s="6">
        <v>-1.4022867056698031E-4</v>
      </c>
      <c r="E27" s="6" t="s">
        <v>8</v>
      </c>
      <c r="F27" s="6" t="s">
        <v>25</v>
      </c>
      <c r="G27" s="6" t="s">
        <v>26</v>
      </c>
      <c r="J27" s="6" t="s">
        <v>73</v>
      </c>
    </row>
    <row r="28" spans="1:10" x14ac:dyDescent="0.35">
      <c r="A28" s="6" t="s">
        <v>105</v>
      </c>
      <c r="B28" s="6" t="s">
        <v>106</v>
      </c>
      <c r="C28" s="6" t="s">
        <v>82</v>
      </c>
      <c r="D28" s="6">
        <v>-1.0370399358209239E-4</v>
      </c>
      <c r="E28" s="6" t="s">
        <v>8</v>
      </c>
      <c r="F28" s="6" t="s">
        <v>25</v>
      </c>
      <c r="G28" s="6" t="s">
        <v>26</v>
      </c>
      <c r="J28" s="6" t="s">
        <v>73</v>
      </c>
    </row>
    <row r="29" spans="1:10" x14ac:dyDescent="0.35">
      <c r="A29" s="6" t="s">
        <v>105</v>
      </c>
      <c r="B29" s="6" t="s">
        <v>106</v>
      </c>
      <c r="C29" s="6" t="s">
        <v>82</v>
      </c>
      <c r="D29" s="6">
        <v>-1.177268606387904E-4</v>
      </c>
      <c r="E29" s="6" t="s">
        <v>8</v>
      </c>
      <c r="F29" s="6" t="s">
        <v>25</v>
      </c>
      <c r="G29" s="6" t="s">
        <v>26</v>
      </c>
      <c r="J29" s="6" t="s">
        <v>73</v>
      </c>
    </row>
    <row r="30" spans="1:10" x14ac:dyDescent="0.35">
      <c r="A30" s="6" t="s">
        <v>105</v>
      </c>
      <c r="B30" s="6" t="s">
        <v>106</v>
      </c>
      <c r="C30" s="6" t="s">
        <v>82</v>
      </c>
      <c r="D30" s="6">
        <v>-7.1744901220315452E-5</v>
      </c>
      <c r="E30" s="6" t="s">
        <v>8</v>
      </c>
      <c r="F30" s="6" t="s">
        <v>25</v>
      </c>
      <c r="G30" s="6" t="s">
        <v>26</v>
      </c>
      <c r="J30" s="6" t="s">
        <v>73</v>
      </c>
    </row>
    <row r="31" spans="1:10" x14ac:dyDescent="0.35">
      <c r="A31" s="6" t="s">
        <v>105</v>
      </c>
      <c r="B31" s="6" t="s">
        <v>106</v>
      </c>
      <c r="C31" s="6" t="s">
        <v>82</v>
      </c>
      <c r="D31" s="6">
        <v>-3.913358248380844E-5</v>
      </c>
      <c r="E31" s="6" t="s">
        <v>8</v>
      </c>
      <c r="F31" s="6" t="s">
        <v>25</v>
      </c>
      <c r="G31" s="6" t="s">
        <v>26</v>
      </c>
      <c r="J31" s="6" t="s">
        <v>73</v>
      </c>
    </row>
    <row r="32" spans="1:10" x14ac:dyDescent="0.35">
      <c r="A32" s="6" t="s">
        <v>105</v>
      </c>
      <c r="B32" s="6" t="s">
        <v>106</v>
      </c>
      <c r="C32" s="6" t="s">
        <v>82</v>
      </c>
      <c r="D32" s="6">
        <v>-1.819711585497093E-5</v>
      </c>
      <c r="E32" s="6" t="s">
        <v>8</v>
      </c>
      <c r="F32" s="6" t="s">
        <v>25</v>
      </c>
      <c r="G32" s="6" t="s">
        <v>26</v>
      </c>
      <c r="J32" s="6" t="s">
        <v>73</v>
      </c>
    </row>
    <row r="33" spans="1:10" x14ac:dyDescent="0.35">
      <c r="A33" s="6" t="s">
        <v>107</v>
      </c>
      <c r="D33" s="6">
        <v>8.1528296841267583E-2</v>
      </c>
      <c r="E33" s="6" t="s">
        <v>108</v>
      </c>
      <c r="F33" s="6" t="s">
        <v>33</v>
      </c>
      <c r="G33" s="6" t="s">
        <v>34</v>
      </c>
      <c r="H33" s="6" t="s">
        <v>109</v>
      </c>
      <c r="J33" s="6" t="s">
        <v>73</v>
      </c>
    </row>
    <row r="34" spans="1:10" x14ac:dyDescent="0.35">
      <c r="A34" s="6" t="s">
        <v>63</v>
      </c>
      <c r="D34" s="6">
        <v>0.21319388733441569</v>
      </c>
      <c r="E34" s="6" t="s">
        <v>8</v>
      </c>
      <c r="F34" s="6" t="s">
        <v>33</v>
      </c>
      <c r="G34" s="6" t="s">
        <v>34</v>
      </c>
      <c r="H34" s="6" t="s">
        <v>110</v>
      </c>
      <c r="J34" s="6" t="s">
        <v>73</v>
      </c>
    </row>
    <row r="35" spans="1:10" x14ac:dyDescent="0.35">
      <c r="A35" s="6" t="s">
        <v>111</v>
      </c>
      <c r="D35" s="6">
        <v>1.9566791241904229E-3</v>
      </c>
      <c r="E35" s="6" t="s">
        <v>104</v>
      </c>
      <c r="F35" s="6" t="s">
        <v>33</v>
      </c>
      <c r="G35" s="6" t="s">
        <v>34</v>
      </c>
      <c r="H35" s="6" t="s">
        <v>112</v>
      </c>
      <c r="J35" s="6" t="s">
        <v>73</v>
      </c>
    </row>
    <row r="36" spans="1:10" x14ac:dyDescent="0.35">
      <c r="A36" s="6" t="s">
        <v>113</v>
      </c>
      <c r="D36" s="6">
        <v>3.2611318736507132E-4</v>
      </c>
      <c r="E36" s="6" t="s">
        <v>104</v>
      </c>
      <c r="F36" s="6" t="s">
        <v>33</v>
      </c>
      <c r="G36" s="6" t="s">
        <v>34</v>
      </c>
      <c r="H36" s="6" t="s">
        <v>112</v>
      </c>
      <c r="J36" s="6" t="s">
        <v>73</v>
      </c>
    </row>
    <row r="37" spans="1:10" x14ac:dyDescent="0.35">
      <c r="A37" s="6" t="s">
        <v>114</v>
      </c>
      <c r="D37" s="6">
        <v>1.1692462219787231E-4</v>
      </c>
      <c r="E37" s="6" t="s">
        <v>8</v>
      </c>
      <c r="F37" s="6" t="s">
        <v>33</v>
      </c>
      <c r="G37" s="6" t="s">
        <v>34</v>
      </c>
      <c r="H37" s="6" t="s">
        <v>35</v>
      </c>
      <c r="J37" s="6" t="s">
        <v>73</v>
      </c>
    </row>
    <row r="38" spans="1:10" x14ac:dyDescent="0.35">
      <c r="A38" s="6" t="s">
        <v>115</v>
      </c>
      <c r="D38" s="6">
        <v>1.2392301119872669E-3</v>
      </c>
      <c r="E38" s="6" t="s">
        <v>8</v>
      </c>
      <c r="F38" s="6" t="s">
        <v>33</v>
      </c>
      <c r="G38" s="6" t="s">
        <v>34</v>
      </c>
      <c r="H38" s="6" t="s">
        <v>35</v>
      </c>
      <c r="J38" s="6" t="s">
        <v>73</v>
      </c>
    </row>
    <row r="39" spans="1:10" x14ac:dyDescent="0.35">
      <c r="A39" s="6" t="s">
        <v>51</v>
      </c>
      <c r="D39" s="6">
        <v>2.8404458619497609E-7</v>
      </c>
      <c r="E39" s="6" t="s">
        <v>8</v>
      </c>
      <c r="F39" s="6" t="s">
        <v>33</v>
      </c>
      <c r="G39" s="6" t="s">
        <v>34</v>
      </c>
      <c r="H39" s="6" t="s">
        <v>60</v>
      </c>
      <c r="J39" s="6" t="s">
        <v>73</v>
      </c>
    </row>
    <row r="40" spans="1:10" x14ac:dyDescent="0.35">
      <c r="A40" s="6" t="s">
        <v>116</v>
      </c>
      <c r="D40" s="6">
        <v>7.5593036831223307E-6</v>
      </c>
      <c r="E40" s="6" t="s">
        <v>8</v>
      </c>
      <c r="F40" s="6" t="s">
        <v>33</v>
      </c>
      <c r="G40" s="6" t="s">
        <v>34</v>
      </c>
      <c r="H40" s="6" t="s">
        <v>60</v>
      </c>
      <c r="J40" s="6" t="s">
        <v>73</v>
      </c>
    </row>
    <row r="41" spans="1:10" x14ac:dyDescent="0.35">
      <c r="A41" s="6" t="s">
        <v>48</v>
      </c>
      <c r="D41" s="6">
        <v>2.5436828614475491E-9</v>
      </c>
      <c r="E41" s="6" t="s">
        <v>8</v>
      </c>
      <c r="F41" s="6" t="s">
        <v>33</v>
      </c>
      <c r="G41" s="6" t="s">
        <v>34</v>
      </c>
      <c r="H41" s="6" t="s">
        <v>60</v>
      </c>
      <c r="J41" s="6" t="s">
        <v>73</v>
      </c>
    </row>
    <row r="42" spans="1:10" x14ac:dyDescent="0.35">
      <c r="A42" s="6" t="s">
        <v>55</v>
      </c>
      <c r="D42" s="6">
        <v>9.7833956209521104E-9</v>
      </c>
      <c r="E42" s="6" t="s">
        <v>8</v>
      </c>
      <c r="F42" s="6" t="s">
        <v>33</v>
      </c>
      <c r="G42" s="6" t="s">
        <v>34</v>
      </c>
      <c r="H42" s="6" t="s">
        <v>60</v>
      </c>
      <c r="J42" s="6" t="s">
        <v>73</v>
      </c>
    </row>
    <row r="43" spans="1:10" x14ac:dyDescent="0.35">
      <c r="A43" s="6" t="s">
        <v>49</v>
      </c>
      <c r="D43" s="6">
        <v>3.2611318736507039E-9</v>
      </c>
      <c r="E43" s="6" t="s">
        <v>8</v>
      </c>
      <c r="F43" s="6" t="s">
        <v>33</v>
      </c>
      <c r="G43" s="6" t="s">
        <v>34</v>
      </c>
      <c r="H43" s="6" t="s">
        <v>60</v>
      </c>
      <c r="J43" s="6" t="s">
        <v>73</v>
      </c>
    </row>
    <row r="44" spans="1:10" x14ac:dyDescent="0.35">
      <c r="A44" s="6" t="s">
        <v>51</v>
      </c>
      <c r="D44" s="6">
        <v>2.4621545646062808E-7</v>
      </c>
      <c r="E44" s="6" t="s">
        <v>8</v>
      </c>
      <c r="F44" s="6" t="s">
        <v>33</v>
      </c>
      <c r="G44" s="6" t="s">
        <v>34</v>
      </c>
      <c r="H44" s="6" t="s">
        <v>60</v>
      </c>
      <c r="J44" s="6" t="s">
        <v>73</v>
      </c>
    </row>
    <row r="45" spans="1:10" x14ac:dyDescent="0.35">
      <c r="A45" s="6" t="s">
        <v>50</v>
      </c>
      <c r="D45" s="6">
        <v>8.5767768277013486E-9</v>
      </c>
      <c r="E45" s="6" t="s">
        <v>8</v>
      </c>
      <c r="F45" s="6" t="s">
        <v>33</v>
      </c>
      <c r="G45" s="6" t="s">
        <v>34</v>
      </c>
      <c r="H45" s="6" t="s">
        <v>60</v>
      </c>
      <c r="J45" s="6" t="s">
        <v>73</v>
      </c>
    </row>
    <row r="46" spans="1:10" x14ac:dyDescent="0.35">
      <c r="A46" s="6" t="s">
        <v>52</v>
      </c>
      <c r="D46" s="6">
        <v>1.9566791241904219E-10</v>
      </c>
      <c r="E46" s="6" t="s">
        <v>8</v>
      </c>
      <c r="F46" s="6" t="s">
        <v>33</v>
      </c>
      <c r="G46" s="6" t="s">
        <v>34</v>
      </c>
      <c r="H46" s="6" t="s">
        <v>60</v>
      </c>
      <c r="J46" s="6" t="s">
        <v>73</v>
      </c>
    </row>
    <row r="47" spans="1:10" x14ac:dyDescent="0.35">
      <c r="A47" s="6" t="s">
        <v>54</v>
      </c>
      <c r="D47" s="6">
        <v>1.2066187932507601E-7</v>
      </c>
      <c r="E47" s="6" t="s">
        <v>8</v>
      </c>
      <c r="F47" s="6" t="s">
        <v>33</v>
      </c>
      <c r="G47" s="6" t="s">
        <v>34</v>
      </c>
      <c r="H47" s="6" t="s">
        <v>60</v>
      </c>
      <c r="J47" s="6" t="s">
        <v>73</v>
      </c>
    </row>
    <row r="48" spans="1:10" x14ac:dyDescent="0.35">
      <c r="A48" s="6" t="s">
        <v>59</v>
      </c>
      <c r="D48" s="6">
        <v>2.5110715427110409E-7</v>
      </c>
      <c r="E48" s="6" t="s">
        <v>8</v>
      </c>
      <c r="F48" s="6" t="s">
        <v>33</v>
      </c>
      <c r="G48" s="6" t="s">
        <v>34</v>
      </c>
      <c r="H48" s="6" t="s">
        <v>60</v>
      </c>
      <c r="J48" s="6" t="s">
        <v>73</v>
      </c>
    </row>
    <row r="49" spans="1:14" x14ac:dyDescent="0.35">
      <c r="A49" s="6" t="s">
        <v>56</v>
      </c>
      <c r="D49" s="6">
        <v>3.3263545111237179E-7</v>
      </c>
      <c r="E49" s="6" t="s">
        <v>8</v>
      </c>
      <c r="F49" s="6" t="s">
        <v>33</v>
      </c>
      <c r="G49" s="6" t="s">
        <v>34</v>
      </c>
      <c r="H49" s="6" t="s">
        <v>60</v>
      </c>
      <c r="J49" s="6" t="s">
        <v>73</v>
      </c>
    </row>
    <row r="50" spans="1:14" x14ac:dyDescent="0.35">
      <c r="A50" s="6" t="s">
        <v>117</v>
      </c>
      <c r="D50" s="6">
        <v>1.6461867585001389E-4</v>
      </c>
      <c r="E50" s="6" t="s">
        <v>8</v>
      </c>
      <c r="F50" s="6" t="s">
        <v>33</v>
      </c>
      <c r="G50" s="6" t="s">
        <v>34</v>
      </c>
      <c r="H50" s="6" t="s">
        <v>60</v>
      </c>
      <c r="J50" s="6" t="s">
        <v>73</v>
      </c>
    </row>
    <row r="51" spans="1:14" s="11" customFormat="1" x14ac:dyDescent="0.35"/>
    <row r="52" spans="1:14" x14ac:dyDescent="0.35">
      <c r="A52" s="14" t="s">
        <v>0</v>
      </c>
      <c r="B52" s="14" t="s">
        <v>118</v>
      </c>
    </row>
    <row r="53" spans="1:14" x14ac:dyDescent="0.35">
      <c r="A53" s="8" t="s">
        <v>2</v>
      </c>
      <c r="B53" s="6" t="s">
        <v>38</v>
      </c>
    </row>
    <row r="54" spans="1:14" x14ac:dyDescent="0.35">
      <c r="A54" s="8" t="s">
        <v>4</v>
      </c>
      <c r="B54" s="6" t="s">
        <v>65</v>
      </c>
    </row>
    <row r="55" spans="1:14" x14ac:dyDescent="0.35">
      <c r="A55" s="8" t="s">
        <v>6</v>
      </c>
      <c r="B55" s="6">
        <v>1</v>
      </c>
    </row>
    <row r="56" spans="1:14" x14ac:dyDescent="0.35">
      <c r="A56" s="8" t="s">
        <v>7</v>
      </c>
      <c r="B56" s="6" t="s">
        <v>8</v>
      </c>
    </row>
    <row r="57" spans="1:14" ht="101.5" x14ac:dyDescent="0.35">
      <c r="A57" s="8" t="s">
        <v>9</v>
      </c>
      <c r="B57" s="12" t="s">
        <v>203</v>
      </c>
    </row>
    <row r="58" spans="1:14" x14ac:dyDescent="0.35">
      <c r="A58" s="8" t="s">
        <v>10</v>
      </c>
    </row>
    <row r="59" spans="1:14" x14ac:dyDescent="0.35">
      <c r="A59" s="14" t="s">
        <v>11</v>
      </c>
      <c r="B59" s="14" t="s">
        <v>2</v>
      </c>
      <c r="C59" s="14" t="s">
        <v>4</v>
      </c>
      <c r="D59" s="14" t="s">
        <v>6</v>
      </c>
      <c r="E59" s="14" t="s">
        <v>7</v>
      </c>
      <c r="F59" s="14" t="s">
        <v>12</v>
      </c>
      <c r="G59" s="14" t="s">
        <v>13</v>
      </c>
      <c r="H59" s="14" t="s">
        <v>14</v>
      </c>
      <c r="I59" s="14" t="s">
        <v>15</v>
      </c>
      <c r="J59" s="14" t="s">
        <v>16</v>
      </c>
      <c r="K59" s="14" t="s">
        <v>17</v>
      </c>
      <c r="L59" s="14" t="s">
        <v>18</v>
      </c>
      <c r="M59" s="14" t="s">
        <v>19</v>
      </c>
      <c r="N59" s="14" t="s">
        <v>20</v>
      </c>
    </row>
    <row r="60" spans="1:14" x14ac:dyDescent="0.35">
      <c r="A60" s="6" t="str">
        <f>B52</f>
        <v>[P+R] Selenium (Se) production - Pyrometallurgy (Sweden)</v>
      </c>
      <c r="B60" s="6" t="str">
        <f>B53</f>
        <v>Refined Se</v>
      </c>
      <c r="C60" s="6" t="s">
        <v>65</v>
      </c>
      <c r="D60" s="6">
        <v>1</v>
      </c>
      <c r="E60" s="6" t="s">
        <v>8</v>
      </c>
      <c r="F60" s="10" t="str">
        <f>F9</f>
        <v>Selenium</v>
      </c>
      <c r="G60" s="6" t="s">
        <v>21</v>
      </c>
    </row>
    <row r="61" spans="1:14" x14ac:dyDescent="0.35">
      <c r="A61" s="6" t="s">
        <v>71</v>
      </c>
      <c r="B61" s="6" t="s">
        <v>72</v>
      </c>
      <c r="C61" s="6" t="s">
        <v>30</v>
      </c>
      <c r="D61" s="16">
        <v>0.58175211821906914</v>
      </c>
      <c r="E61" s="6" t="s">
        <v>31</v>
      </c>
      <c r="F61" s="6" t="s">
        <v>25</v>
      </c>
      <c r="G61" s="6" t="s">
        <v>26</v>
      </c>
      <c r="J61" s="6" t="s">
        <v>73</v>
      </c>
    </row>
    <row r="62" spans="1:14" x14ac:dyDescent="0.35">
      <c r="A62" s="6" t="s">
        <v>91</v>
      </c>
      <c r="B62" s="6" t="s">
        <v>92</v>
      </c>
      <c r="C62" s="6" t="s">
        <v>82</v>
      </c>
      <c r="D62" s="16">
        <v>3.8673997389418479E-4</v>
      </c>
      <c r="E62" s="6" t="s">
        <v>8</v>
      </c>
      <c r="F62" s="6" t="s">
        <v>25</v>
      </c>
      <c r="G62" s="6" t="s">
        <v>26</v>
      </c>
      <c r="J62" s="6" t="s">
        <v>73</v>
      </c>
    </row>
    <row r="63" spans="1:14" x14ac:dyDescent="0.35">
      <c r="A63" s="6" t="s">
        <v>119</v>
      </c>
      <c r="B63" s="6" t="s">
        <v>120</v>
      </c>
      <c r="C63" s="6" t="s">
        <v>82</v>
      </c>
      <c r="D63" s="16">
        <v>0.19142145850020328</v>
      </c>
      <c r="E63" s="6" t="s">
        <v>8</v>
      </c>
      <c r="F63" s="6" t="s">
        <v>25</v>
      </c>
      <c r="G63" s="6" t="s">
        <v>26</v>
      </c>
      <c r="J63" s="6" t="s">
        <v>73</v>
      </c>
    </row>
    <row r="64" spans="1:14" x14ac:dyDescent="0.35">
      <c r="A64" s="6" t="s">
        <v>121</v>
      </c>
      <c r="B64" s="6" t="s">
        <v>122</v>
      </c>
      <c r="C64" s="6" t="s">
        <v>82</v>
      </c>
      <c r="D64" s="16">
        <v>8.5031916321450709E-3</v>
      </c>
      <c r="E64" s="6" t="s">
        <v>8</v>
      </c>
      <c r="F64" s="6" t="s">
        <v>25</v>
      </c>
      <c r="G64" s="6" t="s">
        <v>26</v>
      </c>
      <c r="J64" s="6" t="s">
        <v>73</v>
      </c>
    </row>
    <row r="65" spans="1:10" x14ac:dyDescent="0.35">
      <c r="A65" s="6" t="s">
        <v>74</v>
      </c>
      <c r="B65" s="6" t="s">
        <v>75</v>
      </c>
      <c r="C65" s="6" t="s">
        <v>65</v>
      </c>
      <c r="D65" s="16">
        <v>11.452309741340093</v>
      </c>
      <c r="E65" s="6" t="s">
        <v>24</v>
      </c>
      <c r="F65" s="6" t="s">
        <v>25</v>
      </c>
      <c r="G65" s="6" t="s">
        <v>26</v>
      </c>
      <c r="J65" s="6" t="s">
        <v>73</v>
      </c>
    </row>
    <row r="66" spans="1:10" x14ac:dyDescent="0.35">
      <c r="A66" s="6" t="s">
        <v>123</v>
      </c>
      <c r="B66" s="6" t="s">
        <v>124</v>
      </c>
      <c r="C66" s="6" t="s">
        <v>82</v>
      </c>
      <c r="D66" s="16">
        <v>47.288374464266788</v>
      </c>
      <c r="E66" s="6" t="s">
        <v>8</v>
      </c>
      <c r="F66" s="6" t="s">
        <v>25</v>
      </c>
      <c r="G66" s="6" t="s">
        <v>26</v>
      </c>
      <c r="J66" s="6" t="s">
        <v>73</v>
      </c>
    </row>
    <row r="67" spans="1:10" x14ac:dyDescent="0.35">
      <c r="A67" s="6" t="s">
        <v>125</v>
      </c>
      <c r="B67" s="6" t="s">
        <v>126</v>
      </c>
      <c r="C67" s="6" t="s">
        <v>30</v>
      </c>
      <c r="D67" s="16">
        <v>2.618106131063616</v>
      </c>
      <c r="E67" s="6" t="s">
        <v>8</v>
      </c>
      <c r="F67" s="6" t="s">
        <v>25</v>
      </c>
      <c r="G67" s="6" t="s">
        <v>26</v>
      </c>
      <c r="J67" s="6" t="s">
        <v>73</v>
      </c>
    </row>
    <row r="68" spans="1:10" x14ac:dyDescent="0.35">
      <c r="A68" s="6" t="s">
        <v>127</v>
      </c>
      <c r="B68" s="6" t="s">
        <v>128</v>
      </c>
      <c r="C68" s="6" t="s">
        <v>129</v>
      </c>
      <c r="D68" s="16">
        <v>8.6013819544240006E-2</v>
      </c>
      <c r="E68" s="6" t="s">
        <v>8</v>
      </c>
      <c r="F68" s="6" t="s">
        <v>25</v>
      </c>
      <c r="G68" s="6" t="s">
        <v>26</v>
      </c>
      <c r="J68" s="6" t="s">
        <v>73</v>
      </c>
    </row>
    <row r="69" spans="1:10" x14ac:dyDescent="0.35">
      <c r="A69" s="6" t="s">
        <v>130</v>
      </c>
      <c r="B69" s="6" t="s">
        <v>131</v>
      </c>
      <c r="C69" s="6" t="s">
        <v>42</v>
      </c>
      <c r="D69" s="16">
        <v>0.16269172639349092</v>
      </c>
      <c r="E69" s="6" t="s">
        <v>8</v>
      </c>
      <c r="F69" s="6" t="s">
        <v>25</v>
      </c>
      <c r="G69" s="6" t="s">
        <v>26</v>
      </c>
      <c r="J69" s="6" t="s">
        <v>73</v>
      </c>
    </row>
    <row r="70" spans="1:10" x14ac:dyDescent="0.35">
      <c r="A70" s="6" t="s">
        <v>132</v>
      </c>
      <c r="B70" s="6" t="s">
        <v>133</v>
      </c>
      <c r="C70" s="6" t="s">
        <v>129</v>
      </c>
      <c r="D70" s="16">
        <v>0.7597952520388791</v>
      </c>
      <c r="E70" s="6" t="s">
        <v>104</v>
      </c>
      <c r="F70" s="6" t="s">
        <v>25</v>
      </c>
      <c r="G70" s="6" t="s">
        <v>26</v>
      </c>
      <c r="J70" s="6" t="s">
        <v>73</v>
      </c>
    </row>
    <row r="71" spans="1:10" x14ac:dyDescent="0.35">
      <c r="A71" s="6" t="s">
        <v>134</v>
      </c>
      <c r="B71" s="6" t="s">
        <v>135</v>
      </c>
      <c r="C71" s="6" t="s">
        <v>30</v>
      </c>
      <c r="D71" s="16">
        <v>4.4921161149415181E-3</v>
      </c>
      <c r="E71" s="6" t="s">
        <v>8</v>
      </c>
      <c r="F71" s="6" t="s">
        <v>25</v>
      </c>
      <c r="G71" s="6" t="s">
        <v>26</v>
      </c>
      <c r="J71" s="6" t="s">
        <v>73</v>
      </c>
    </row>
    <row r="72" spans="1:10" x14ac:dyDescent="0.35">
      <c r="A72" s="6" t="s">
        <v>136</v>
      </c>
      <c r="B72" s="6" t="s">
        <v>137</v>
      </c>
      <c r="C72" s="6" t="s">
        <v>30</v>
      </c>
      <c r="D72" s="16">
        <v>6.2241830640701547E-6</v>
      </c>
      <c r="E72" s="6" t="s">
        <v>8</v>
      </c>
      <c r="F72" s="6" t="s">
        <v>25</v>
      </c>
      <c r="G72" s="6" t="s">
        <v>26</v>
      </c>
      <c r="J72" s="6" t="s">
        <v>73</v>
      </c>
    </row>
    <row r="73" spans="1:10" x14ac:dyDescent="0.35">
      <c r="A73" s="6" t="s">
        <v>138</v>
      </c>
      <c r="B73" s="6" t="s">
        <v>139</v>
      </c>
      <c r="C73" s="6" t="s">
        <v>30</v>
      </c>
      <c r="D73" s="16">
        <v>9.1850564799603896E-3</v>
      </c>
      <c r="E73" s="6" t="s">
        <v>8</v>
      </c>
      <c r="F73" s="6" t="s">
        <v>25</v>
      </c>
      <c r="G73" s="6" t="s">
        <v>26</v>
      </c>
      <c r="J73" s="6" t="s">
        <v>73</v>
      </c>
    </row>
    <row r="74" spans="1:10" x14ac:dyDescent="0.35">
      <c r="A74" s="6" t="s">
        <v>140</v>
      </c>
      <c r="B74" s="6" t="s">
        <v>141</v>
      </c>
      <c r="C74" s="6" t="s">
        <v>129</v>
      </c>
      <c r="D74" s="16">
        <v>0.46494548380458328</v>
      </c>
      <c r="E74" s="6" t="s">
        <v>8</v>
      </c>
      <c r="F74" s="6" t="s">
        <v>25</v>
      </c>
      <c r="G74" s="6" t="s">
        <v>26</v>
      </c>
      <c r="J74" s="6" t="s">
        <v>73</v>
      </c>
    </row>
    <row r="75" spans="1:10" x14ac:dyDescent="0.35">
      <c r="A75" s="6" t="s">
        <v>140</v>
      </c>
      <c r="B75" s="6" t="s">
        <v>141</v>
      </c>
      <c r="C75" s="6" t="s">
        <v>129</v>
      </c>
      <c r="D75" s="16">
        <v>8.23746689364054E-4</v>
      </c>
      <c r="E75" s="6" t="s">
        <v>8</v>
      </c>
      <c r="F75" s="6" t="s">
        <v>25</v>
      </c>
      <c r="G75" s="6" t="s">
        <v>26</v>
      </c>
      <c r="J75" s="6" t="s">
        <v>73</v>
      </c>
    </row>
    <row r="76" spans="1:10" x14ac:dyDescent="0.35">
      <c r="A76" s="6" t="s">
        <v>134</v>
      </c>
      <c r="B76" s="6" t="s">
        <v>135</v>
      </c>
      <c r="C76" s="6" t="s">
        <v>30</v>
      </c>
      <c r="D76" s="16">
        <v>0.23823817155362464</v>
      </c>
      <c r="E76" s="6" t="s">
        <v>8</v>
      </c>
      <c r="F76" s="6" t="s">
        <v>25</v>
      </c>
      <c r="G76" s="6" t="s">
        <v>26</v>
      </c>
      <c r="J76" s="6" t="s">
        <v>73</v>
      </c>
    </row>
    <row r="77" spans="1:10" x14ac:dyDescent="0.35">
      <c r="A77" s="6" t="s">
        <v>142</v>
      </c>
      <c r="B77" s="6" t="s">
        <v>143</v>
      </c>
      <c r="C77" s="6" t="s">
        <v>129</v>
      </c>
      <c r="D77" s="16">
        <v>2.889465684320873E-2</v>
      </c>
      <c r="E77" s="6" t="s">
        <v>8</v>
      </c>
      <c r="F77" s="6" t="s">
        <v>25</v>
      </c>
      <c r="G77" s="6" t="s">
        <v>26</v>
      </c>
      <c r="J77" s="6" t="s">
        <v>73</v>
      </c>
    </row>
    <row r="78" spans="1:10" x14ac:dyDescent="0.35">
      <c r="A78" s="6" t="s">
        <v>142</v>
      </c>
      <c r="B78" s="6" t="s">
        <v>143</v>
      </c>
      <c r="C78" s="6" t="s">
        <v>129</v>
      </c>
      <c r="D78" s="16">
        <v>1.3817686402235743E-4</v>
      </c>
      <c r="E78" s="6" t="s">
        <v>8</v>
      </c>
      <c r="F78" s="6" t="s">
        <v>25</v>
      </c>
      <c r="G78" s="6" t="s">
        <v>26</v>
      </c>
      <c r="J78" s="6" t="s">
        <v>73</v>
      </c>
    </row>
    <row r="79" spans="1:10" x14ac:dyDescent="0.35">
      <c r="A79" s="6" t="s">
        <v>144</v>
      </c>
      <c r="B79" s="6" t="s">
        <v>145</v>
      </c>
      <c r="C79" s="6" t="s">
        <v>30</v>
      </c>
      <c r="D79" s="16">
        <v>3.4443961799851471E-4</v>
      </c>
      <c r="E79" s="6" t="s">
        <v>8</v>
      </c>
      <c r="F79" s="6" t="s">
        <v>25</v>
      </c>
      <c r="G79" s="6" t="s">
        <v>26</v>
      </c>
      <c r="J79" s="6" t="s">
        <v>73</v>
      </c>
    </row>
    <row r="80" spans="1:10" x14ac:dyDescent="0.35">
      <c r="A80" s="6" t="s">
        <v>89</v>
      </c>
      <c r="B80" s="6" t="s">
        <v>90</v>
      </c>
      <c r="C80" s="6" t="s">
        <v>30</v>
      </c>
      <c r="D80" s="16">
        <v>3.5023278184289779E-5</v>
      </c>
      <c r="E80" s="6" t="s">
        <v>8</v>
      </c>
      <c r="F80" s="6" t="s">
        <v>25</v>
      </c>
      <c r="G80" s="6" t="s">
        <v>26</v>
      </c>
      <c r="J80" s="6" t="s">
        <v>73</v>
      </c>
    </row>
    <row r="81" spans="1:10" x14ac:dyDescent="0.35">
      <c r="A81" s="6" t="s">
        <v>89</v>
      </c>
      <c r="B81" s="6" t="s">
        <v>90</v>
      </c>
      <c r="C81" s="6" t="s">
        <v>30</v>
      </c>
      <c r="D81" s="16">
        <v>3.1886968620544018E-4</v>
      </c>
      <c r="E81" s="6" t="s">
        <v>8</v>
      </c>
      <c r="F81" s="6" t="s">
        <v>25</v>
      </c>
      <c r="G81" s="6" t="s">
        <v>26</v>
      </c>
      <c r="J81" s="6" t="s">
        <v>73</v>
      </c>
    </row>
    <row r="82" spans="1:10" x14ac:dyDescent="0.35">
      <c r="A82" s="6" t="s">
        <v>146</v>
      </c>
      <c r="B82" s="6" t="s">
        <v>147</v>
      </c>
      <c r="C82" s="6" t="s">
        <v>30</v>
      </c>
      <c r="D82" s="16">
        <v>2.9176576287797788E-2</v>
      </c>
      <c r="E82" s="6" t="s">
        <v>8</v>
      </c>
      <c r="F82" s="6" t="s">
        <v>25</v>
      </c>
      <c r="G82" s="6" t="s">
        <v>26</v>
      </c>
      <c r="J82" s="6" t="s">
        <v>73</v>
      </c>
    </row>
    <row r="83" spans="1:10" x14ac:dyDescent="0.35">
      <c r="A83" s="6" t="s">
        <v>148</v>
      </c>
      <c r="B83" s="6" t="s">
        <v>149</v>
      </c>
      <c r="C83" s="6" t="s">
        <v>30</v>
      </c>
      <c r="D83" s="16">
        <v>2.0460804864849075E-3</v>
      </c>
      <c r="E83" s="6" t="s">
        <v>8</v>
      </c>
      <c r="F83" s="6" t="s">
        <v>25</v>
      </c>
      <c r="G83" s="6" t="s">
        <v>26</v>
      </c>
      <c r="J83" s="6" t="s">
        <v>73</v>
      </c>
    </row>
    <row r="84" spans="1:10" x14ac:dyDescent="0.35">
      <c r="A84" s="6" t="s">
        <v>89</v>
      </c>
      <c r="B84" s="6" t="s">
        <v>90</v>
      </c>
      <c r="C84" s="6" t="s">
        <v>30</v>
      </c>
      <c r="D84" s="16">
        <v>1.0628989540181339E-4</v>
      </c>
      <c r="E84" s="6" t="s">
        <v>8</v>
      </c>
      <c r="F84" s="6" t="s">
        <v>25</v>
      </c>
      <c r="G84" s="6" t="s">
        <v>26</v>
      </c>
      <c r="J84" s="6" t="s">
        <v>73</v>
      </c>
    </row>
    <row r="85" spans="1:10" x14ac:dyDescent="0.35">
      <c r="A85" s="6" t="s">
        <v>150</v>
      </c>
      <c r="B85" s="6" t="s">
        <v>151</v>
      </c>
      <c r="C85" s="6" t="s">
        <v>129</v>
      </c>
      <c r="D85" s="16">
        <v>8.4766191582946182E-3</v>
      </c>
      <c r="E85" s="6" t="s">
        <v>8</v>
      </c>
      <c r="F85" s="6" t="s">
        <v>25</v>
      </c>
      <c r="G85" s="6" t="s">
        <v>26</v>
      </c>
      <c r="J85" s="6" t="s">
        <v>73</v>
      </c>
    </row>
    <row r="86" spans="1:10" x14ac:dyDescent="0.35">
      <c r="A86" s="6" t="s">
        <v>152</v>
      </c>
      <c r="B86" s="6" t="s">
        <v>153</v>
      </c>
      <c r="C86" s="6" t="s">
        <v>42</v>
      </c>
      <c r="D86" s="16">
        <v>3.7201463390634684E-4</v>
      </c>
      <c r="E86" s="6" t="s">
        <v>8</v>
      </c>
      <c r="F86" s="6" t="s">
        <v>25</v>
      </c>
      <c r="G86" s="6" t="s">
        <v>26</v>
      </c>
      <c r="J86" s="6" t="s">
        <v>73</v>
      </c>
    </row>
    <row r="87" spans="1:10" x14ac:dyDescent="0.35">
      <c r="A87" s="6" t="s">
        <v>154</v>
      </c>
      <c r="B87" s="6" t="s">
        <v>90</v>
      </c>
      <c r="C87" s="6" t="s">
        <v>30</v>
      </c>
      <c r="D87" s="16">
        <v>2.7103923327462419E-3</v>
      </c>
      <c r="E87" s="6" t="s">
        <v>8</v>
      </c>
      <c r="F87" s="6" t="s">
        <v>25</v>
      </c>
      <c r="G87" s="6" t="s">
        <v>26</v>
      </c>
      <c r="J87" s="6" t="s">
        <v>73</v>
      </c>
    </row>
    <row r="88" spans="1:10" x14ac:dyDescent="0.35">
      <c r="A88" s="6" t="s">
        <v>155</v>
      </c>
      <c r="B88" s="6" t="s">
        <v>156</v>
      </c>
      <c r="C88" s="6" t="s">
        <v>30</v>
      </c>
      <c r="D88" s="16">
        <v>3.4544216005589367E-4</v>
      </c>
      <c r="E88" s="6" t="s">
        <v>8</v>
      </c>
      <c r="F88" s="6" t="s">
        <v>25</v>
      </c>
      <c r="G88" s="6" t="s">
        <v>26</v>
      </c>
      <c r="J88" s="6" t="s">
        <v>73</v>
      </c>
    </row>
    <row r="89" spans="1:10" x14ac:dyDescent="0.35">
      <c r="A89" s="6" t="s">
        <v>155</v>
      </c>
      <c r="B89" s="6" t="s">
        <v>156</v>
      </c>
      <c r="C89" s="6" t="s">
        <v>30</v>
      </c>
      <c r="D89" s="16">
        <v>2.9229721235498674E-4</v>
      </c>
      <c r="E89" s="6" t="s">
        <v>8</v>
      </c>
      <c r="F89" s="6" t="s">
        <v>25</v>
      </c>
      <c r="G89" s="6" t="s">
        <v>26</v>
      </c>
      <c r="J89" s="6" t="s">
        <v>73</v>
      </c>
    </row>
    <row r="90" spans="1:10" x14ac:dyDescent="0.35">
      <c r="A90" s="6" t="s">
        <v>157</v>
      </c>
      <c r="B90" s="6" t="s">
        <v>158</v>
      </c>
      <c r="C90" s="6" t="s">
        <v>30</v>
      </c>
      <c r="D90" s="16">
        <v>3.1886968620544018E-4</v>
      </c>
      <c r="E90" s="6" t="s">
        <v>8</v>
      </c>
      <c r="F90" s="6" t="s">
        <v>25</v>
      </c>
      <c r="G90" s="6" t="s">
        <v>26</v>
      </c>
      <c r="J90" s="6" t="s">
        <v>73</v>
      </c>
    </row>
    <row r="91" spans="1:10" x14ac:dyDescent="0.35">
      <c r="A91" s="6" t="s">
        <v>159</v>
      </c>
      <c r="B91" s="6" t="s">
        <v>160</v>
      </c>
      <c r="C91" s="6" t="s">
        <v>129</v>
      </c>
      <c r="D91" s="16">
        <v>1.0628989540181339E-4</v>
      </c>
      <c r="E91" s="6" t="s">
        <v>8</v>
      </c>
      <c r="F91" s="6" t="s">
        <v>25</v>
      </c>
      <c r="G91" s="6" t="s">
        <v>26</v>
      </c>
      <c r="J91" s="6" t="s">
        <v>73</v>
      </c>
    </row>
    <row r="92" spans="1:10" x14ac:dyDescent="0.35">
      <c r="A92" s="6" t="s">
        <v>83</v>
      </c>
      <c r="B92" s="6" t="s">
        <v>84</v>
      </c>
      <c r="C92" s="6" t="s">
        <v>30</v>
      </c>
      <c r="D92" s="16">
        <v>3.7467188129139228E-3</v>
      </c>
      <c r="E92" s="6" t="s">
        <v>8</v>
      </c>
      <c r="F92" s="6" t="s">
        <v>25</v>
      </c>
      <c r="G92" s="6" t="s">
        <v>26</v>
      </c>
      <c r="J92" s="6" t="s">
        <v>73</v>
      </c>
    </row>
    <row r="93" spans="1:10" x14ac:dyDescent="0.35">
      <c r="A93" s="6" t="s">
        <v>161</v>
      </c>
      <c r="B93" s="6" t="s">
        <v>162</v>
      </c>
      <c r="C93" s="6" t="s">
        <v>42</v>
      </c>
      <c r="D93" s="16">
        <v>1.8600731695317344E-3</v>
      </c>
      <c r="E93" s="6" t="s">
        <v>8</v>
      </c>
      <c r="F93" s="6" t="s">
        <v>25</v>
      </c>
      <c r="G93" s="6" t="s">
        <v>26</v>
      </c>
      <c r="J93" s="6" t="s">
        <v>73</v>
      </c>
    </row>
    <row r="94" spans="1:10" x14ac:dyDescent="0.35">
      <c r="A94" s="6" t="s">
        <v>163</v>
      </c>
      <c r="B94" s="6" t="s">
        <v>164</v>
      </c>
      <c r="C94" s="6" t="s">
        <v>129</v>
      </c>
      <c r="D94" s="16">
        <v>7.4402926781269368E-4</v>
      </c>
      <c r="E94" s="6" t="s">
        <v>8</v>
      </c>
      <c r="F94" s="6" t="s">
        <v>25</v>
      </c>
      <c r="G94" s="6" t="s">
        <v>26</v>
      </c>
      <c r="J94" s="6" t="s">
        <v>73</v>
      </c>
    </row>
    <row r="95" spans="1:10" x14ac:dyDescent="0.35">
      <c r="A95" s="6" t="s">
        <v>89</v>
      </c>
      <c r="B95" s="6" t="s">
        <v>90</v>
      </c>
      <c r="C95" s="6" t="s">
        <v>30</v>
      </c>
      <c r="D95" s="16">
        <v>4.2515958160725354E-3</v>
      </c>
      <c r="E95" s="6" t="s">
        <v>8</v>
      </c>
      <c r="F95" s="6" t="s">
        <v>25</v>
      </c>
      <c r="G95" s="6" t="s">
        <v>26</v>
      </c>
      <c r="J95" s="6" t="s">
        <v>73</v>
      </c>
    </row>
    <row r="96" spans="1:10" x14ac:dyDescent="0.35">
      <c r="A96" s="6" t="s">
        <v>165</v>
      </c>
      <c r="B96" s="6" t="s">
        <v>166</v>
      </c>
      <c r="C96" s="6" t="s">
        <v>30</v>
      </c>
      <c r="D96" s="16">
        <v>2.8703301499876228E-4</v>
      </c>
      <c r="E96" s="6" t="s">
        <v>8</v>
      </c>
      <c r="F96" s="6" t="s">
        <v>25</v>
      </c>
      <c r="G96" s="6" t="s">
        <v>26</v>
      </c>
      <c r="J96" s="6" t="s">
        <v>73</v>
      </c>
    </row>
    <row r="97" spans="1:10" x14ac:dyDescent="0.35">
      <c r="A97" s="6" t="s">
        <v>167</v>
      </c>
      <c r="B97" s="6" t="s">
        <v>168</v>
      </c>
      <c r="C97" s="6" t="s">
        <v>129</v>
      </c>
      <c r="D97" s="16">
        <v>2.0460804864849073E-4</v>
      </c>
      <c r="E97" s="6" t="s">
        <v>8</v>
      </c>
      <c r="F97" s="6" t="s">
        <v>25</v>
      </c>
      <c r="G97" s="6" t="s">
        <v>26</v>
      </c>
      <c r="J97" s="6" t="s">
        <v>73</v>
      </c>
    </row>
    <row r="98" spans="1:10" x14ac:dyDescent="0.35">
      <c r="A98" s="6" t="s">
        <v>169</v>
      </c>
      <c r="B98" s="6" t="s">
        <v>170</v>
      </c>
      <c r="C98" s="6" t="s">
        <v>30</v>
      </c>
      <c r="D98" s="16">
        <v>2.8703301499876228E-4</v>
      </c>
      <c r="E98" s="6" t="s">
        <v>8</v>
      </c>
      <c r="F98" s="6" t="s">
        <v>25</v>
      </c>
      <c r="G98" s="6" t="s">
        <v>26</v>
      </c>
      <c r="J98" s="6" t="s">
        <v>73</v>
      </c>
    </row>
    <row r="99" spans="1:10" x14ac:dyDescent="0.35">
      <c r="A99" s="6" t="s">
        <v>171</v>
      </c>
      <c r="B99" s="6" t="s">
        <v>172</v>
      </c>
      <c r="C99" s="6" t="s">
        <v>129</v>
      </c>
      <c r="D99" s="16">
        <v>1.4925393306160332E-2</v>
      </c>
      <c r="E99" s="6" t="s">
        <v>8</v>
      </c>
      <c r="F99" s="6" t="s">
        <v>25</v>
      </c>
      <c r="G99" s="6" t="s">
        <v>26</v>
      </c>
      <c r="J99" s="6" t="s">
        <v>73</v>
      </c>
    </row>
    <row r="100" spans="1:10" x14ac:dyDescent="0.35">
      <c r="A100" s="6" t="s">
        <v>173</v>
      </c>
      <c r="B100" s="6" t="s">
        <v>174</v>
      </c>
      <c r="C100" s="6" t="s">
        <v>42</v>
      </c>
      <c r="D100" s="16">
        <v>-1.3259664451376223E-5</v>
      </c>
      <c r="E100" s="6" t="s">
        <v>8</v>
      </c>
      <c r="F100" s="6" t="s">
        <v>25</v>
      </c>
      <c r="G100" s="6" t="s">
        <v>26</v>
      </c>
      <c r="J100" s="6" t="s">
        <v>73</v>
      </c>
    </row>
    <row r="101" spans="1:10" x14ac:dyDescent="0.35">
      <c r="A101" s="6" t="s">
        <v>175</v>
      </c>
      <c r="B101" s="6" t="s">
        <v>176</v>
      </c>
      <c r="C101" s="6" t="s">
        <v>82</v>
      </c>
      <c r="D101" s="40">
        <v>2.85919818630878E-6</v>
      </c>
      <c r="E101" s="6" t="s">
        <v>8</v>
      </c>
      <c r="F101" s="6" t="s">
        <v>25</v>
      </c>
      <c r="G101" s="6" t="s">
        <v>26</v>
      </c>
      <c r="J101" s="6" t="s">
        <v>73</v>
      </c>
    </row>
    <row r="102" spans="1:10" x14ac:dyDescent="0.35">
      <c r="A102" s="6" t="s">
        <v>177</v>
      </c>
      <c r="B102" s="6" t="s">
        <v>178</v>
      </c>
      <c r="C102" s="6" t="s">
        <v>82</v>
      </c>
      <c r="D102" s="16">
        <v>3.9433551194072799E-5</v>
      </c>
      <c r="E102" s="6" t="s">
        <v>8</v>
      </c>
      <c r="F102" s="6" t="s">
        <v>25</v>
      </c>
      <c r="G102" s="6" t="s">
        <v>26</v>
      </c>
      <c r="J102" s="6" t="s">
        <v>73</v>
      </c>
    </row>
    <row r="103" spans="1:10" x14ac:dyDescent="0.35">
      <c r="A103" s="6" t="s">
        <v>179</v>
      </c>
      <c r="B103" s="6" t="s">
        <v>180</v>
      </c>
      <c r="C103" s="6" t="s">
        <v>30</v>
      </c>
      <c r="D103" s="16">
        <v>-1.7909847375205558E-5</v>
      </c>
      <c r="E103" s="6" t="s">
        <v>8</v>
      </c>
      <c r="F103" s="6" t="s">
        <v>25</v>
      </c>
      <c r="G103" s="6" t="s">
        <v>26</v>
      </c>
      <c r="J103" s="6" t="s">
        <v>73</v>
      </c>
    </row>
    <row r="104" spans="1:10" x14ac:dyDescent="0.35">
      <c r="A104" s="6" t="s">
        <v>181</v>
      </c>
      <c r="B104" s="6" t="s">
        <v>101</v>
      </c>
      <c r="C104" s="6" t="s">
        <v>82</v>
      </c>
      <c r="D104" s="16">
        <v>-5.5270745608942983E-6</v>
      </c>
      <c r="E104" s="6" t="s">
        <v>8</v>
      </c>
      <c r="F104" s="6" t="s">
        <v>25</v>
      </c>
      <c r="G104" s="6" t="s">
        <v>26</v>
      </c>
      <c r="J104" s="6" t="s">
        <v>73</v>
      </c>
    </row>
    <row r="105" spans="1:10" x14ac:dyDescent="0.35">
      <c r="A105" s="6" t="s">
        <v>182</v>
      </c>
      <c r="B105" s="6" t="s">
        <v>183</v>
      </c>
      <c r="C105" s="6" t="s">
        <v>42</v>
      </c>
      <c r="D105" s="16">
        <v>-2.3915226465408009E-8</v>
      </c>
      <c r="E105" s="6" t="s">
        <v>8</v>
      </c>
      <c r="F105" s="6" t="s">
        <v>25</v>
      </c>
      <c r="G105" s="6" t="s">
        <v>26</v>
      </c>
      <c r="J105" s="6" t="s">
        <v>73</v>
      </c>
    </row>
    <row r="106" spans="1:10" x14ac:dyDescent="0.35">
      <c r="A106" s="6" t="s">
        <v>184</v>
      </c>
      <c r="B106" s="6" t="s">
        <v>185</v>
      </c>
      <c r="C106" s="6" t="s">
        <v>30</v>
      </c>
      <c r="D106" s="16">
        <v>-8.4500466844441693E-8</v>
      </c>
      <c r="E106" s="6" t="s">
        <v>8</v>
      </c>
      <c r="F106" s="6" t="s">
        <v>25</v>
      </c>
      <c r="G106" s="6" t="s">
        <v>26</v>
      </c>
      <c r="J106" s="6" t="s">
        <v>73</v>
      </c>
    </row>
    <row r="107" spans="1:10" x14ac:dyDescent="0.35">
      <c r="A107" s="6" t="s">
        <v>186</v>
      </c>
      <c r="B107" s="6" t="s">
        <v>187</v>
      </c>
      <c r="C107" s="6" t="s">
        <v>42</v>
      </c>
      <c r="D107" s="16">
        <v>-2.2852327511389875E-8</v>
      </c>
      <c r="E107" s="6" t="s">
        <v>8</v>
      </c>
      <c r="F107" s="6" t="s">
        <v>25</v>
      </c>
      <c r="G107" s="6" t="s">
        <v>26</v>
      </c>
      <c r="J107" s="6" t="s">
        <v>73</v>
      </c>
    </row>
    <row r="108" spans="1:10" x14ac:dyDescent="0.35">
      <c r="A108" s="6" t="s">
        <v>188</v>
      </c>
      <c r="B108" s="6" t="s">
        <v>189</v>
      </c>
      <c r="C108" s="6" t="s">
        <v>30</v>
      </c>
      <c r="D108" s="16">
        <v>-2.3915226465408009E-8</v>
      </c>
      <c r="E108" s="6" t="s">
        <v>8</v>
      </c>
      <c r="F108" s="6" t="s">
        <v>25</v>
      </c>
      <c r="G108" s="6" t="s">
        <v>26</v>
      </c>
      <c r="J108" s="6" t="s">
        <v>73</v>
      </c>
    </row>
    <row r="109" spans="1:10" x14ac:dyDescent="0.35">
      <c r="A109" s="6" t="s">
        <v>190</v>
      </c>
      <c r="B109" s="6" t="s">
        <v>191</v>
      </c>
      <c r="C109" s="6" t="s">
        <v>82</v>
      </c>
      <c r="D109" s="16">
        <v>-2.5695582213388392E-5</v>
      </c>
      <c r="E109" s="6" t="s">
        <v>8</v>
      </c>
      <c r="F109" s="6" t="s">
        <v>25</v>
      </c>
      <c r="G109" s="6" t="s">
        <v>26</v>
      </c>
      <c r="J109" s="6" t="s">
        <v>73</v>
      </c>
    </row>
    <row r="110" spans="1:10" x14ac:dyDescent="0.35">
      <c r="A110" s="6" t="s">
        <v>181</v>
      </c>
      <c r="B110" s="6" t="s">
        <v>101</v>
      </c>
      <c r="C110" s="6" t="s">
        <v>82</v>
      </c>
      <c r="D110" s="16">
        <v>-5.6838521566119707E-6</v>
      </c>
      <c r="E110" s="6" t="s">
        <v>8</v>
      </c>
      <c r="F110" s="6" t="s">
        <v>25</v>
      </c>
      <c r="G110" s="6" t="s">
        <v>26</v>
      </c>
      <c r="J110" s="6" t="s">
        <v>73</v>
      </c>
    </row>
    <row r="111" spans="1:10" x14ac:dyDescent="0.35">
      <c r="A111" s="6" t="s">
        <v>192</v>
      </c>
      <c r="B111" s="6" t="s">
        <v>193</v>
      </c>
      <c r="C111" s="6" t="s">
        <v>42</v>
      </c>
      <c r="D111" s="16">
        <v>-1.7192390581243313E-7</v>
      </c>
      <c r="E111" s="6" t="s">
        <v>8</v>
      </c>
      <c r="F111" s="6" t="s">
        <v>25</v>
      </c>
      <c r="G111" s="6" t="s">
        <v>26</v>
      </c>
      <c r="J111" s="6" t="s">
        <v>73</v>
      </c>
    </row>
    <row r="112" spans="1:10" x14ac:dyDescent="0.35">
      <c r="A112" s="6" t="s">
        <v>194</v>
      </c>
      <c r="B112" s="6" t="s">
        <v>99</v>
      </c>
      <c r="C112" s="6" t="s">
        <v>129</v>
      </c>
      <c r="D112" s="16">
        <v>-2.1257979080362685E-8</v>
      </c>
      <c r="E112" s="6" t="s">
        <v>8</v>
      </c>
      <c r="F112" s="6" t="s">
        <v>25</v>
      </c>
      <c r="G112" s="6" t="s">
        <v>26</v>
      </c>
      <c r="J112" s="6" t="s">
        <v>73</v>
      </c>
    </row>
    <row r="113" spans="1:10" s="15" customFormat="1" x14ac:dyDescent="0.35">
      <c r="A113" s="15" t="s">
        <v>195</v>
      </c>
      <c r="B113" s="15" t="s">
        <v>196</v>
      </c>
      <c r="C113" s="15" t="s">
        <v>129</v>
      </c>
      <c r="D113" s="16">
        <v>-4.6187669393122857</v>
      </c>
      <c r="E113" s="15" t="s">
        <v>8</v>
      </c>
      <c r="F113" s="15" t="s">
        <v>25</v>
      </c>
      <c r="G113" s="15" t="s">
        <v>26</v>
      </c>
    </row>
    <row r="114" spans="1:10" s="15" customFormat="1" x14ac:dyDescent="0.35">
      <c r="A114" s="15" t="s">
        <v>197</v>
      </c>
      <c r="B114" s="15" t="s">
        <v>198</v>
      </c>
      <c r="C114" s="15" t="s">
        <v>129</v>
      </c>
      <c r="D114" s="16">
        <v>-0.31847882676546541</v>
      </c>
      <c r="E114" s="15" t="s">
        <v>8</v>
      </c>
      <c r="F114" s="15" t="s">
        <v>25</v>
      </c>
      <c r="G114" s="15" t="s">
        <v>26</v>
      </c>
    </row>
    <row r="115" spans="1:10" s="15" customFormat="1" x14ac:dyDescent="0.35">
      <c r="A115" s="15" t="s">
        <v>74</v>
      </c>
      <c r="B115" s="15" t="s">
        <v>75</v>
      </c>
      <c r="C115" s="15" t="s">
        <v>65</v>
      </c>
      <c r="D115" s="16">
        <v>-0.45958264029072021</v>
      </c>
      <c r="E115" s="15" t="s">
        <v>24</v>
      </c>
      <c r="F115" s="15" t="s">
        <v>25</v>
      </c>
      <c r="G115" s="15" t="s">
        <v>26</v>
      </c>
    </row>
    <row r="116" spans="1:10" s="15" customFormat="1" x14ac:dyDescent="0.35">
      <c r="A116" s="15" t="s">
        <v>76</v>
      </c>
      <c r="B116" s="15" t="s">
        <v>77</v>
      </c>
      <c r="C116" s="15" t="s">
        <v>42</v>
      </c>
      <c r="D116" s="16">
        <v>-0.34357030949510842</v>
      </c>
      <c r="E116" s="15" t="s">
        <v>31</v>
      </c>
      <c r="F116" s="15" t="s">
        <v>25</v>
      </c>
      <c r="G116" s="15" t="s">
        <v>26</v>
      </c>
      <c r="J116" s="15" t="s">
        <v>73</v>
      </c>
    </row>
    <row r="117" spans="1:10" x14ac:dyDescent="0.35">
      <c r="A117" s="6" t="s">
        <v>224</v>
      </c>
      <c r="D117" s="16">
        <v>1.9248037158314395</v>
      </c>
      <c r="E117" s="6" t="s">
        <v>104</v>
      </c>
      <c r="F117" s="6" t="s">
        <v>33</v>
      </c>
      <c r="G117" s="6" t="s">
        <v>34</v>
      </c>
      <c r="H117" s="6" t="s">
        <v>112</v>
      </c>
      <c r="J117" s="6" t="s">
        <v>73</v>
      </c>
    </row>
    <row r="118" spans="1:10" x14ac:dyDescent="0.35">
      <c r="A118" s="6" t="s">
        <v>51</v>
      </c>
      <c r="D118" s="16">
        <v>2.290523459690123E-5</v>
      </c>
      <c r="E118" s="6" t="s">
        <v>8</v>
      </c>
      <c r="F118" s="6" t="s">
        <v>33</v>
      </c>
      <c r="G118" s="6" t="s">
        <v>34</v>
      </c>
      <c r="H118" s="6" t="s">
        <v>60</v>
      </c>
      <c r="J118" s="6" t="s">
        <v>73</v>
      </c>
    </row>
    <row r="119" spans="1:10" x14ac:dyDescent="0.35">
      <c r="A119" s="6" t="s">
        <v>48</v>
      </c>
      <c r="D119" s="16">
        <v>4.9424801361843225E-6</v>
      </c>
      <c r="E119" s="6" t="s">
        <v>8</v>
      </c>
      <c r="F119" s="6" t="s">
        <v>33</v>
      </c>
      <c r="G119" s="6" t="s">
        <v>34</v>
      </c>
      <c r="H119" s="6" t="s">
        <v>60</v>
      </c>
      <c r="J119" s="6" t="s">
        <v>73</v>
      </c>
    </row>
    <row r="120" spans="1:10" x14ac:dyDescent="0.35">
      <c r="A120" s="6" t="s">
        <v>55</v>
      </c>
      <c r="D120" s="16">
        <v>1.6069764894763245E-6</v>
      </c>
      <c r="E120" s="6" t="s">
        <v>8</v>
      </c>
      <c r="F120" s="6" t="s">
        <v>33</v>
      </c>
      <c r="G120" s="6" t="s">
        <v>34</v>
      </c>
      <c r="H120" s="6" t="s">
        <v>60</v>
      </c>
      <c r="J120" s="6" t="s">
        <v>73</v>
      </c>
    </row>
    <row r="121" spans="1:10" x14ac:dyDescent="0.35">
      <c r="A121" s="6" t="s">
        <v>49</v>
      </c>
      <c r="D121" s="16">
        <v>1.9124411482133519E-7</v>
      </c>
      <c r="E121" s="6" t="s">
        <v>8</v>
      </c>
      <c r="F121" s="6" t="s">
        <v>33</v>
      </c>
      <c r="G121" s="6" t="s">
        <v>34</v>
      </c>
      <c r="H121" s="6" t="s">
        <v>60</v>
      </c>
      <c r="J121" s="6" t="s">
        <v>73</v>
      </c>
    </row>
    <row r="122" spans="1:10" x14ac:dyDescent="0.35">
      <c r="A122" s="6" t="s">
        <v>52</v>
      </c>
      <c r="D122" s="16">
        <v>2.3915226465408009E-7</v>
      </c>
      <c r="E122" s="6" t="s">
        <v>8</v>
      </c>
      <c r="F122" s="6" t="s">
        <v>33</v>
      </c>
      <c r="G122" s="6" t="s">
        <v>34</v>
      </c>
      <c r="H122" s="6" t="s">
        <v>60</v>
      </c>
      <c r="J122" s="6" t="s">
        <v>73</v>
      </c>
    </row>
    <row r="123" spans="1:10" x14ac:dyDescent="0.35">
      <c r="A123" s="6" t="s">
        <v>54</v>
      </c>
      <c r="D123" s="16">
        <v>1.4319740517478723E-6</v>
      </c>
      <c r="E123" s="6" t="s">
        <v>8</v>
      </c>
      <c r="F123" s="6" t="s">
        <v>33</v>
      </c>
      <c r="G123" s="6" t="s">
        <v>34</v>
      </c>
      <c r="H123" s="6" t="s">
        <v>60</v>
      </c>
      <c r="J123" s="6" t="s">
        <v>73</v>
      </c>
    </row>
    <row r="124" spans="1:10" x14ac:dyDescent="0.35">
      <c r="A124" s="6" t="s">
        <v>59</v>
      </c>
      <c r="D124" s="16">
        <v>4.9981397771562746E-5</v>
      </c>
      <c r="E124" s="6" t="s">
        <v>8</v>
      </c>
      <c r="F124" s="6" t="s">
        <v>33</v>
      </c>
      <c r="G124" s="6" t="s">
        <v>34</v>
      </c>
      <c r="H124" s="6" t="s">
        <v>60</v>
      </c>
      <c r="J124" s="6" t="s">
        <v>73</v>
      </c>
    </row>
    <row r="125" spans="1:10" x14ac:dyDescent="0.35">
      <c r="A125" s="6" t="s">
        <v>199</v>
      </c>
      <c r="D125" s="16">
        <v>6.2445313548565375E-12</v>
      </c>
      <c r="E125" s="6" t="s">
        <v>8</v>
      </c>
      <c r="F125" s="6" t="s">
        <v>33</v>
      </c>
      <c r="G125" s="6" t="s">
        <v>34</v>
      </c>
      <c r="H125" s="6" t="s">
        <v>35</v>
      </c>
      <c r="J125" s="6" t="s">
        <v>73</v>
      </c>
    </row>
    <row r="126" spans="1:10" x14ac:dyDescent="0.35">
      <c r="A126" s="6" t="s">
        <v>200</v>
      </c>
      <c r="D126" s="16">
        <v>7.6693559450116203E-2</v>
      </c>
      <c r="E126" s="6" t="s">
        <v>8</v>
      </c>
      <c r="F126" s="6" t="s">
        <v>33</v>
      </c>
      <c r="G126" s="6" t="s">
        <v>34</v>
      </c>
      <c r="H126" s="6" t="s">
        <v>35</v>
      </c>
      <c r="J126" s="6" t="s">
        <v>73</v>
      </c>
    </row>
    <row r="127" spans="1:10" x14ac:dyDescent="0.35">
      <c r="A127" s="6" t="s">
        <v>51</v>
      </c>
      <c r="D127" s="16">
        <v>1.9135534333250811E-5</v>
      </c>
      <c r="E127" s="6" t="s">
        <v>8</v>
      </c>
      <c r="F127" s="6" t="s">
        <v>33</v>
      </c>
      <c r="G127" s="6" t="s">
        <v>34</v>
      </c>
      <c r="H127" s="6" t="s">
        <v>35</v>
      </c>
      <c r="J127" s="6" t="s">
        <v>73</v>
      </c>
    </row>
    <row r="128" spans="1:10" x14ac:dyDescent="0.35">
      <c r="A128" s="6" t="s">
        <v>59</v>
      </c>
      <c r="D128" s="16">
        <v>3.7745548977895083E-5</v>
      </c>
      <c r="E128" s="6" t="s">
        <v>8</v>
      </c>
      <c r="F128" s="6" t="s">
        <v>33</v>
      </c>
      <c r="G128" s="6" t="s">
        <v>34</v>
      </c>
      <c r="H128" s="6" t="s">
        <v>35</v>
      </c>
      <c r="J128" s="6" t="s">
        <v>73</v>
      </c>
    </row>
    <row r="129" spans="1:14" x14ac:dyDescent="0.35">
      <c r="A129" s="6" t="s">
        <v>49</v>
      </c>
      <c r="D129" s="16">
        <v>2.5163699318596724E-7</v>
      </c>
      <c r="E129" s="6" t="s">
        <v>8</v>
      </c>
      <c r="F129" s="6" t="s">
        <v>33</v>
      </c>
      <c r="G129" s="6" t="s">
        <v>34</v>
      </c>
      <c r="H129" s="6" t="s">
        <v>35</v>
      </c>
      <c r="J129" s="6" t="s">
        <v>73</v>
      </c>
    </row>
    <row r="130" spans="1:14" x14ac:dyDescent="0.35">
      <c r="A130" s="6" t="s">
        <v>48</v>
      </c>
      <c r="D130" s="16">
        <v>6.1116689856042715E-6</v>
      </c>
      <c r="E130" s="6" t="s">
        <v>8</v>
      </c>
      <c r="F130" s="6" t="s">
        <v>33</v>
      </c>
      <c r="G130" s="6" t="s">
        <v>34</v>
      </c>
      <c r="H130" s="6" t="s">
        <v>35</v>
      </c>
      <c r="J130" s="6" t="s">
        <v>73</v>
      </c>
    </row>
    <row r="131" spans="1:14" x14ac:dyDescent="0.35">
      <c r="A131" s="6" t="s">
        <v>52</v>
      </c>
      <c r="D131" s="16">
        <v>6.1116689856042713E-7</v>
      </c>
      <c r="E131" s="6" t="s">
        <v>8</v>
      </c>
      <c r="F131" s="6" t="s">
        <v>33</v>
      </c>
      <c r="G131" s="6" t="s">
        <v>34</v>
      </c>
      <c r="H131" s="6" t="s">
        <v>35</v>
      </c>
      <c r="J131" s="6" t="s">
        <v>73</v>
      </c>
    </row>
    <row r="132" spans="1:14" x14ac:dyDescent="0.35">
      <c r="A132" s="6" t="s">
        <v>55</v>
      </c>
      <c r="D132" s="16">
        <v>1.0190582616191327E-5</v>
      </c>
      <c r="E132" s="6" t="s">
        <v>8</v>
      </c>
      <c r="F132" s="6" t="s">
        <v>33</v>
      </c>
      <c r="G132" s="6" t="s">
        <v>34</v>
      </c>
      <c r="H132" s="6" t="s">
        <v>35</v>
      </c>
      <c r="J132" s="6" t="s">
        <v>73</v>
      </c>
    </row>
    <row r="133" spans="1:14" s="13" customFormat="1" x14ac:dyDescent="0.35"/>
    <row r="134" spans="1:14" x14ac:dyDescent="0.35">
      <c r="A134" s="14" t="s">
        <v>0</v>
      </c>
      <c r="B134" s="14" t="s">
        <v>201</v>
      </c>
    </row>
    <row r="135" spans="1:14" x14ac:dyDescent="0.35">
      <c r="A135" s="8" t="s">
        <v>2</v>
      </c>
      <c r="B135" s="6" t="s">
        <v>38</v>
      </c>
    </row>
    <row r="136" spans="1:14" x14ac:dyDescent="0.35">
      <c r="A136" s="8" t="s">
        <v>4</v>
      </c>
      <c r="B136" s="6" t="s">
        <v>65</v>
      </c>
    </row>
    <row r="137" spans="1:14" x14ac:dyDescent="0.35">
      <c r="A137" s="8" t="s">
        <v>6</v>
      </c>
      <c r="B137" s="6">
        <v>1</v>
      </c>
    </row>
    <row r="138" spans="1:14" x14ac:dyDescent="0.35">
      <c r="A138" s="8" t="s">
        <v>7</v>
      </c>
      <c r="B138" s="6" t="s">
        <v>8</v>
      </c>
    </row>
    <row r="139" spans="1:14" x14ac:dyDescent="0.35">
      <c r="A139" s="8" t="s">
        <v>9</v>
      </c>
      <c r="B139" s="16" t="s">
        <v>202</v>
      </c>
    </row>
    <row r="140" spans="1:14" x14ac:dyDescent="0.35">
      <c r="A140" s="8" t="s">
        <v>10</v>
      </c>
    </row>
    <row r="141" spans="1:14" x14ac:dyDescent="0.35">
      <c r="A141" s="14" t="s">
        <v>11</v>
      </c>
      <c r="B141" s="14" t="s">
        <v>2</v>
      </c>
      <c r="C141" s="14" t="s">
        <v>4</v>
      </c>
      <c r="D141" s="14" t="s">
        <v>6</v>
      </c>
      <c r="E141" s="14" t="s">
        <v>7</v>
      </c>
      <c r="F141" s="14" t="s">
        <v>12</v>
      </c>
      <c r="G141" s="14" t="s">
        <v>13</v>
      </c>
      <c r="H141" s="14" t="s">
        <v>14</v>
      </c>
      <c r="I141" s="14" t="s">
        <v>15</v>
      </c>
      <c r="J141" s="14" t="s">
        <v>16</v>
      </c>
      <c r="K141" s="14" t="s">
        <v>17</v>
      </c>
      <c r="L141" s="14" t="s">
        <v>18</v>
      </c>
      <c r="M141" s="14" t="s">
        <v>19</v>
      </c>
      <c r="N141" s="14" t="s">
        <v>20</v>
      </c>
    </row>
    <row r="142" spans="1:14" x14ac:dyDescent="0.35">
      <c r="A142" s="6" t="str">
        <f>B134</f>
        <v>Se recovery from Cu production in Sweden/Rönnskärsverken</v>
      </c>
      <c r="B142" s="6" t="str">
        <f>B135</f>
        <v>Refined Se</v>
      </c>
      <c r="C142" s="6" t="s">
        <v>65</v>
      </c>
      <c r="D142" s="6">
        <v>1</v>
      </c>
      <c r="E142" s="6" t="s">
        <v>8</v>
      </c>
      <c r="F142" s="10" t="str">
        <f>F60</f>
        <v>Selenium</v>
      </c>
      <c r="G142" s="6" t="s">
        <v>21</v>
      </c>
    </row>
    <row r="143" spans="1:14" x14ac:dyDescent="0.35">
      <c r="A143" s="6" t="str">
        <f>A60</f>
        <v>[P+R] Selenium (Se) production - Pyrometallurgy (Sweden)</v>
      </c>
      <c r="B143" s="6" t="str">
        <f>B60</f>
        <v>Refined Se</v>
      </c>
      <c r="C143" s="6" t="str">
        <f>C60</f>
        <v>SE</v>
      </c>
      <c r="D143" s="6">
        <v>1</v>
      </c>
      <c r="E143" s="6" t="str">
        <f>E60</f>
        <v>kilogram</v>
      </c>
      <c r="F143" s="10" t="str">
        <f>F60</f>
        <v>Selenium</v>
      </c>
      <c r="G143" s="6" t="s">
        <v>26</v>
      </c>
    </row>
    <row r="144" spans="1:14" x14ac:dyDescent="0.35">
      <c r="A144" s="6" t="str">
        <f>A9</f>
        <v>[M+C] Copper (Cu) ore mining and concentration (Sweden)</v>
      </c>
      <c r="B144" s="6" t="str">
        <f t="shared" ref="B144:F144" si="0">B9</f>
        <v>Cu concentrate</v>
      </c>
      <c r="C144" s="6" t="str">
        <f t="shared" si="0"/>
        <v>SE</v>
      </c>
      <c r="D144" s="16">
        <v>8.1482365264507237</v>
      </c>
      <c r="E144" s="6" t="str">
        <f t="shared" si="0"/>
        <v>kilogram</v>
      </c>
      <c r="F144" s="10" t="str">
        <f t="shared" si="0"/>
        <v>Selenium</v>
      </c>
      <c r="G144" s="6" t="s">
        <v>26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7A692D-5811-40B9-8262-2696DBE616CE}">
  <sheetPr>
    <tabColor theme="8" tint="0.39997558519241921"/>
  </sheetPr>
  <dimension ref="A1:N33"/>
  <sheetViews>
    <sheetView topLeftCell="A23" workbookViewId="0">
      <selection activeCell="B4" sqref="B4"/>
    </sheetView>
  </sheetViews>
  <sheetFormatPr baseColWidth="10" defaultColWidth="9.1796875" defaultRowHeight="14.5" x14ac:dyDescent="0.35"/>
  <cols>
    <col min="1" max="1" width="60.81640625" style="6" bestFit="1" customWidth="1"/>
    <col min="2" max="2" width="58.453125" style="6" customWidth="1"/>
    <col min="3" max="3" width="8.1796875" style="6" bestFit="1" customWidth="1"/>
    <col min="4" max="4" width="12.7265625" style="6" bestFit="1" customWidth="1"/>
    <col min="5" max="5" width="12.81640625" style="6" bestFit="1" customWidth="1"/>
    <col min="6" max="6" width="19.7265625" style="6" bestFit="1" customWidth="1"/>
    <col min="7" max="7" width="13.26953125" style="6" bestFit="1" customWidth="1"/>
    <col min="8" max="8" width="25.26953125" style="6" bestFit="1" customWidth="1"/>
    <col min="9" max="9" width="15.54296875" style="6" bestFit="1" customWidth="1"/>
    <col min="10" max="10" width="9.7265625" style="6" bestFit="1" customWidth="1"/>
    <col min="11" max="11" width="3.54296875" style="6" bestFit="1" customWidth="1"/>
    <col min="12" max="12" width="5.453125" style="6" bestFit="1" customWidth="1"/>
    <col min="13" max="13" width="9.54296875" style="6" bestFit="1" customWidth="1"/>
    <col min="14" max="14" width="9.81640625" style="6" bestFit="1" customWidth="1"/>
    <col min="15" max="16384" width="9.1796875" style="6"/>
  </cols>
  <sheetData>
    <row r="1" spans="1:14" x14ac:dyDescent="0.35">
      <c r="A1" s="14" t="s">
        <v>0</v>
      </c>
      <c r="B1" s="14" t="s">
        <v>204</v>
      </c>
    </row>
    <row r="2" spans="1:14" x14ac:dyDescent="0.35">
      <c r="A2" s="8" t="s">
        <v>2</v>
      </c>
      <c r="B2" s="6" t="s">
        <v>38</v>
      </c>
    </row>
    <row r="3" spans="1:14" x14ac:dyDescent="0.35">
      <c r="A3" s="8" t="s">
        <v>4</v>
      </c>
      <c r="B3" s="6" t="s">
        <v>64</v>
      </c>
    </row>
    <row r="4" spans="1:14" x14ac:dyDescent="0.35">
      <c r="A4" s="8" t="s">
        <v>6</v>
      </c>
      <c r="B4" s="6">
        <v>1</v>
      </c>
    </row>
    <row r="5" spans="1:14" x14ac:dyDescent="0.35">
      <c r="A5" s="8" t="s">
        <v>7</v>
      </c>
      <c r="B5" s="6" t="s">
        <v>8</v>
      </c>
    </row>
    <row r="6" spans="1:14" ht="43.5" x14ac:dyDescent="0.35">
      <c r="A6" s="8" t="s">
        <v>9</v>
      </c>
      <c r="B6" s="12" t="s">
        <v>205</v>
      </c>
    </row>
    <row r="7" spans="1:14" x14ac:dyDescent="0.35">
      <c r="A7" s="8" t="s">
        <v>10</v>
      </c>
    </row>
    <row r="8" spans="1:14" x14ac:dyDescent="0.35">
      <c r="A8" s="14" t="s">
        <v>11</v>
      </c>
      <c r="B8" s="14" t="s">
        <v>2</v>
      </c>
      <c r="C8" s="14" t="s">
        <v>4</v>
      </c>
      <c r="D8" s="14" t="s">
        <v>6</v>
      </c>
      <c r="E8" s="14" t="s">
        <v>7</v>
      </c>
      <c r="F8" s="14" t="s">
        <v>12</v>
      </c>
      <c r="G8" s="14" t="s">
        <v>13</v>
      </c>
      <c r="H8" s="14" t="s">
        <v>14</v>
      </c>
      <c r="I8" s="14" t="s">
        <v>15</v>
      </c>
      <c r="J8" s="14" t="s">
        <v>16</v>
      </c>
      <c r="K8" s="14" t="s">
        <v>17</v>
      </c>
      <c r="L8" s="14" t="s">
        <v>18</v>
      </c>
      <c r="M8" s="14" t="s">
        <v>19</v>
      </c>
      <c r="N8" s="14" t="s">
        <v>20</v>
      </c>
    </row>
    <row r="9" spans="1:14" x14ac:dyDescent="0.35">
      <c r="A9" s="6" t="str">
        <f>B1</f>
        <v>[P+R] Selenium (Se) production (from anode slime)</v>
      </c>
      <c r="B9" s="6" t="str">
        <f>B2</f>
        <v>Refined Se</v>
      </c>
      <c r="C9" s="6" t="str">
        <f>B3</f>
        <v>CN</v>
      </c>
      <c r="D9" s="6">
        <v>1</v>
      </c>
      <c r="E9" s="6" t="s">
        <v>8</v>
      </c>
      <c r="F9" s="10" t="str">
        <f>Se_Market_GLO!B1</f>
        <v>Selenium</v>
      </c>
      <c r="G9" s="6" t="s">
        <v>21</v>
      </c>
    </row>
    <row r="10" spans="1:14" x14ac:dyDescent="0.35">
      <c r="A10" s="6" t="s">
        <v>195</v>
      </c>
      <c r="B10" s="6" t="s">
        <v>196</v>
      </c>
      <c r="C10" s="6" t="s">
        <v>42</v>
      </c>
      <c r="D10" s="16">
        <v>9.2818744745333959E-3</v>
      </c>
      <c r="E10" s="6" t="s">
        <v>8</v>
      </c>
      <c r="F10" s="6" t="s">
        <v>25</v>
      </c>
      <c r="G10" s="6" t="s">
        <v>26</v>
      </c>
      <c r="J10" s="6" t="s">
        <v>206</v>
      </c>
    </row>
    <row r="11" spans="1:14" x14ac:dyDescent="0.35">
      <c r="A11" s="6" t="s">
        <v>125</v>
      </c>
      <c r="B11" s="6" t="s">
        <v>126</v>
      </c>
      <c r="C11" s="6" t="s">
        <v>30</v>
      </c>
      <c r="D11" s="16">
        <v>1.1474664607840631E-2</v>
      </c>
      <c r="E11" s="6" t="s">
        <v>8</v>
      </c>
      <c r="F11" s="6" t="s">
        <v>25</v>
      </c>
      <c r="G11" s="6" t="s">
        <v>26</v>
      </c>
      <c r="J11" s="6" t="s">
        <v>206</v>
      </c>
    </row>
    <row r="12" spans="1:14" x14ac:dyDescent="0.35">
      <c r="A12" s="6" t="s">
        <v>134</v>
      </c>
      <c r="B12" s="6" t="s">
        <v>135</v>
      </c>
      <c r="C12" s="6" t="s">
        <v>30</v>
      </c>
      <c r="D12" s="16">
        <v>1.3116914483319659E-2</v>
      </c>
      <c r="E12" s="6" t="s">
        <v>8</v>
      </c>
      <c r="F12" s="6" t="s">
        <v>25</v>
      </c>
      <c r="G12" s="6" t="s">
        <v>26</v>
      </c>
      <c r="J12" s="6" t="s">
        <v>206</v>
      </c>
    </row>
    <row r="13" spans="1:14" x14ac:dyDescent="0.35">
      <c r="A13" s="6" t="s">
        <v>140</v>
      </c>
      <c r="B13" s="6" t="s">
        <v>141</v>
      </c>
      <c r="C13" s="6" t="s">
        <v>42</v>
      </c>
      <c r="D13" s="16">
        <v>0.16789135139258859</v>
      </c>
      <c r="E13" s="6" t="s">
        <v>8</v>
      </c>
      <c r="F13" s="6" t="s">
        <v>25</v>
      </c>
      <c r="G13" s="6" t="s">
        <v>26</v>
      </c>
      <c r="J13" s="6" t="s">
        <v>206</v>
      </c>
    </row>
    <row r="14" spans="1:14" x14ac:dyDescent="0.35">
      <c r="A14" s="6" t="s">
        <v>163</v>
      </c>
      <c r="B14" s="6" t="s">
        <v>164</v>
      </c>
      <c r="C14" s="6" t="s">
        <v>42</v>
      </c>
      <c r="D14" s="16">
        <v>7.571685588513866E-3</v>
      </c>
      <c r="E14" s="6" t="s">
        <v>8</v>
      </c>
      <c r="F14" s="6" t="s">
        <v>25</v>
      </c>
      <c r="G14" s="6" t="s">
        <v>26</v>
      </c>
      <c r="J14" s="6" t="s">
        <v>206</v>
      </c>
    </row>
    <row r="15" spans="1:14" x14ac:dyDescent="0.35">
      <c r="A15" s="6" t="s">
        <v>161</v>
      </c>
      <c r="B15" s="6" t="s">
        <v>162</v>
      </c>
      <c r="C15" s="6" t="s">
        <v>42</v>
      </c>
      <c r="D15" s="16">
        <v>1.9936585506885214E-3</v>
      </c>
      <c r="E15" s="6" t="s">
        <v>8</v>
      </c>
      <c r="F15" s="6" t="s">
        <v>25</v>
      </c>
      <c r="G15" s="6" t="s">
        <v>26</v>
      </c>
      <c r="J15" s="6" t="s">
        <v>206</v>
      </c>
    </row>
    <row r="16" spans="1:14" x14ac:dyDescent="0.35">
      <c r="A16" s="6" t="s">
        <v>207</v>
      </c>
      <c r="B16" s="6" t="s">
        <v>208</v>
      </c>
      <c r="C16" s="6" t="s">
        <v>42</v>
      </c>
      <c r="D16" s="16">
        <v>3.9826316523742475E-4</v>
      </c>
      <c r="E16" s="6" t="s">
        <v>8</v>
      </c>
      <c r="F16" s="6" t="s">
        <v>25</v>
      </c>
      <c r="G16" s="6" t="s">
        <v>26</v>
      </c>
      <c r="J16" s="6" t="s">
        <v>206</v>
      </c>
    </row>
    <row r="17" spans="1:14" x14ac:dyDescent="0.35">
      <c r="A17" s="6" t="s">
        <v>209</v>
      </c>
      <c r="B17" s="6" t="s">
        <v>210</v>
      </c>
      <c r="C17" s="6" t="s">
        <v>30</v>
      </c>
      <c r="D17" s="16">
        <v>1.4056347008379704E-5</v>
      </c>
      <c r="E17" s="6" t="s">
        <v>8</v>
      </c>
      <c r="F17" s="6" t="s">
        <v>25</v>
      </c>
      <c r="G17" s="6" t="s">
        <v>26</v>
      </c>
      <c r="J17" s="6" t="s">
        <v>206</v>
      </c>
    </row>
    <row r="18" spans="1:14" x14ac:dyDescent="0.35">
      <c r="A18" s="6" t="s">
        <v>22</v>
      </c>
      <c r="B18" s="6" t="s">
        <v>23</v>
      </c>
      <c r="C18" s="6" t="s">
        <v>64</v>
      </c>
      <c r="D18" s="16">
        <v>0.73697427364934809</v>
      </c>
      <c r="E18" s="6" t="s">
        <v>24</v>
      </c>
      <c r="F18" s="6" t="s">
        <v>25</v>
      </c>
      <c r="G18" s="6" t="s">
        <v>26</v>
      </c>
      <c r="J18" s="6" t="s">
        <v>206</v>
      </c>
    </row>
    <row r="19" spans="1:14" x14ac:dyDescent="0.35">
      <c r="A19" s="6" t="s">
        <v>211</v>
      </c>
      <c r="B19" s="6" t="s">
        <v>212</v>
      </c>
      <c r="C19" s="6" t="s">
        <v>30</v>
      </c>
      <c r="D19" s="16">
        <v>-0.11253277142458654</v>
      </c>
      <c r="E19" s="6" t="s">
        <v>8</v>
      </c>
      <c r="F19" s="6" t="s">
        <v>25</v>
      </c>
      <c r="G19" s="6" t="s">
        <v>26</v>
      </c>
      <c r="J19" s="6" t="s">
        <v>206</v>
      </c>
    </row>
    <row r="20" spans="1:14" x14ac:dyDescent="0.35">
      <c r="A20" s="6" t="s">
        <v>213</v>
      </c>
      <c r="D20" s="16">
        <v>2.6843171609452582E-4</v>
      </c>
      <c r="E20" s="6" t="s">
        <v>104</v>
      </c>
      <c r="F20" s="6" t="s">
        <v>33</v>
      </c>
      <c r="G20" s="6" t="s">
        <v>34</v>
      </c>
      <c r="H20" s="6" t="s">
        <v>110</v>
      </c>
      <c r="J20" s="6" t="s">
        <v>206</v>
      </c>
    </row>
    <row r="21" spans="1:14" x14ac:dyDescent="0.35">
      <c r="A21" s="6" t="s">
        <v>115</v>
      </c>
      <c r="D21" s="16">
        <v>0.26238045870741838</v>
      </c>
      <c r="E21" s="6" t="s">
        <v>8</v>
      </c>
      <c r="F21" s="6" t="s">
        <v>33</v>
      </c>
      <c r="G21" s="6" t="s">
        <v>34</v>
      </c>
      <c r="H21" s="6" t="s">
        <v>35</v>
      </c>
      <c r="J21" s="6" t="s">
        <v>206</v>
      </c>
    </row>
    <row r="22" spans="1:14" s="18" customFormat="1" x14ac:dyDescent="0.35"/>
    <row r="23" spans="1:14" x14ac:dyDescent="0.35">
      <c r="A23" s="14" t="s">
        <v>0</v>
      </c>
      <c r="B23" s="14" t="s">
        <v>214</v>
      </c>
    </row>
    <row r="24" spans="1:14" x14ac:dyDescent="0.35">
      <c r="A24" s="8" t="s">
        <v>2</v>
      </c>
      <c r="B24" s="6" t="s">
        <v>38</v>
      </c>
    </row>
    <row r="25" spans="1:14" x14ac:dyDescent="0.35">
      <c r="A25" s="8" t="s">
        <v>4</v>
      </c>
      <c r="B25" s="6" t="s">
        <v>64</v>
      </c>
    </row>
    <row r="26" spans="1:14" x14ac:dyDescent="0.35">
      <c r="A26" s="8" t="s">
        <v>6</v>
      </c>
      <c r="B26" s="6">
        <v>1</v>
      </c>
    </row>
    <row r="27" spans="1:14" x14ac:dyDescent="0.35">
      <c r="A27" s="8" t="s">
        <v>7</v>
      </c>
      <c r="B27" s="6" t="s">
        <v>8</v>
      </c>
    </row>
    <row r="28" spans="1:14" ht="43.5" x14ac:dyDescent="0.35">
      <c r="A28" s="8" t="s">
        <v>9</v>
      </c>
      <c r="B28" s="12" t="s">
        <v>225</v>
      </c>
    </row>
    <row r="29" spans="1:14" x14ac:dyDescent="0.35">
      <c r="A29" s="8" t="s">
        <v>10</v>
      </c>
    </row>
    <row r="30" spans="1:14" x14ac:dyDescent="0.35">
      <c r="A30" s="14" t="s">
        <v>11</v>
      </c>
      <c r="B30" s="14" t="s">
        <v>2</v>
      </c>
      <c r="C30" s="14" t="s">
        <v>4</v>
      </c>
      <c r="D30" s="14" t="s">
        <v>6</v>
      </c>
      <c r="E30" s="14" t="s">
        <v>7</v>
      </c>
      <c r="F30" s="14" t="s">
        <v>12</v>
      </c>
      <c r="G30" s="14" t="s">
        <v>13</v>
      </c>
      <c r="H30" s="14" t="s">
        <v>14</v>
      </c>
      <c r="I30" s="14" t="s">
        <v>15</v>
      </c>
      <c r="J30" s="14" t="s">
        <v>16</v>
      </c>
      <c r="K30" s="14" t="s">
        <v>17</v>
      </c>
      <c r="L30" s="14" t="s">
        <v>18</v>
      </c>
      <c r="M30" s="14" t="s">
        <v>19</v>
      </c>
      <c r="N30" s="14" t="s">
        <v>20</v>
      </c>
    </row>
    <row r="31" spans="1:14" x14ac:dyDescent="0.35">
      <c r="A31" s="6" t="str">
        <f>B23</f>
        <v>Se production in China through Cu anode slime processing</v>
      </c>
      <c r="B31" s="6" t="str">
        <f>B24</f>
        <v>Refined Se</v>
      </c>
      <c r="C31" s="6" t="str">
        <f>B25</f>
        <v>CN</v>
      </c>
      <c r="D31" s="6">
        <v>1</v>
      </c>
      <c r="E31" s="6" t="s">
        <v>8</v>
      </c>
      <c r="F31" s="10" t="str">
        <f>F9</f>
        <v>Selenium</v>
      </c>
      <c r="G31" s="6" t="s">
        <v>21</v>
      </c>
    </row>
    <row r="32" spans="1:14" x14ac:dyDescent="0.35">
      <c r="A32" s="6" t="str">
        <f>A9</f>
        <v>[P+R] Selenium (Se) production (from anode slime)</v>
      </c>
      <c r="B32" s="6" t="str">
        <f>B9</f>
        <v>Refined Se</v>
      </c>
      <c r="C32" s="6" t="str">
        <f>C9</f>
        <v>CN</v>
      </c>
      <c r="D32" s="6">
        <v>1</v>
      </c>
      <c r="E32" s="6" t="str">
        <f>E9</f>
        <v>kilogram</v>
      </c>
      <c r="F32" s="10" t="str">
        <f>F9</f>
        <v>Selenium</v>
      </c>
      <c r="G32" s="6" t="s">
        <v>26</v>
      </c>
    </row>
    <row r="33" spans="1:7" x14ac:dyDescent="0.35">
      <c r="A33" s="30" t="s">
        <v>226</v>
      </c>
      <c r="B33" s="30" t="s">
        <v>227</v>
      </c>
      <c r="C33" s="30" t="s">
        <v>30</v>
      </c>
      <c r="D33" s="16">
        <v>0.23427245013966172</v>
      </c>
      <c r="E33" s="30" t="s">
        <v>8</v>
      </c>
      <c r="F33" s="30" t="s">
        <v>25</v>
      </c>
      <c r="G33" s="30" t="s">
        <v>26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741122952C13D46BBBC92EEAE11CF32" ma:contentTypeVersion="13" ma:contentTypeDescription="Crée un document." ma:contentTypeScope="" ma:versionID="d96b5fa62e5213e7d24e66b2bac0c378">
  <xsd:schema xmlns:xsd="http://www.w3.org/2001/XMLSchema" xmlns:xs="http://www.w3.org/2001/XMLSchema" xmlns:p="http://schemas.microsoft.com/office/2006/metadata/properties" xmlns:ns2="d78c010b-218d-4be4-b2d9-423b1f51aae5" xmlns:ns3="adc0c41a-12c1-4165-8422-5f5ca88e9f6a" targetNamespace="http://schemas.microsoft.com/office/2006/metadata/properties" ma:root="true" ma:fieldsID="c2e8fc9a9c70fab2c0f7259df75af726" ns2:_="" ns3:_="">
    <xsd:import namespace="d78c010b-218d-4be4-b2d9-423b1f51aae5"/>
    <xsd:import namespace="adc0c41a-12c1-4165-8422-5f5ca88e9f6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SearchProperties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78c010b-218d-4be4-b2d9-423b1f51aae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Balises d’images" ma:readOnly="false" ma:fieldId="{5cf76f15-5ced-4ddc-b409-7134ff3c332f}" ma:taxonomyMulti="true" ma:sspId="dd53d8bb-88b5-477e-9788-ab5cb1008ff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dc0c41a-12c1-4165-8422-5f5ca88e9f6a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Partagé avec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Partagé avec dé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5" nillable="true" ma:displayName="Taxonomy Catch All Column" ma:hidden="true" ma:list="{9f8ce134-c725-4f6f-a6f6-5df0359a5c7e}" ma:internalName="TaxCatchAll" ma:showField="CatchAllData" ma:web="adc0c41a-12c1-4165-8422-5f5ca88e9f6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d78c010b-218d-4be4-b2d9-423b1f51aae5">
      <Terms xmlns="http://schemas.microsoft.com/office/infopath/2007/PartnerControls"/>
    </lcf76f155ced4ddcb4097134ff3c332f>
    <TaxCatchAll xmlns="adc0c41a-12c1-4165-8422-5f5ca88e9f6a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E0D8954-3FDD-4AC9-9FD6-EDFB6AB3DF4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78c010b-218d-4be4-b2d9-423b1f51aae5"/>
    <ds:schemaRef ds:uri="adc0c41a-12c1-4165-8422-5f5ca88e9f6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3A6FD4EB-801F-45D6-AB1E-81B37DE594B5}">
  <ds:schemaRefs>
    <ds:schemaRef ds:uri="http://schemas.microsoft.com/office/2006/metadata/properties"/>
    <ds:schemaRef ds:uri="http://schemas.microsoft.com/office/infopath/2007/PartnerControls"/>
    <ds:schemaRef ds:uri="d78c010b-218d-4be4-b2d9-423b1f51aae5"/>
    <ds:schemaRef ds:uri="adc0c41a-12c1-4165-8422-5f5ca88e9f6a"/>
  </ds:schemaRefs>
</ds:datastoreItem>
</file>

<file path=customXml/itemProps3.xml><?xml version="1.0" encoding="utf-8"?>
<ds:datastoreItem xmlns:ds="http://schemas.openxmlformats.org/officeDocument/2006/customXml" ds:itemID="{1E6DF275-D946-481E-B335-16D92AC31B07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5</vt:i4>
      </vt:variant>
    </vt:vector>
  </HeadingPairs>
  <TitlesOfParts>
    <vt:vector size="5" baseType="lpstr">
      <vt:lpstr>Note</vt:lpstr>
      <vt:lpstr>Se_Market_GLO</vt:lpstr>
      <vt:lpstr>PR1_Se_US</vt:lpstr>
      <vt:lpstr>PR2_Se_SE_Pyro</vt:lpstr>
      <vt:lpstr>PR3_Se_CN_CuSlime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Lai Frederic</cp:lastModifiedBy>
  <dcterms:created xsi:type="dcterms:W3CDTF">2015-06-05T18:19:34Z</dcterms:created>
  <dcterms:modified xsi:type="dcterms:W3CDTF">2025-07-04T15:09:34Z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0x0101004741122952C13D46BBBC92EEAE11CF32</vt:lpwstr>
  </property>
  <property fmtid="{D5CDD505-2E9C-101B-9397-08002B2CF9AE}" pid="3" name="MediaServiceImageTags">
    <vt:lpwstr/>
  </property>
</Properties>
</file>