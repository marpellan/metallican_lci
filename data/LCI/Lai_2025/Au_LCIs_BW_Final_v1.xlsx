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Au_Gold/"/>
    </mc:Choice>
  </mc:AlternateContent>
  <xr:revisionPtr revIDLastSave="127" documentId="8_{5125F627-1EF9-49DB-9A31-01350D7FED25}" xr6:coauthVersionLast="47" xr6:coauthVersionMax="47" xr10:uidLastSave="{A07CAA50-E429-4883-9868-A4BB49650B0B}"/>
  <bookViews>
    <workbookView xWindow="-110" yWindow="-110" windowWidth="19420" windowHeight="10420" tabRatio="865" firstSheet="9" activeTab="12" xr2:uid="{00000000-000D-0000-FFFF-FFFF00000000}"/>
  </bookViews>
  <sheets>
    <sheet name="Note" sheetId="1" r:id="rId1"/>
    <sheet name="Au_Market_GLO" sheetId="15" r:id="rId2"/>
    <sheet name="PR1_Au_CN_Qinghai" sheetId="2" r:id="rId3"/>
    <sheet name="PR2_Au_PE_Alluvial_Carretilla" sheetId="3" r:id="rId4"/>
    <sheet name="PR3_Au_PE_Alluvial_Traca" sheetId="4" r:id="rId5"/>
    <sheet name="PR4_Au_PE_Alluvial_Caranchera" sheetId="5" r:id="rId6"/>
    <sheet name="PR5_Au_PE_Alluvial_Dredge" sheetId="6" r:id="rId7"/>
    <sheet name="PR6_Au_PE_Alluvial_PartialChute" sheetId="7" r:id="rId8"/>
    <sheet name="PR7_Au_PE_Alluvial_Chute" sheetId="8" r:id="rId9"/>
    <sheet name="PR8_Au_CO_OpenPit" sheetId="16" r:id="rId10"/>
    <sheet name="PR9_Au_CO_Alluvial" sheetId="17" r:id="rId11"/>
    <sheet name="PR10_Au_PE_OpenPit" sheetId="18" r:id="rId12"/>
    <sheet name="PR11_Au_CN_CuSlime" sheetId="19" r:id="rId13"/>
    <sheet name="PR12_Au_AU" sheetId="23" r:id="rId14"/>
    <sheet name="PR13_Au_ZA" sheetId="25" r:id="rId15"/>
    <sheet name="PR14_Au_RER_Recycling_WEEE" sheetId="2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9" l="1"/>
  <c r="B24" i="15"/>
  <c r="C24" i="15"/>
  <c r="E24" i="15"/>
  <c r="F24" i="15"/>
  <c r="A24" i="15"/>
  <c r="B23" i="15" l="1"/>
  <c r="C23" i="15"/>
  <c r="E23" i="15"/>
  <c r="F23" i="15"/>
  <c r="A23" i="15"/>
  <c r="E22" i="15"/>
  <c r="B21" i="15"/>
  <c r="C21" i="15"/>
  <c r="E21" i="15"/>
  <c r="F21" i="15"/>
  <c r="A21" i="15"/>
  <c r="B20" i="15"/>
  <c r="C20" i="15"/>
  <c r="E20" i="15"/>
  <c r="F20" i="15"/>
  <c r="A20" i="15"/>
  <c r="B19" i="15"/>
  <c r="C19" i="15"/>
  <c r="E19" i="15"/>
  <c r="F19" i="15"/>
  <c r="A19" i="15"/>
  <c r="B25" i="15"/>
  <c r="C25" i="15"/>
  <c r="E25" i="15"/>
  <c r="F25" i="15"/>
  <c r="A25" i="15"/>
  <c r="F9" i="26" l="1"/>
  <c r="F19" i="26" s="1"/>
  <c r="F45" i="26" s="1"/>
  <c r="E141" i="26"/>
  <c r="C141" i="26"/>
  <c r="E140" i="26"/>
  <c r="C140" i="26"/>
  <c r="E139" i="26"/>
  <c r="C139" i="26"/>
  <c r="E138" i="26"/>
  <c r="C138" i="26"/>
  <c r="E137" i="26"/>
  <c r="C137" i="26"/>
  <c r="B136" i="26"/>
  <c r="A136" i="26"/>
  <c r="B115" i="26"/>
  <c r="B137" i="26" s="1"/>
  <c r="A115" i="26"/>
  <c r="A137" i="26" s="1"/>
  <c r="B70" i="26"/>
  <c r="B138" i="26" s="1"/>
  <c r="A70" i="26"/>
  <c r="A138" i="26" s="1"/>
  <c r="B45" i="26"/>
  <c r="B139" i="26" s="1"/>
  <c r="A45" i="26"/>
  <c r="A139" i="26" s="1"/>
  <c r="B19" i="26"/>
  <c r="B140" i="26" s="1"/>
  <c r="A19" i="26"/>
  <c r="A140" i="26" s="1"/>
  <c r="B9" i="26"/>
  <c r="B141" i="26" s="1"/>
  <c r="A9" i="26"/>
  <c r="A141" i="26" s="1"/>
  <c r="F141" i="26" l="1"/>
  <c r="F139" i="26"/>
  <c r="F70" i="26"/>
  <c r="F140" i="26"/>
  <c r="F115" i="26" l="1"/>
  <c r="F138" i="26"/>
  <c r="F137" i="26" l="1"/>
  <c r="F136" i="26"/>
  <c r="E33" i="25" l="1"/>
  <c r="C32" i="25"/>
  <c r="B32" i="25"/>
  <c r="A32" i="25"/>
  <c r="F9" i="25"/>
  <c r="F32" i="25" s="1"/>
  <c r="C9" i="25"/>
  <c r="C33" i="25" s="1"/>
  <c r="B9" i="25"/>
  <c r="B33" i="25" s="1"/>
  <c r="A9" i="25"/>
  <c r="A33" i="25" s="1"/>
  <c r="E32" i="23"/>
  <c r="C31" i="23"/>
  <c r="B31" i="23"/>
  <c r="A31" i="23"/>
  <c r="F9" i="23"/>
  <c r="F32" i="23" s="1"/>
  <c r="C9" i="23"/>
  <c r="C32" i="23" s="1"/>
  <c r="B9" i="23"/>
  <c r="B32" i="23" s="1"/>
  <c r="A9" i="23"/>
  <c r="A32" i="23" s="1"/>
  <c r="F33" i="25" l="1"/>
  <c r="F31" i="23"/>
  <c r="E32" i="19"/>
  <c r="C31" i="19"/>
  <c r="C22" i="15" s="1"/>
  <c r="B31" i="19"/>
  <c r="B22" i="15" s="1"/>
  <c r="A31" i="19"/>
  <c r="A22" i="15" s="1"/>
  <c r="C9" i="19"/>
  <c r="C32" i="19" s="1"/>
  <c r="B9" i="19"/>
  <c r="B32" i="19" s="1"/>
  <c r="A9" i="19"/>
  <c r="A32" i="19" s="1"/>
  <c r="E77" i="18"/>
  <c r="C76" i="18"/>
  <c r="B76" i="18"/>
  <c r="A76" i="18"/>
  <c r="F9" i="18"/>
  <c r="F77" i="18" s="1"/>
  <c r="C9" i="18"/>
  <c r="C77" i="18" s="1"/>
  <c r="B9" i="18"/>
  <c r="B77" i="18" s="1"/>
  <c r="A9" i="18"/>
  <c r="A77" i="18" s="1"/>
  <c r="E36" i="17"/>
  <c r="C35" i="17"/>
  <c r="B35" i="17"/>
  <c r="A35" i="17"/>
  <c r="F9" i="17"/>
  <c r="F36" i="17" s="1"/>
  <c r="C9" i="17"/>
  <c r="C36" i="17" s="1"/>
  <c r="B9" i="17"/>
  <c r="B36" i="17" s="1"/>
  <c r="A9" i="17"/>
  <c r="A36" i="17" s="1"/>
  <c r="E40" i="16"/>
  <c r="C39" i="16"/>
  <c r="B39" i="16"/>
  <c r="A39" i="16"/>
  <c r="F9" i="16"/>
  <c r="F40" i="16" s="1"/>
  <c r="C9" i="16"/>
  <c r="C40" i="16" s="1"/>
  <c r="B9" i="16"/>
  <c r="B40" i="16" s="1"/>
  <c r="A9" i="16"/>
  <c r="A40" i="16" s="1"/>
  <c r="F31" i="19" l="1"/>
  <c r="F22" i="15" s="1"/>
  <c r="F32" i="19"/>
  <c r="F76" i="18"/>
  <c r="F35" i="17"/>
  <c r="F39" i="16"/>
  <c r="E18" i="15" l="1"/>
  <c r="A18" i="15"/>
  <c r="D35" i="8"/>
  <c r="E35" i="8"/>
  <c r="C34" i="8"/>
  <c r="C18" i="15" s="1"/>
  <c r="B34" i="8"/>
  <c r="B18" i="15" s="1"/>
  <c r="A34" i="8"/>
  <c r="F9" i="8"/>
  <c r="F34" i="8" s="1"/>
  <c r="F18" i="15" s="1"/>
  <c r="C9" i="8"/>
  <c r="C35" i="8" s="1"/>
  <c r="B9" i="8"/>
  <c r="B35" i="8" s="1"/>
  <c r="A9" i="8"/>
  <c r="A35" i="8" s="1"/>
  <c r="E17" i="15"/>
  <c r="D35" i="7"/>
  <c r="E35" i="7"/>
  <c r="C34" i="7"/>
  <c r="C17" i="15" s="1"/>
  <c r="B34" i="7"/>
  <c r="B17" i="15" s="1"/>
  <c r="A34" i="7"/>
  <c r="A17" i="15" s="1"/>
  <c r="F9" i="7"/>
  <c r="F34" i="7" s="1"/>
  <c r="F17" i="15" s="1"/>
  <c r="C9" i="7"/>
  <c r="C35" i="7" s="1"/>
  <c r="B9" i="7"/>
  <c r="B35" i="7" s="1"/>
  <c r="A9" i="7"/>
  <c r="A35" i="7" s="1"/>
  <c r="E16" i="15"/>
  <c r="A16" i="15"/>
  <c r="C34" i="6"/>
  <c r="D34" i="6"/>
  <c r="E34" i="6"/>
  <c r="C33" i="6"/>
  <c r="C16" i="15" s="1"/>
  <c r="B33" i="6"/>
  <c r="B16" i="15" s="1"/>
  <c r="A33" i="6"/>
  <c r="F9" i="6"/>
  <c r="F34" i="6" s="1"/>
  <c r="C9" i="6"/>
  <c r="B9" i="6"/>
  <c r="B34" i="6" s="1"/>
  <c r="A9" i="6"/>
  <c r="A34" i="6" s="1"/>
  <c r="E15" i="15"/>
  <c r="C34" i="5"/>
  <c r="D34" i="5"/>
  <c r="E34" i="5"/>
  <c r="F34" i="5"/>
  <c r="A34" i="5"/>
  <c r="F33" i="5"/>
  <c r="F15" i="15" s="1"/>
  <c r="C33" i="5"/>
  <c r="C15" i="15" s="1"/>
  <c r="B33" i="5"/>
  <c r="B15" i="15" s="1"/>
  <c r="A33" i="5"/>
  <c r="A15" i="15" s="1"/>
  <c r="F9" i="5"/>
  <c r="C9" i="5"/>
  <c r="B9" i="5"/>
  <c r="B34" i="5" s="1"/>
  <c r="A9" i="5"/>
  <c r="E14" i="15"/>
  <c r="D35" i="4"/>
  <c r="E35" i="4"/>
  <c r="C34" i="4"/>
  <c r="C14" i="15" s="1"/>
  <c r="B34" i="4"/>
  <c r="B14" i="15" s="1"/>
  <c r="A34" i="4"/>
  <c r="A14" i="15" s="1"/>
  <c r="F9" i="4"/>
  <c r="F35" i="4" s="1"/>
  <c r="C9" i="4"/>
  <c r="C35" i="4" s="1"/>
  <c r="B9" i="4"/>
  <c r="B35" i="4" s="1"/>
  <c r="A9" i="4"/>
  <c r="A35" i="4" s="1"/>
  <c r="C13" i="15"/>
  <c r="E13" i="15"/>
  <c r="D33" i="3"/>
  <c r="E33" i="3"/>
  <c r="C32" i="3"/>
  <c r="B32" i="3"/>
  <c r="B13" i="15" s="1"/>
  <c r="A32" i="3"/>
  <c r="A13" i="15" s="1"/>
  <c r="F9" i="3"/>
  <c r="F33" i="3" s="1"/>
  <c r="C9" i="3"/>
  <c r="C33" i="3" s="1"/>
  <c r="B9" i="3"/>
  <c r="B33" i="3" s="1"/>
  <c r="A9" i="3"/>
  <c r="A33" i="3" s="1"/>
  <c r="E12" i="15"/>
  <c r="A12" i="15"/>
  <c r="B44" i="2"/>
  <c r="C44" i="2"/>
  <c r="D44" i="2"/>
  <c r="E44" i="2"/>
  <c r="C43" i="2"/>
  <c r="C12" i="15" s="1"/>
  <c r="B43" i="2"/>
  <c r="B12" i="15" s="1"/>
  <c r="A43" i="2"/>
  <c r="F9" i="2"/>
  <c r="F44" i="2" s="1"/>
  <c r="C9" i="2"/>
  <c r="B9" i="2"/>
  <c r="A9" i="2"/>
  <c r="A44" i="2" s="1"/>
  <c r="F11" i="15"/>
  <c r="C11" i="15"/>
  <c r="B11" i="15"/>
  <c r="A11" i="15"/>
  <c r="F35" i="8" l="1"/>
  <c r="F35" i="7"/>
  <c r="F33" i="6"/>
  <c r="F16" i="15" s="1"/>
  <c r="F34" i="4"/>
  <c r="F14" i="15" s="1"/>
  <c r="F32" i="3"/>
  <c r="F13" i="15" s="1"/>
  <c r="F43" i="2"/>
  <c r="F12" i="15" s="1"/>
</calcChain>
</file>

<file path=xl/sharedStrings.xml><?xml version="1.0" encoding="utf-8"?>
<sst xmlns="http://schemas.openxmlformats.org/spreadsheetml/2006/main" count="3099" uniqueCount="296">
  <si>
    <t>Activity</t>
  </si>
  <si>
    <t>[M+C+P+R] Gold (Au) production (from ore)</t>
  </si>
  <si>
    <t>reference product</t>
  </si>
  <si>
    <t>Refined Au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</si>
  <si>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</si>
  <si>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</si>
  <si>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</si>
  <si>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</si>
  <si>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</si>
  <si>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</si>
  <si>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</si>
  <si>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</si>
  <si>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</si>
  <si>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</si>
  <si>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</si>
  <si>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</si>
  <si>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</si>
  <si>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</si>
  <si>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</si>
  <si>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</si>
  <si>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</si>
  <si>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</si>
  <si>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</si>
  <si>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ecoinvent 3.10 cutoff</t>
  </si>
  <si>
    <t>technosphere</t>
  </si>
  <si>
    <t>(1,1,2,1,1)</t>
  </si>
  <si>
    <t>market for sodium ethyl xanthate</t>
  </si>
  <si>
    <t>sodium ethyl xanthate</t>
  </si>
  <si>
    <t>GLO</t>
  </si>
  <si>
    <t>(2,1,2,1,1)</t>
  </si>
  <si>
    <t>market for copper sulfate</t>
  </si>
  <si>
    <t>copper sulfate</t>
  </si>
  <si>
    <t>market for sodium cyanide</t>
  </si>
  <si>
    <t>sodium cyanide</t>
  </si>
  <si>
    <t>RoW</t>
  </si>
  <si>
    <t>market for sodium sulfite</t>
  </si>
  <si>
    <t>sodium sulfite</t>
  </si>
  <si>
    <t>market for limestone, crushed, washed</t>
  </si>
  <si>
    <t>limestone, crushed, washed</t>
  </si>
  <si>
    <t>market group for electricity, medium voltage</t>
  </si>
  <si>
    <t>electricity, medium voltage</t>
  </si>
  <si>
    <t>kilowatt hour</t>
  </si>
  <si>
    <t>market for hard coal</t>
  </si>
  <si>
    <t>hard coal</t>
  </si>
  <si>
    <t>market for light fuel oil</t>
  </si>
  <si>
    <t>light fuel oil</t>
  </si>
  <si>
    <t>market for diesel, burned in building machine</t>
  </si>
  <si>
    <t>diesel, burned in building machine</t>
  </si>
  <si>
    <t>megajoule</t>
  </si>
  <si>
    <t>market for hydrochloric acid, without water, in 30% solution state</t>
  </si>
  <si>
    <t>hydrochloric acid, without water, in 30% solution state</t>
  </si>
  <si>
    <t>market for steel, low-alloyed</t>
  </si>
  <si>
    <t>steel, low-alloyed</t>
  </si>
  <si>
    <t>market for hazardous waste, for incineration</t>
  </si>
  <si>
    <t>hazardous waste, for incineration</t>
  </si>
  <si>
    <t>treatment of municipal solid waste, sanitary landfill</t>
  </si>
  <si>
    <t>municipal solid waste</t>
  </si>
  <si>
    <t>market for wastewater, average</t>
  </si>
  <si>
    <t>wastewater, average</t>
  </si>
  <si>
    <t>cubic meter</t>
  </si>
  <si>
    <t>market for sulfuric acid</t>
  </si>
  <si>
    <t>sulfuric acid</t>
  </si>
  <si>
    <t>Gold</t>
  </si>
  <si>
    <t>biosphere3</t>
  </si>
  <si>
    <t>biosphere</t>
  </si>
  <si>
    <t>natural resource::in ground</t>
  </si>
  <si>
    <t>Transformation, to mineral extraction site</t>
  </si>
  <si>
    <t>square meter</t>
  </si>
  <si>
    <t>natural resource::land</t>
  </si>
  <si>
    <t>Transformation, from unspecified</t>
  </si>
  <si>
    <t>Water, unspecified natural origin</t>
  </si>
  <si>
    <t>Sulfur dioxide</t>
  </si>
  <si>
    <t>air</t>
  </si>
  <si>
    <t>Arsenic ion</t>
  </si>
  <si>
    <t>Particulate Matter, &gt; 10 um</t>
  </si>
  <si>
    <t>Nitrogen oxides</t>
  </si>
  <si>
    <t>Carbon dioxide, fossil</t>
  </si>
  <si>
    <t>Au ore mining and Au production in China/Qinghai</t>
  </si>
  <si>
    <t>[M+C+P+R] Gold (Au) production (alluivial - Carretilla method)</t>
  </si>
  <si>
    <t>PE</t>
  </si>
  <si>
    <t>water pump operation, diesel</t>
  </si>
  <si>
    <t>market for lubricating oil</t>
  </si>
  <si>
    <t>lubricating oil</t>
  </si>
  <si>
    <t>market for polyvinylchloride, bulk polymerised</t>
  </si>
  <si>
    <t>polyvinylchloride, bulk polymerised</t>
  </si>
  <si>
    <t>market for extrusion, plastic film</t>
  </si>
  <si>
    <t>extrusion, plastic film</t>
  </si>
  <si>
    <t>market for polypropylene, granulate</t>
  </si>
  <si>
    <t>polypropylene, granulate</t>
  </si>
  <si>
    <t>market for mercury</t>
  </si>
  <si>
    <t>mercury</t>
  </si>
  <si>
    <t>Water, river</t>
  </si>
  <si>
    <t>natural resource::in water</t>
  </si>
  <si>
    <t>Mercury II</t>
  </si>
  <si>
    <t>air::urban air close to ground</t>
  </si>
  <si>
    <t>air::non-urban air or from high stacks</t>
  </si>
  <si>
    <t>soil</t>
  </si>
  <si>
    <t>water::surface water</t>
  </si>
  <si>
    <t>Au alluvial mining and Au production in Peru through "Carretilla" method</t>
  </si>
  <si>
    <t>[M+C+P+R] Gold (Au) production (alluvial - Chupadera/Traca method)</t>
  </si>
  <si>
    <t>Transformation, from forest, unspecified</t>
  </si>
  <si>
    <t>Au alluvial mining and Au production in Peru through "Chupadera/traca" method</t>
  </si>
  <si>
    <t>[M+C+P+R] Gold (Au) production (alluvial - Caranchera method)</t>
  </si>
  <si>
    <t>Au alluvial mining and Au production in Peru through "Caranchera" method</t>
  </si>
  <si>
    <t>[M+C+P+R] Gold (Au) production (alluvial - Dredge method)</t>
  </si>
  <si>
    <t>water</t>
  </si>
  <si>
    <t>Au alluvial mining and Au production in Peru through "Dredge" method</t>
  </si>
  <si>
    <t>[M+C+P+R] Gold (Au) production (alluvial - Partial chute method)</t>
  </si>
  <si>
    <t>Au alluvial mining and Au production in Peru through "Partial chute" method</t>
  </si>
  <si>
    <t>[M+C+P+R] Gold (Au) production (alluvial - Complete chute method)</t>
  </si>
  <si>
    <t>Au alluvial mining and Au production in Peru through "Complete chute" method</t>
  </si>
  <si>
    <t>CO</t>
  </si>
  <si>
    <t>electricity production, photovoltaic, 570kWp open ground installation, multi-Si</t>
  </si>
  <si>
    <t>electricity, low voltage</t>
  </si>
  <si>
    <t>(1,1,1,1,1)</t>
  </si>
  <si>
    <t>heat production, air-water heat pump 10kW</t>
  </si>
  <si>
    <t>heat, air-water heat pump 10kW</t>
  </si>
  <si>
    <t>market for compressed air, 800 kPa gauge</t>
  </si>
  <si>
    <t>compressed air, 800 kPa gauge</t>
  </si>
  <si>
    <t>market for non-sulfidic overburden, off-site</t>
  </si>
  <si>
    <t>non-sulfidic overburden, off-site</t>
  </si>
  <si>
    <t>market for electricity, medium voltage</t>
  </si>
  <si>
    <t>market for liquefied petroleum gas</t>
  </si>
  <si>
    <t>liquefied petroleum gas</t>
  </si>
  <si>
    <t>market for explosive, tovex</t>
  </si>
  <si>
    <t>explosive, tovex</t>
  </si>
  <si>
    <t>market for industrial machine, heavy, unspecified</t>
  </si>
  <si>
    <t>industrial machine, heavy, unspecified</t>
  </si>
  <si>
    <t>market for sodium hydroxide, without water, in 50% solution state</t>
  </si>
  <si>
    <t>sodium hydroxide, without water, in 50% solution state</t>
  </si>
  <si>
    <t>market for lime, packed</t>
  </si>
  <si>
    <t>lime, packed</t>
  </si>
  <si>
    <t>market for chemical, organic</t>
  </si>
  <si>
    <t>chemical, organic</t>
  </si>
  <si>
    <t>market for hydrogen peroxide, without water, in 50% solution state</t>
  </si>
  <si>
    <t>hydrogen peroxide, without water, in 50% solution state</t>
  </si>
  <si>
    <t>market for polyacrylamide</t>
  </si>
  <si>
    <t>polyacrylamide</t>
  </si>
  <si>
    <t>Au ore mining and Au production in Colombia/Antioquia</t>
  </si>
  <si>
    <t>[M+C+P+R] Gold (Au) production (alluvial)</t>
  </si>
  <si>
    <t>market for non-ionic surfactant</t>
  </si>
  <si>
    <t>non-ionic surfactant</t>
  </si>
  <si>
    <t>market for borax, anhydrous, powder</t>
  </si>
  <si>
    <t>borax, anhydrous, powder</t>
  </si>
  <si>
    <t>market for soda ash, dense</t>
  </si>
  <si>
    <t>soda ash, dense</t>
  </si>
  <si>
    <t>Au alluvial mining and Au production in Colombia/Antioquia</t>
  </si>
  <si>
    <t>(3,1,5,1,1)</t>
  </si>
  <si>
    <t>market for iron(III) chloride, without water, in 14% iron solution state</t>
  </si>
  <si>
    <t>iron(III) chloride, without water, in 14% iron solution state</t>
  </si>
  <si>
    <t>market for chemical factory</t>
  </si>
  <si>
    <t>chemical factory</t>
  </si>
  <si>
    <t>market for chlorine, liquid</t>
  </si>
  <si>
    <t>chlorine, liquid</t>
  </si>
  <si>
    <t>market for sodium hydrosulfide</t>
  </si>
  <si>
    <t>sodium hydrosulfide</t>
  </si>
  <si>
    <t>market for wastewater treatment facility, capacity 1E9l/year</t>
  </si>
  <si>
    <t>wastewater treatment facility, capacity 1E9l/year</t>
  </si>
  <si>
    <t>market for seawater reverse osmosis module</t>
  </si>
  <si>
    <t>seawater reverse osmosis module</t>
  </si>
  <si>
    <t>market for chemical, inorganic</t>
  </si>
  <si>
    <t>chemical, inorganic</t>
  </si>
  <si>
    <t>market for tap water</t>
  </si>
  <si>
    <t>tap water</t>
  </si>
  <si>
    <t>machine operation, diesel, &gt;= 18.64 kW and &lt; 74.57 kW, underground mining</t>
  </si>
  <si>
    <t>hour</t>
  </si>
  <si>
    <t>market for road</t>
  </si>
  <si>
    <t>road</t>
  </si>
  <si>
    <t>meter-year</t>
  </si>
  <si>
    <t>market for building, hall, steel construction</t>
  </si>
  <si>
    <t>building, hall, steel construction</t>
  </si>
  <si>
    <t>market for pump station</t>
  </si>
  <si>
    <t>pump station</t>
  </si>
  <si>
    <t>market for water supply network</t>
  </si>
  <si>
    <t>water supply network</t>
  </si>
  <si>
    <t>kilometer</t>
  </si>
  <si>
    <t>market for lime, hydrated, loose weight</t>
  </si>
  <si>
    <t>lime, hydrated, loose weight</t>
  </si>
  <si>
    <t>market for polyethylene, high density, granulate</t>
  </si>
  <si>
    <t>polyethylene, high density, granulate</t>
  </si>
  <si>
    <t>market for polyethylene, linear low density, granulate</t>
  </si>
  <si>
    <t>polyethylene, linear low density, granulate</t>
  </si>
  <si>
    <t>market for inert filler</t>
  </si>
  <si>
    <t>inert filler</t>
  </si>
  <si>
    <t>market for gravel, crushed</t>
  </si>
  <si>
    <t>gravel, crushed</t>
  </si>
  <si>
    <t>market for gravel/sand quarry infrastructure</t>
  </si>
  <si>
    <t>gravel/sand quarry infrastructure</t>
  </si>
  <si>
    <t>Au open-pit mining and Au production in Peru</t>
  </si>
  <si>
    <t>[P+R] Gold (Au) production (from anode slime)</t>
  </si>
  <si>
    <t>(1,5,1,1,1)</t>
  </si>
  <si>
    <t>market for silica sand</t>
  </si>
  <si>
    <t>silica sand</t>
  </si>
  <si>
    <t>market for nitric acid, without water, in 50% solution state</t>
  </si>
  <si>
    <t>nitric acid, without water, in 50% solution state</t>
  </si>
  <si>
    <t>market for sodium chlorate, powder</t>
  </si>
  <si>
    <t>sodium chlorate, powder</t>
  </si>
  <si>
    <t>market for ammonium chloride</t>
  </si>
  <si>
    <t>ammonium chloride</t>
  </si>
  <si>
    <t>market for copper slag</t>
  </si>
  <si>
    <t>copper slag</t>
  </si>
  <si>
    <t>Au production in China through Cu anode slime processing</t>
  </si>
  <si>
    <t>AU</t>
  </si>
  <si>
    <t>(2,5,5,1,1)</t>
  </si>
  <si>
    <t>market for iron pellet</t>
  </si>
  <si>
    <t>iron pellet</t>
  </si>
  <si>
    <t>market for carbon black</t>
  </si>
  <si>
    <t>carbon black</t>
  </si>
  <si>
    <t>market for steam, in chemical industry</t>
  </si>
  <si>
    <t>steam, in chemical industry</t>
  </si>
  <si>
    <t>market for zinc</t>
  </si>
  <si>
    <t>zinc</t>
  </si>
  <si>
    <t>Au ore mining and Au production in Australia</t>
  </si>
  <si>
    <t>ZA</t>
  </si>
  <si>
    <t>Au ore mining and Au production in South Africa</t>
  </si>
  <si>
    <t>Gold (Au) global market</t>
  </si>
  <si>
    <t>The co-produced sulfuric acid is dealt through substitution.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</si>
  <si>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 xml:space="preserve">75.4% for Au (1 kg), </t>
    </r>
    <r>
      <rPr>
        <sz val="11"/>
        <color theme="5"/>
        <rFont val="Calibri"/>
        <family val="2"/>
        <scheme val="minor"/>
      </rPr>
      <t>22.2% for Ag (23 kg), 1.3% for Te (14 kg CuTe) and 1.1% for Se (27 kg).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</si>
  <si>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 xml:space="preserve">98.3% for Au (1 kg) </t>
    </r>
    <r>
      <rPr>
        <sz val="11"/>
        <color theme="5"/>
        <rFont val="Calibri"/>
        <family val="2"/>
        <scheme val="minor"/>
      </rPr>
      <t>and 1.7% for Ag (1.3 kg).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</si>
  <si>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 xml:space="preserve">99.98% for Au (1 kg) </t>
    </r>
    <r>
      <rPr>
        <sz val="11"/>
        <color theme="5"/>
        <rFont val="Calibri"/>
        <family val="2"/>
        <scheme val="minor"/>
      </rPr>
      <t>and 0.02% for Fe (0.6 kg).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</si>
  <si>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 xml:space="preserve">98.6% for Au (1 kg) </t>
    </r>
    <r>
      <rPr>
        <sz val="11"/>
        <color theme="5"/>
        <rFont val="Calibri"/>
        <family val="2"/>
        <scheme val="minor"/>
      </rPr>
      <t>and 1.4% for Ag (1.1 kg).</t>
    </r>
  </si>
  <si>
    <r>
      <rPr>
        <sz val="11"/>
        <color theme="5"/>
        <rFont val="Calibri"/>
        <family val="2"/>
        <scheme val="minor"/>
      </rP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99.9% for Au (1 kg)</t>
    </r>
    <r>
      <rPr>
        <sz val="11"/>
        <color theme="5"/>
        <rFont val="Calibri"/>
        <family val="2"/>
        <scheme val="minor"/>
      </rPr>
      <t xml:space="preserve"> and 0.1% for Ag (0.1 kg).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7030A0"/>
        <rFont val="Calibri"/>
        <family val="2"/>
        <scheme val="minor"/>
      </rPr>
      <t>The co-produced sulfuric acid is dealt through substitution.</t>
    </r>
  </si>
  <si>
    <t>High-grade waste electrical and electronic equipment (WEEE)</t>
  </si>
  <si>
    <t>High-grade WEEE</t>
  </si>
  <si>
    <t>Europe</t>
  </si>
  <si>
    <t>Empty activity representing the Au scraps input in the recycling process (following the "cut-off" modelling approach)</t>
  </si>
  <si>
    <t xml:space="preserve">[C] WEEE pre-treatment </t>
  </si>
  <si>
    <t>Metal fraction</t>
  </si>
  <si>
    <t>SE</t>
  </si>
  <si>
    <t>(2,5,5,3,1)</t>
  </si>
  <si>
    <t>Aluminium III</t>
  </si>
  <si>
    <t>Antimony ion</t>
  </si>
  <si>
    <t>Bromine</t>
  </si>
  <si>
    <t>Cadmium II</t>
  </si>
  <si>
    <t>Chlorine</t>
  </si>
  <si>
    <t>Chromium III</t>
  </si>
  <si>
    <t>Copper ion</t>
  </si>
  <si>
    <t>Iron ion</t>
  </si>
  <si>
    <t>Lead II</t>
  </si>
  <si>
    <t>Phosphorus</t>
  </si>
  <si>
    <t>Polychlorinated biphenyls</t>
  </si>
  <si>
    <t>Tin ion</t>
  </si>
  <si>
    <t>Zinc II</t>
  </si>
  <si>
    <t>[P] Melting - Kaldo Plant</t>
  </si>
  <si>
    <t>Melted metals</t>
  </si>
  <si>
    <t>(2,3,5,1,1)</t>
  </si>
  <si>
    <t>market for quicklime, milled, packed</t>
  </si>
  <si>
    <t>quicklime, milled, packed</t>
  </si>
  <si>
    <t>RER</t>
  </si>
  <si>
    <t>(1,1,5,1,1)</t>
  </si>
  <si>
    <t>Dioxins, measured as 2,3,7,8-tetrachlorodibenzo-p-dioxin</t>
  </si>
  <si>
    <t>Particulate Matter, &lt; 2.5 um</t>
  </si>
  <si>
    <t>Particulate Matter, &gt; 2.5 um and &lt; 10um</t>
  </si>
  <si>
    <t>[R] Metals refining</t>
  </si>
  <si>
    <t>Precious metals</t>
  </si>
  <si>
    <t>heat production, natural gas, at industrial furnace &gt;100kW</t>
  </si>
  <si>
    <t>heat, district or industrial, natural gas</t>
  </si>
  <si>
    <t>Europe without Switzerland</t>
  </si>
  <si>
    <t>(1,1,5,3,1)</t>
  </si>
  <si>
    <t>Nickel II</t>
  </si>
  <si>
    <t>[R] Precious metals refining</t>
  </si>
  <si>
    <t>Refined Gold (Au)</t>
  </si>
  <si>
    <t>market for oxygen, liquid</t>
  </si>
  <si>
    <t>oxygen, liquid</t>
  </si>
  <si>
    <t>Silver I</t>
  </si>
  <si>
    <t>Selenium IV</t>
  </si>
  <si>
    <t>Sulfur oxides</t>
  </si>
  <si>
    <t>Au production in Europe through WEEE recycling</t>
  </si>
  <si>
    <r>
      <t xml:space="preserve">Applied AF: "High-grade WEEE" input = </t>
    </r>
    <r>
      <rPr>
        <b/>
        <sz val="11"/>
        <color theme="5"/>
        <rFont val="Calibri"/>
        <family val="2"/>
        <scheme val="minor"/>
      </rPr>
      <t>40%</t>
    </r>
    <r>
      <rPr>
        <sz val="11"/>
        <color theme="5"/>
        <rFont val="Calibri"/>
        <family val="2"/>
        <scheme val="minor"/>
      </rPr>
      <t>; "Metal fraction" =</t>
    </r>
    <r>
      <rPr>
        <b/>
        <sz val="11"/>
        <color theme="5"/>
        <rFont val="Calibri"/>
        <family val="2"/>
        <scheme val="minor"/>
      </rPr>
      <t xml:space="preserve"> 47.7%</t>
    </r>
    <r>
      <rPr>
        <sz val="11"/>
        <color theme="5"/>
        <rFont val="Calibri"/>
        <family val="2"/>
        <scheme val="minor"/>
      </rPr>
      <t>; "Melted metals" =</t>
    </r>
    <r>
      <rPr>
        <b/>
        <sz val="11"/>
        <color theme="5"/>
        <rFont val="Calibri"/>
        <family val="2"/>
        <scheme val="minor"/>
      </rPr>
      <t xml:space="preserve"> 28.2%</t>
    </r>
    <r>
      <rPr>
        <sz val="11"/>
        <color theme="5"/>
        <rFont val="Calibri"/>
        <family val="2"/>
        <scheme val="minor"/>
      </rPr>
      <t xml:space="preserve">; "Precious metals" = </t>
    </r>
    <r>
      <rPr>
        <b/>
        <sz val="11"/>
        <color theme="5"/>
        <rFont val="Calibri"/>
        <family val="2"/>
        <scheme val="minor"/>
      </rPr>
      <t>39.4%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</si>
  <si>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24.5% for Cu (1 kg), </t>
    </r>
    <r>
      <rPr>
        <b/>
        <sz val="11"/>
        <color theme="5"/>
        <rFont val="Calibri"/>
        <family val="2"/>
        <scheme val="minor"/>
      </rPr>
      <t>40% for Au (0.0002 kg)</t>
    </r>
    <r>
      <rPr>
        <sz val="11"/>
        <color theme="5"/>
        <rFont val="Calibri"/>
        <family val="2"/>
        <scheme val="minor"/>
      </rPr>
      <t>, 7.7% for Al (1.1 kg), 19% for Fe (14.8 kg), 0.3% for Pb (0.037 kg), 6.4% for Ag (0.003 kg), 1.5% for Pd (0.00007 kg) and 0.6% for NiSO4 (0.04 kg).</t>
    </r>
  </si>
  <si>
    <r>
      <t xml:space="preserve">Allocated unit process, considering as allocation factors (AF): 17.7% for Cu (1 kg), </t>
    </r>
    <r>
      <rPr>
        <b/>
        <sz val="11"/>
        <color theme="5"/>
        <rFont val="Calibri"/>
        <family val="2"/>
        <scheme val="minor"/>
      </rPr>
      <t>47.7% for Au (0.0004 kg)</t>
    </r>
    <r>
      <rPr>
        <sz val="11"/>
        <color theme="5"/>
        <rFont val="Calibri"/>
        <family val="2"/>
        <scheme val="minor"/>
      </rPr>
      <t>, 13.6% for Pb (2.6 kg), 2.5% for Ag (0.001 kg), 1.1% for Pd (0.00007 kg), 0.1% for NiSO4 (0.01 kg) and 17.4% for PGM (0.003 kg slime).</t>
    </r>
  </si>
  <si>
    <r>
      <t xml:space="preserve">Allocated unit process, considering as allocation factors (AF): 37% for Cu (1 kg), </t>
    </r>
    <r>
      <rPr>
        <b/>
        <sz val="11"/>
        <color theme="5"/>
        <rFont val="Calibri"/>
        <family val="2"/>
        <scheme val="minor"/>
      </rPr>
      <t>28.2% for Au (0.0001 kg)</t>
    </r>
    <r>
      <rPr>
        <sz val="11"/>
        <color theme="5"/>
        <rFont val="Calibri"/>
        <family val="2"/>
        <scheme val="minor"/>
      </rPr>
      <t>, 7% for Ag (0.002 kg), 3.2% for Pd (0.0001 kg), 0.2% for NiSO4 (0.01 kg) and 24.4% for PGM (0.002 kg slime).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</si>
  <si>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39.4% for Au (1 kg)</t>
    </r>
    <r>
      <rPr>
        <sz val="11"/>
        <color theme="5"/>
        <rFont val="Calibri"/>
        <family val="2"/>
        <scheme val="minor"/>
      </rPr>
      <t>, 12.9% for Ag (25.3 kg), 3% for Pd (0.67 kg) and 44.6% for PGM (24.9 kg slime).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</si>
  <si>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</si>
  <si>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</si>
  <si>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</si>
  <si>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Gold (Au)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</si>
  <si>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Au global market</t>
  </si>
  <si>
    <t>Au_Market_GLO</t>
  </si>
  <si>
    <t>PR1_Au_CN_Qinghai</t>
  </si>
  <si>
    <t>PR2_Au_PE_Alluvial_Carretilla</t>
  </si>
  <si>
    <t>PR3_Au_PE_Alluvial_Traca</t>
  </si>
  <si>
    <t>PR4_Au_PE_Alluvial_Caranchera</t>
  </si>
  <si>
    <t>PR5_Au_PE_Alluvial_Dredge</t>
  </si>
  <si>
    <t>PR6_Au_PE_Alluvial_PartialChute</t>
  </si>
  <si>
    <t>PR7_Au_PE_Alluvial_Chute</t>
  </si>
  <si>
    <t>PR8_Au_CO_OpenPit</t>
  </si>
  <si>
    <t>PR9_Au_CO_Alluvial</t>
  </si>
  <si>
    <t>PR10_Au_PE_OpenPit</t>
  </si>
  <si>
    <t>PR11_Au_CN_CuSlime</t>
  </si>
  <si>
    <t>PR12_Au_AU</t>
  </si>
  <si>
    <t>PR13_Au_ZA</t>
  </si>
  <si>
    <t>PR14_Au_RER_Recycling_WEEE</t>
  </si>
  <si>
    <r>
      <rPr>
        <sz val="11"/>
        <color theme="8"/>
        <rFont val="Calibri"/>
        <family val="2"/>
        <scheme val="minor"/>
      </rPr>
      <t>An ecoinvent activity is here included to model the upstream anode slime production.</t>
    </r>
    <r>
      <rPr>
        <sz val="11"/>
        <color theme="5"/>
        <rFont val="Calibri"/>
        <family val="2"/>
        <scheme val="minor"/>
      </rPr>
      <t xml:space="preserve">
Applied AF: "anode slime from electrorefining of copper, anode" input = </t>
    </r>
    <r>
      <rPr>
        <b/>
        <sz val="11"/>
        <color theme="5"/>
        <rFont val="Calibri"/>
        <family val="2"/>
        <scheme val="minor"/>
      </rPr>
      <t>75.4%</t>
    </r>
    <r>
      <rPr>
        <sz val="11"/>
        <color theme="5"/>
        <rFont val="Calibri"/>
        <family val="2"/>
        <scheme val="minor"/>
      </rPr>
      <t>.</t>
    </r>
  </si>
  <si>
    <t>market for anode slime from electrorefining of copper, anode</t>
  </si>
  <si>
    <t>anode slime from electrorefining of copper, 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</si>
</sst>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9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8"/>
  <sheetViews>
    <sheetView showGridLines="0" topLeftCell="A29" zoomScaleNormal="100" workbookViewId="0">
      <selection activeCell="B45" sqref="B45"/>
    </sheetView>
  </sheetViews>
  <sheetFormatPr baseColWidth="10" defaultRowHeight="14.5" x14ac:dyDescent="0.35"/>
  <cols>
    <col min="1" max="1" width="1.81640625" customWidth="1"/>
    <col min="2" max="2" width="31.81640625" bestFit="1" customWidth="1"/>
  </cols>
  <sheetData>
    <row r="1" spans="1:17" ht="15" thickBot="1" x14ac:dyDescent="0.4">
      <c r="A1" t="s">
        <v>273</v>
      </c>
    </row>
    <row r="2" spans="1:17" ht="15" customHeight="1" x14ac:dyDescent="0.35">
      <c r="B2" s="32" t="s">
        <v>276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1:17" x14ac:dyDescent="0.3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1:17" x14ac:dyDescent="0.3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1:17" x14ac:dyDescent="0.3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1:17" x14ac:dyDescent="0.35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7"/>
    </row>
    <row r="7" spans="1:17" x14ac:dyDescent="0.35"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7"/>
    </row>
    <row r="8" spans="1:17" x14ac:dyDescent="0.35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</row>
    <row r="9" spans="1:17" x14ac:dyDescent="0.35"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1:17" x14ac:dyDescent="0.35"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</row>
    <row r="11" spans="1:17" x14ac:dyDescent="0.35"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</row>
    <row r="12" spans="1:17" x14ac:dyDescent="0.3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7"/>
    </row>
    <row r="13" spans="1:17" x14ac:dyDescent="0.3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</row>
    <row r="14" spans="1:17" x14ac:dyDescent="0.35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</row>
    <row r="15" spans="1:17" x14ac:dyDescent="0.35"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</row>
    <row r="16" spans="1:17" x14ac:dyDescent="0.3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</row>
    <row r="17" spans="2:17" x14ac:dyDescent="0.35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</row>
    <row r="18" spans="2:17" x14ac:dyDescent="0.35"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</row>
    <row r="19" spans="2:17" x14ac:dyDescent="0.35"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</row>
    <row r="20" spans="2:17" x14ac:dyDescent="0.3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</row>
    <row r="21" spans="2:17" x14ac:dyDescent="0.35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</row>
    <row r="22" spans="2:17" x14ac:dyDescent="0.35"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</row>
    <row r="23" spans="2:17" x14ac:dyDescent="0.35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</row>
    <row r="24" spans="2:17" ht="15" customHeight="1" x14ac:dyDescent="0.35"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7"/>
    </row>
    <row r="25" spans="2:17" x14ac:dyDescent="0.35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7"/>
    </row>
    <row r="26" spans="2:17" x14ac:dyDescent="0.35"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7"/>
    </row>
    <row r="27" spans="2:17" x14ac:dyDescent="0.35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7"/>
    </row>
    <row r="28" spans="2:17" x14ac:dyDescent="0.35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</row>
    <row r="29" spans="2:17" x14ac:dyDescent="0.35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/>
    </row>
    <row r="30" spans="2:17" x14ac:dyDescent="0.35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/>
    </row>
    <row r="31" spans="2:17" ht="15" thickBot="1" x14ac:dyDescent="0.4"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0"/>
    </row>
    <row r="32" spans="2:17" ht="15" thickBot="1" x14ac:dyDescent="0.4"/>
    <row r="33" spans="2:10" x14ac:dyDescent="0.35">
      <c r="B33" s="21" t="s">
        <v>274</v>
      </c>
      <c r="C33" s="22" t="s">
        <v>275</v>
      </c>
      <c r="D33" s="23"/>
      <c r="E33" s="23"/>
      <c r="F33" s="23"/>
      <c r="G33" s="23"/>
      <c r="H33" s="23"/>
      <c r="I33" s="24"/>
      <c r="J33" s="31"/>
    </row>
    <row r="34" spans="2:10" x14ac:dyDescent="0.35">
      <c r="B34" s="25" t="s">
        <v>278</v>
      </c>
      <c r="C34" s="6" t="s">
        <v>277</v>
      </c>
      <c r="D34" s="31"/>
      <c r="E34" s="31"/>
      <c r="F34" s="31"/>
      <c r="G34" s="31"/>
      <c r="H34" s="31"/>
      <c r="I34" s="26"/>
      <c r="J34" s="31"/>
    </row>
    <row r="35" spans="2:10" x14ac:dyDescent="0.35">
      <c r="B35" s="25" t="s">
        <v>279</v>
      </c>
      <c r="C35" s="6" t="s">
        <v>77</v>
      </c>
      <c r="D35" s="31"/>
      <c r="E35" s="31"/>
      <c r="F35" s="31"/>
      <c r="G35" s="31"/>
      <c r="H35" s="31"/>
      <c r="I35" s="26"/>
      <c r="J35" s="31"/>
    </row>
    <row r="36" spans="2:10" x14ac:dyDescent="0.35">
      <c r="B36" s="25" t="s">
        <v>280</v>
      </c>
      <c r="C36" s="6" t="s">
        <v>98</v>
      </c>
      <c r="D36" s="31"/>
      <c r="E36" s="31"/>
      <c r="F36" s="31"/>
      <c r="G36" s="31"/>
      <c r="H36" s="31"/>
      <c r="I36" s="26"/>
      <c r="J36" s="31"/>
    </row>
    <row r="37" spans="2:10" x14ac:dyDescent="0.35">
      <c r="B37" s="25" t="s">
        <v>281</v>
      </c>
      <c r="C37" s="6" t="s">
        <v>101</v>
      </c>
      <c r="D37" s="31"/>
      <c r="E37" s="31"/>
      <c r="F37" s="31"/>
      <c r="G37" s="31"/>
      <c r="H37" s="31"/>
      <c r="I37" s="26"/>
      <c r="J37" s="31"/>
    </row>
    <row r="38" spans="2:10" x14ac:dyDescent="0.35">
      <c r="B38" s="25" t="s">
        <v>282</v>
      </c>
      <c r="C38" s="6" t="s">
        <v>103</v>
      </c>
      <c r="D38" s="31"/>
      <c r="E38" s="31"/>
      <c r="F38" s="31"/>
      <c r="G38" s="31"/>
      <c r="H38" s="31"/>
      <c r="I38" s="26"/>
      <c r="J38" s="31"/>
    </row>
    <row r="39" spans="2:10" x14ac:dyDescent="0.35">
      <c r="B39" s="25" t="s">
        <v>283</v>
      </c>
      <c r="C39" s="6" t="s">
        <v>106</v>
      </c>
      <c r="D39" s="31"/>
      <c r="E39" s="31"/>
      <c r="F39" s="31"/>
      <c r="G39" s="31"/>
      <c r="H39" s="31"/>
      <c r="I39" s="26"/>
      <c r="J39" s="31"/>
    </row>
    <row r="40" spans="2:10" x14ac:dyDescent="0.35">
      <c r="B40" s="25" t="s">
        <v>284</v>
      </c>
      <c r="C40" s="6" t="s">
        <v>108</v>
      </c>
      <c r="D40" s="31"/>
      <c r="E40" s="31"/>
      <c r="F40" s="31"/>
      <c r="G40" s="31"/>
      <c r="H40" s="31"/>
      <c r="I40" s="26"/>
      <c r="J40" s="31"/>
    </row>
    <row r="41" spans="2:10" x14ac:dyDescent="0.35">
      <c r="B41" s="25" t="s">
        <v>285</v>
      </c>
      <c r="C41" s="6" t="s">
        <v>110</v>
      </c>
      <c r="D41" s="31"/>
      <c r="E41" s="31"/>
      <c r="F41" s="31"/>
      <c r="G41" s="31"/>
      <c r="H41" s="31"/>
      <c r="I41" s="26"/>
      <c r="J41" s="31"/>
    </row>
    <row r="42" spans="2:10" x14ac:dyDescent="0.35">
      <c r="B42" s="25" t="s">
        <v>286</v>
      </c>
      <c r="C42" s="6" t="s">
        <v>138</v>
      </c>
      <c r="D42" s="31"/>
      <c r="E42" s="31"/>
      <c r="F42" s="31"/>
      <c r="G42" s="31"/>
      <c r="H42" s="31"/>
      <c r="I42" s="26"/>
      <c r="J42" s="31"/>
    </row>
    <row r="43" spans="2:10" x14ac:dyDescent="0.35">
      <c r="B43" s="25" t="s">
        <v>287</v>
      </c>
      <c r="C43" s="6" t="s">
        <v>146</v>
      </c>
      <c r="D43" s="31"/>
      <c r="E43" s="31"/>
      <c r="F43" s="31"/>
      <c r="G43" s="31"/>
      <c r="H43" s="31"/>
      <c r="I43" s="26"/>
      <c r="J43" s="31"/>
    </row>
    <row r="44" spans="2:10" x14ac:dyDescent="0.35">
      <c r="B44" s="25" t="s">
        <v>288</v>
      </c>
      <c r="C44" s="6" t="s">
        <v>188</v>
      </c>
      <c r="D44" s="31"/>
      <c r="E44" s="31"/>
      <c r="F44" s="31"/>
      <c r="G44" s="31"/>
      <c r="H44" s="31"/>
      <c r="I44" s="26"/>
      <c r="J44" s="31"/>
    </row>
    <row r="45" spans="2:10" x14ac:dyDescent="0.35">
      <c r="B45" s="25" t="s">
        <v>289</v>
      </c>
      <c r="C45" s="6" t="s">
        <v>201</v>
      </c>
      <c r="D45" s="31"/>
      <c r="E45" s="31"/>
      <c r="F45" s="31"/>
      <c r="G45" s="31"/>
      <c r="H45" s="31"/>
      <c r="I45" s="26"/>
      <c r="J45" s="31"/>
    </row>
    <row r="46" spans="2:10" x14ac:dyDescent="0.35">
      <c r="B46" s="25" t="s">
        <v>290</v>
      </c>
      <c r="C46" s="6" t="s">
        <v>212</v>
      </c>
      <c r="D46" s="31"/>
      <c r="E46" s="31"/>
      <c r="F46" s="31"/>
      <c r="G46" s="31"/>
      <c r="H46" s="31"/>
      <c r="I46" s="26"/>
      <c r="J46" s="31"/>
    </row>
    <row r="47" spans="2:10" x14ac:dyDescent="0.35">
      <c r="B47" s="25" t="s">
        <v>291</v>
      </c>
      <c r="C47" s="6" t="s">
        <v>214</v>
      </c>
      <c r="D47" s="31"/>
      <c r="E47" s="31"/>
      <c r="F47" s="31"/>
      <c r="G47" s="31"/>
      <c r="H47" s="31"/>
      <c r="I47" s="26"/>
      <c r="J47" s="31"/>
    </row>
    <row r="48" spans="2:10" ht="15" thickBot="1" x14ac:dyDescent="0.4">
      <c r="B48" s="27" t="s">
        <v>292</v>
      </c>
      <c r="C48" s="28" t="s">
        <v>267</v>
      </c>
      <c r="D48" s="29"/>
      <c r="E48" s="29"/>
      <c r="F48" s="29"/>
      <c r="G48" s="29"/>
      <c r="H48" s="29"/>
      <c r="I48" s="30"/>
      <c r="J48" s="31"/>
    </row>
  </sheetData>
  <mergeCells count="1">
    <mergeCell ref="B2:Q31"/>
  </mergeCells>
  <hyperlinks>
    <hyperlink ref="B34" location="Au_Market_GLO!A1" display="Au_Market_GLO" xr:uid="{CC9470D1-1A41-4BB8-8CE7-12ED48398ECD}"/>
    <hyperlink ref="B35" location="PR1_Au_CN_Qinghai!A1" display="PR1_Au_CN_Qinghai" xr:uid="{CEFA2DB0-3F30-4F28-8DBD-19CB8B571C84}"/>
    <hyperlink ref="B36" location="PR2_Au_PE_Alluvial_Carretilla!A1" display="PR2_Au_PE_Alluvial_Carretilla" xr:uid="{13C080F3-ACA6-41B4-B21A-2D0AE0DC6FD0}"/>
    <hyperlink ref="B37" location="PR3_Au_PE_Alluvial_Traca!A1" display="PR3_Au_PE_Alluvial_Traca" xr:uid="{801023FB-12C3-4F50-9DDC-C6B2A2245FAA}"/>
    <hyperlink ref="B38" location="PR4_Au_PE_Alluvial_Caranchera!A1" display="PR4_Au_PE_Alluvial_Caranchera" xr:uid="{4CE35792-BC20-4E8C-A4B7-F4EB542AC4FC}"/>
    <hyperlink ref="B39" location="PR5_Au_PE_Alluvial_Dredge!A1" display="PR5_Au_PE_Alluvial_Dredge" xr:uid="{DAF4FC33-D8E8-4FCE-A063-BEB907EB6B08}"/>
    <hyperlink ref="B40" location="PR6_Au_PE_Alluvial_PartialChute!A1" display="PR6_Au_PE_Alluvial_PartialChute" xr:uid="{0D3AF890-EEDA-490A-84BE-A00D08EE13EB}"/>
    <hyperlink ref="B41" location="PR7_Au_PE_Alluvial_Chute!A1" display="PR7_Au_PE_Alluvial_Chute" xr:uid="{F674A6A6-2942-41EE-A1A0-B57CD6476735}"/>
    <hyperlink ref="B42" location="PR8_Au_CO_OpenPit!A1" display="PR8_Au_CO_OpenPit" xr:uid="{774A7260-47D3-4EF9-979F-BA349063E2F5}"/>
    <hyperlink ref="B43" location="PR9_Au_CO_Alluvial!A1" display="PR9_Au_CO_Alluvial" xr:uid="{5FB86939-9E57-4602-99C9-AABA46FC48B8}"/>
    <hyperlink ref="B44" location="PR10_Au_PE_OpenPit!A1" display="PR10_Au_PE_OpenPit" xr:uid="{6AA3F3F5-08B5-448C-9909-BE97B14C01C6}"/>
    <hyperlink ref="B45" location="PR11_Au_CN_CuSlime!A1" display="PR11_Au_CN_CuSlime" xr:uid="{8584E8DC-8283-401E-80AA-1D2CDE458535}"/>
    <hyperlink ref="B46" location="PR12_Au_AU!A1" display="PR12_Au_AU" xr:uid="{55B84377-818F-4AC7-8D87-50E1FE64CED4}"/>
    <hyperlink ref="B47" location="PR13_Au_ZA!A1" display="PR13_Au_ZA" xr:uid="{0D26CBC1-B7F3-46C7-84CD-7A15405535E8}"/>
    <hyperlink ref="B48" location="PR14_Au_RER_Recycling_WEEE!A1" display="PR14_Au_RER_Recycling_WEEE" xr:uid="{A5FD50FF-29D9-4E6E-A2BB-D9D79358A1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2E63-FCE2-436F-B368-2C3FCC3C4396}">
  <sheetPr>
    <tabColor theme="8" tint="0.39997558519241921"/>
  </sheetPr>
  <dimension ref="A1:N28"/>
  <sheetViews>
    <sheetView workbookViewId="0">
      <selection activeCell="A29" sqref="A29"/>
    </sheetView>
  </sheetViews>
  <sheetFormatPr baseColWidth="10" defaultRowHeight="14.5" x14ac:dyDescent="0.35"/>
  <cols>
    <col min="1" max="1" width="89.1796875" bestFit="1" customWidth="1"/>
    <col min="2" max="2" width="26.7265625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13</v>
      </c>
      <c r="B1" s="1" t="s">
        <v>62</v>
      </c>
    </row>
    <row r="2" spans="1:14" s="2" customFormat="1" x14ac:dyDescent="0.35"/>
    <row r="3" spans="1:14" x14ac:dyDescent="0.35">
      <c r="A3" s="3" t="s">
        <v>0</v>
      </c>
      <c r="B3" s="3" t="s">
        <v>215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5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5" t="s">
        <v>4</v>
      </c>
      <c r="B5" s="4" t="s">
        <v>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5" t="s">
        <v>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5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5" t="s">
        <v>9</v>
      </c>
      <c r="B8" s="4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5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12</v>
      </c>
      <c r="B10" s="3" t="s">
        <v>2</v>
      </c>
      <c r="C10" s="3" t="s">
        <v>4</v>
      </c>
      <c r="D10" s="3" t="s">
        <v>6</v>
      </c>
      <c r="E10" s="3" t="s">
        <v>7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</row>
    <row r="11" spans="1:14" x14ac:dyDescent="0.35">
      <c r="A11" t="str">
        <f>B3</f>
        <v>Gold (Au) global market</v>
      </c>
      <c r="B11" t="str">
        <f>B4</f>
        <v>Refined Au</v>
      </c>
      <c r="C11" t="str">
        <f>B5</f>
        <v>GLO</v>
      </c>
      <c r="D11" s="4">
        <v>1</v>
      </c>
      <c r="E11" s="4" t="s">
        <v>8</v>
      </c>
      <c r="F11" s="1" t="str">
        <f>B1</f>
        <v>Gold</v>
      </c>
      <c r="G11" s="4" t="s">
        <v>22</v>
      </c>
    </row>
    <row r="12" spans="1:14" s="4" customFormat="1" x14ac:dyDescent="0.35">
      <c r="A12" s="4" t="str">
        <f>PR1_Au_CN_Qinghai!A43</f>
        <v>Au ore mining and Au production in China/Qinghai</v>
      </c>
      <c r="B12" s="4" t="str">
        <f>PR1_Au_CN_Qinghai!B43</f>
        <v>Refined Au</v>
      </c>
      <c r="C12" s="4" t="str">
        <f>PR1_Au_CN_Qinghai!C43</f>
        <v>CN</v>
      </c>
      <c r="D12" s="4">
        <v>0.31546154024065221</v>
      </c>
      <c r="E12" s="4" t="str">
        <f>PR1_Au_CN_Qinghai!E43</f>
        <v>kilogram</v>
      </c>
      <c r="F12" s="1" t="str">
        <f>PR1_Au_CN_Qinghai!F43</f>
        <v>Gold</v>
      </c>
      <c r="G12" s="6" t="s">
        <v>24</v>
      </c>
    </row>
    <row r="13" spans="1:14" s="4" customFormat="1" x14ac:dyDescent="0.35">
      <c r="A13" s="4" t="str">
        <f>PR2_Au_PE_Alluvial_Carretilla!A32</f>
        <v>Au alluvial mining and Au production in Peru through "Carretilla" method</v>
      </c>
      <c r="B13" s="4" t="str">
        <f>PR2_Au_PE_Alluvial_Carretilla!B32</f>
        <v>Refined Au</v>
      </c>
      <c r="C13" s="4" t="str">
        <f>PR2_Au_PE_Alluvial_Carretilla!C32</f>
        <v>PE</v>
      </c>
      <c r="D13" s="4">
        <v>2.5316406770560696E-3</v>
      </c>
      <c r="E13" s="4" t="str">
        <f>PR2_Au_PE_Alluvial_Carretilla!E32</f>
        <v>kilogram</v>
      </c>
      <c r="F13" s="1" t="str">
        <f>PR2_Au_PE_Alluvial_Carretilla!F32</f>
        <v>Gold</v>
      </c>
      <c r="G13" s="6" t="s">
        <v>24</v>
      </c>
    </row>
    <row r="14" spans="1:14" s="4" customFormat="1" x14ac:dyDescent="0.35">
      <c r="A14" s="4" t="str">
        <f>PR3_Au_PE_Alluvial_Traca!A34</f>
        <v>Au alluvial mining and Au production in Peru through "Chupadera/traca" method</v>
      </c>
      <c r="B14" s="4" t="str">
        <f>PR3_Au_PE_Alluvial_Traca!B34</f>
        <v>Refined Au</v>
      </c>
      <c r="C14" s="4" t="str">
        <f>PR3_Au_PE_Alluvial_Traca!C34</f>
        <v>PE</v>
      </c>
      <c r="D14" s="4">
        <v>2.5316406770560696E-3</v>
      </c>
      <c r="E14" s="4" t="str">
        <f>PR3_Au_PE_Alluvial_Traca!E34</f>
        <v>kilogram</v>
      </c>
      <c r="F14" s="1" t="str">
        <f>PR3_Au_PE_Alluvial_Traca!F34</f>
        <v>Gold</v>
      </c>
      <c r="G14" s="6" t="s">
        <v>24</v>
      </c>
    </row>
    <row r="15" spans="1:14" s="4" customFormat="1" x14ac:dyDescent="0.35">
      <c r="A15" s="4" t="str">
        <f>PR4_Au_PE_Alluvial_Caranchera!A33</f>
        <v>Au alluvial mining and Au production in Peru through "Caranchera" method</v>
      </c>
      <c r="B15" s="4" t="str">
        <f>PR4_Au_PE_Alluvial_Caranchera!B33</f>
        <v>Refined Au</v>
      </c>
      <c r="C15" s="4" t="str">
        <f>PR4_Au_PE_Alluvial_Caranchera!C33</f>
        <v>PE</v>
      </c>
      <c r="D15" s="4">
        <v>2.5316406770560696E-3</v>
      </c>
      <c r="E15" s="4" t="str">
        <f>PR4_Au_PE_Alluvial_Caranchera!E33</f>
        <v>kilogram</v>
      </c>
      <c r="F15" s="1" t="str">
        <f>PR4_Au_PE_Alluvial_Caranchera!F33</f>
        <v>Gold</v>
      </c>
      <c r="G15" s="6" t="s">
        <v>24</v>
      </c>
    </row>
    <row r="16" spans="1:14" s="4" customFormat="1" x14ac:dyDescent="0.35">
      <c r="A16" s="4" t="str">
        <f>PR5_Au_PE_Alluvial_Dredge!A33</f>
        <v>Au alluvial mining and Au production in Peru through "Dredge" method</v>
      </c>
      <c r="B16" s="4" t="str">
        <f>PR5_Au_PE_Alluvial_Dredge!B33</f>
        <v>Refined Au</v>
      </c>
      <c r="C16" s="4" t="str">
        <f>PR5_Au_PE_Alluvial_Dredge!C33</f>
        <v>PE</v>
      </c>
      <c r="D16" s="4">
        <v>2.5316406770560696E-3</v>
      </c>
      <c r="E16" s="4" t="str">
        <f>PR5_Au_PE_Alluvial_Dredge!E33</f>
        <v>kilogram</v>
      </c>
      <c r="F16" s="1" t="str">
        <f>PR5_Au_PE_Alluvial_Dredge!F33</f>
        <v>Gold</v>
      </c>
      <c r="G16" s="6" t="s">
        <v>24</v>
      </c>
    </row>
    <row r="17" spans="1:7" s="4" customFormat="1" x14ac:dyDescent="0.35">
      <c r="A17" s="4" t="str">
        <f>PR6_Au_PE_Alluvial_PartialChute!A34</f>
        <v>Au alluvial mining and Au production in Peru through "Partial chute" method</v>
      </c>
      <c r="B17" s="4" t="str">
        <f>PR6_Au_PE_Alluvial_PartialChute!B34</f>
        <v>Refined Au</v>
      </c>
      <c r="C17" s="4" t="str">
        <f>PR6_Au_PE_Alluvial_PartialChute!C34</f>
        <v>PE</v>
      </c>
      <c r="D17" s="4">
        <v>2.5316406770560696E-3</v>
      </c>
      <c r="E17" s="4" t="str">
        <f>PR6_Au_PE_Alluvial_PartialChute!E34</f>
        <v>kilogram</v>
      </c>
      <c r="F17" s="1" t="str">
        <f>PR6_Au_PE_Alluvial_PartialChute!F34</f>
        <v>Gold</v>
      </c>
      <c r="G17" s="6" t="s">
        <v>24</v>
      </c>
    </row>
    <row r="18" spans="1:7" s="4" customFormat="1" x14ac:dyDescent="0.35">
      <c r="A18" s="4" t="str">
        <f>PR7_Au_PE_Alluvial_Chute!A34</f>
        <v>Au alluvial mining and Au production in Peru through "Complete chute" method</v>
      </c>
      <c r="B18" s="4" t="str">
        <f>PR7_Au_PE_Alluvial_Chute!B34</f>
        <v>Refined Au</v>
      </c>
      <c r="C18" s="4" t="str">
        <f>PR7_Au_PE_Alluvial_Chute!C34</f>
        <v>PE</v>
      </c>
      <c r="D18" s="4">
        <v>2.5316406770560696E-3</v>
      </c>
      <c r="E18" s="4" t="str">
        <f>PR7_Au_PE_Alluvial_Chute!E34</f>
        <v>kilogram</v>
      </c>
      <c r="F18" s="1" t="str">
        <f>PR7_Au_PE_Alluvial_Chute!F34</f>
        <v>Gold</v>
      </c>
      <c r="G18" s="6" t="s">
        <v>24</v>
      </c>
    </row>
    <row r="19" spans="1:7" s="4" customFormat="1" x14ac:dyDescent="0.35">
      <c r="A19" s="4" t="str">
        <f>PR8_Au_CO_OpenPit!A39</f>
        <v>Au ore mining and Au production in Colombia/Antioquia</v>
      </c>
      <c r="B19" s="4" t="str">
        <f>PR8_Au_CO_OpenPit!B39</f>
        <v>Refined Au</v>
      </c>
      <c r="C19" s="4" t="str">
        <f>PR8_Au_CO_OpenPit!C39</f>
        <v>CO</v>
      </c>
      <c r="D19" s="4">
        <v>5.3254790103379683E-2</v>
      </c>
      <c r="E19" s="4" t="str">
        <f>PR8_Au_CO_OpenPit!E39</f>
        <v>kilogram</v>
      </c>
      <c r="F19" s="1" t="str">
        <f>PR8_Au_CO_OpenPit!F39</f>
        <v>Gold</v>
      </c>
      <c r="G19" s="6" t="s">
        <v>24</v>
      </c>
    </row>
    <row r="20" spans="1:7" s="4" customFormat="1" x14ac:dyDescent="0.35">
      <c r="A20" s="4" t="str">
        <f>PR9_Au_CO_Alluvial!A35</f>
        <v>Au alluvial mining and Au production in Colombia/Antioquia</v>
      </c>
      <c r="B20" s="4" t="str">
        <f>PR9_Au_CO_Alluvial!B35</f>
        <v>Refined Au</v>
      </c>
      <c r="C20" s="4" t="str">
        <f>PR9_Au_CO_Alluvial!C35</f>
        <v>CO</v>
      </c>
      <c r="D20" s="4">
        <v>8.6661338225972207E-3</v>
      </c>
      <c r="E20" s="4" t="str">
        <f>PR9_Au_CO_Alluvial!E35</f>
        <v>kilogram</v>
      </c>
      <c r="F20" s="1" t="str">
        <f>PR9_Au_CO_Alluvial!F35</f>
        <v>Gold</v>
      </c>
      <c r="G20" s="6" t="s">
        <v>24</v>
      </c>
    </row>
    <row r="21" spans="1:7" s="4" customFormat="1" x14ac:dyDescent="0.35">
      <c r="A21" s="4" t="str">
        <f>PR10_Au_PE_OpenPit!A76</f>
        <v>Au open-pit mining and Au production in Peru</v>
      </c>
      <c r="B21" s="4" t="str">
        <f>PR10_Au_PE_OpenPit!B76</f>
        <v>Refined Au</v>
      </c>
      <c r="C21" s="4" t="str">
        <f>PR10_Au_PE_OpenPit!C76</f>
        <v>PE</v>
      </c>
      <c r="D21" s="4">
        <v>9.3344041737906058E-2</v>
      </c>
      <c r="E21" s="4" t="str">
        <f>PR10_Au_PE_OpenPit!E76</f>
        <v>kilogram</v>
      </c>
      <c r="F21" s="1" t="str">
        <f>PR10_Au_PE_OpenPit!F76</f>
        <v>Gold</v>
      </c>
      <c r="G21" s="6" t="s">
        <v>24</v>
      </c>
    </row>
    <row r="22" spans="1:7" s="4" customFormat="1" x14ac:dyDescent="0.35">
      <c r="A22" s="4" t="str">
        <f>PR11_Au_CN_CuSlime!A31</f>
        <v>Au production in China through Cu anode slime processing</v>
      </c>
      <c r="B22" s="4" t="str">
        <f>PR11_Au_CN_CuSlime!B31</f>
        <v>Refined Au</v>
      </c>
      <c r="C22" s="4" t="str">
        <f>PR11_Au_CN_CuSlime!C31</f>
        <v>CN</v>
      </c>
      <c r="D22" s="4">
        <v>4.4017889335904961E-2</v>
      </c>
      <c r="E22" s="4" t="str">
        <f>PR11_Au_CN_CuSlime!E31</f>
        <v>kilogram</v>
      </c>
      <c r="F22" s="1" t="str">
        <f>PR11_Au_CN_CuSlime!F31</f>
        <v>Gold</v>
      </c>
      <c r="G22" s="6" t="s">
        <v>24</v>
      </c>
    </row>
    <row r="23" spans="1:7" s="4" customFormat="1" x14ac:dyDescent="0.35">
      <c r="A23" s="4" t="str">
        <f>PR12_Au_AU!A31</f>
        <v>Au ore mining and Au production in Australia</v>
      </c>
      <c r="B23" s="4" t="str">
        <f>PR12_Au_AU!B31</f>
        <v>Refined Au</v>
      </c>
      <c r="C23" s="4" t="str">
        <f>PR12_Au_AU!C31</f>
        <v>AU</v>
      </c>
      <c r="D23" s="4">
        <v>0.3424973926305025</v>
      </c>
      <c r="E23" s="4" t="str">
        <f>PR12_Au_AU!E31</f>
        <v>kilogram</v>
      </c>
      <c r="F23" s="1" t="str">
        <f>PR12_Au_AU!F31</f>
        <v>Gold</v>
      </c>
      <c r="G23" s="6" t="s">
        <v>24</v>
      </c>
    </row>
    <row r="24" spans="1:7" s="4" customFormat="1" x14ac:dyDescent="0.35">
      <c r="A24" s="4" t="str">
        <f>PR13_Au_ZA!A32</f>
        <v>Au ore mining and Au production in South Africa</v>
      </c>
      <c r="B24" s="4" t="str">
        <f>PR13_Au_ZA!B32</f>
        <v>Refined Au</v>
      </c>
      <c r="C24" s="4" t="str">
        <f>PR13_Au_ZA!C32</f>
        <v>ZA</v>
      </c>
      <c r="D24" s="4">
        <v>0.11711611203026813</v>
      </c>
      <c r="E24" s="4" t="str">
        <f>PR13_Au_ZA!E32</f>
        <v>kilogram</v>
      </c>
      <c r="F24" s="1" t="str">
        <f>PR13_Au_ZA!F32</f>
        <v>Gold</v>
      </c>
      <c r="G24" s="6" t="s">
        <v>24</v>
      </c>
    </row>
    <row r="25" spans="1:7" s="4" customFormat="1" x14ac:dyDescent="0.35">
      <c r="A25" s="4" t="str">
        <f>PR14_Au_RER_Recycling_WEEE!A136</f>
        <v>Au production in Europe through WEEE recycling</v>
      </c>
      <c r="B25" s="4" t="str">
        <f>PR14_Au_RER_Recycling_WEEE!B136</f>
        <v>Refined Au</v>
      </c>
      <c r="C25" s="4" t="str">
        <f>PR14_Au_RER_Recycling_WEEE!C136</f>
        <v>Europe</v>
      </c>
      <c r="D25" s="4">
        <v>1.0452256036453032E-2</v>
      </c>
      <c r="E25" s="4" t="str">
        <f>PR14_Au_RER_Recycling_WEEE!E136</f>
        <v>kilogram</v>
      </c>
      <c r="F25" s="1" t="str">
        <f>PR14_Au_RER_Recycling_WEEE!F136</f>
        <v>Gold</v>
      </c>
      <c r="G25" s="6" t="s">
        <v>24</v>
      </c>
    </row>
    <row r="26" spans="1:7" s="4" customFormat="1" x14ac:dyDescent="0.35">
      <c r="F26" s="1"/>
    </row>
    <row r="27" spans="1:7" s="4" customFormat="1" x14ac:dyDescent="0.35">
      <c r="F27" s="1"/>
    </row>
    <row r="28" spans="1:7" s="4" customFormat="1" x14ac:dyDescent="0.35">
      <c r="F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44"/>
  <sheetViews>
    <sheetView workbookViewId="0">
      <selection activeCell="D15" sqref="D15"/>
    </sheetView>
  </sheetViews>
  <sheetFormatPr baseColWidth="10" defaultColWidth="9.1796875" defaultRowHeight="14.5" x14ac:dyDescent="0.35"/>
  <cols>
    <col min="1" max="1" width="59.81640625" style="6" bestFit="1" customWidth="1"/>
    <col min="2" max="2" width="55" style="6" customWidth="1"/>
    <col min="3" max="3" width="8.1796875" style="6" bestFit="1" customWidth="1"/>
    <col min="4" max="4" width="12.7265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5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12" t="s">
        <v>216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(from ore)</v>
      </c>
      <c r="B9" s="6" t="str">
        <f>B2</f>
        <v>Refined Au</v>
      </c>
      <c r="C9" s="6" t="str">
        <f>B3</f>
        <v>CN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26</v>
      </c>
      <c r="B10" s="6" t="s">
        <v>27</v>
      </c>
      <c r="C10" s="6" t="s">
        <v>28</v>
      </c>
      <c r="D10" s="6">
        <v>109.82658959537569</v>
      </c>
      <c r="E10" s="6" t="s">
        <v>8</v>
      </c>
      <c r="F10" s="6" t="s">
        <v>23</v>
      </c>
      <c r="G10" s="6" t="s">
        <v>24</v>
      </c>
      <c r="J10" s="6" t="s">
        <v>29</v>
      </c>
    </row>
    <row r="11" spans="1:14" x14ac:dyDescent="0.35">
      <c r="A11" s="6" t="s">
        <v>30</v>
      </c>
      <c r="B11" s="6" t="s">
        <v>31</v>
      </c>
      <c r="C11" s="6" t="s">
        <v>28</v>
      </c>
      <c r="D11" s="6">
        <v>150.28901734104051</v>
      </c>
      <c r="E11" s="6" t="s">
        <v>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32</v>
      </c>
      <c r="B12" s="6" t="s">
        <v>33</v>
      </c>
      <c r="C12" s="6" t="s">
        <v>34</v>
      </c>
      <c r="D12" s="6">
        <v>260.11560693641621</v>
      </c>
      <c r="E12" s="6" t="s">
        <v>8</v>
      </c>
      <c r="F12" s="6" t="s">
        <v>23</v>
      </c>
      <c r="G12" s="6" t="s">
        <v>24</v>
      </c>
      <c r="J12" s="6" t="s">
        <v>29</v>
      </c>
    </row>
    <row r="13" spans="1:14" x14ac:dyDescent="0.35">
      <c r="A13" s="6" t="s">
        <v>35</v>
      </c>
      <c r="B13" s="6" t="s">
        <v>36</v>
      </c>
      <c r="C13" s="6" t="s">
        <v>34</v>
      </c>
      <c r="D13" s="6">
        <v>104.04624277456649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37</v>
      </c>
      <c r="B14" s="6" t="s">
        <v>38</v>
      </c>
      <c r="C14" s="6" t="s">
        <v>34</v>
      </c>
      <c r="D14" s="6">
        <v>2699.4219653179189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39</v>
      </c>
      <c r="B15" s="6" t="s">
        <v>40</v>
      </c>
      <c r="C15" s="6" t="s">
        <v>5</v>
      </c>
      <c r="D15" s="6">
        <v>50942.196531791902</v>
      </c>
      <c r="E15" s="6" t="s">
        <v>41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42</v>
      </c>
      <c r="B16" s="6" t="s">
        <v>43</v>
      </c>
      <c r="C16" s="6" t="s">
        <v>5</v>
      </c>
      <c r="D16" s="6">
        <v>1768.78612716763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0" x14ac:dyDescent="0.35">
      <c r="A17" s="6" t="s">
        <v>44</v>
      </c>
      <c r="B17" s="6" t="s">
        <v>45</v>
      </c>
      <c r="C17" s="6" t="s">
        <v>34</v>
      </c>
      <c r="D17" s="6">
        <v>57.80346820809249</v>
      </c>
      <c r="E17" s="6" t="s">
        <v>8</v>
      </c>
      <c r="F17" s="6" t="s">
        <v>23</v>
      </c>
      <c r="G17" s="6" t="s">
        <v>24</v>
      </c>
      <c r="J17" s="6" t="s">
        <v>25</v>
      </c>
    </row>
    <row r="18" spans="1:10" x14ac:dyDescent="0.35">
      <c r="A18" s="6" t="s">
        <v>46</v>
      </c>
      <c r="B18" s="6" t="s">
        <v>47</v>
      </c>
      <c r="C18" s="6" t="s">
        <v>28</v>
      </c>
      <c r="D18" s="6">
        <v>10309.248554913291</v>
      </c>
      <c r="E18" s="6" t="s">
        <v>48</v>
      </c>
      <c r="F18" s="6" t="s">
        <v>23</v>
      </c>
      <c r="G18" s="6" t="s">
        <v>24</v>
      </c>
      <c r="J18" s="6" t="s">
        <v>25</v>
      </c>
    </row>
    <row r="19" spans="1:10" x14ac:dyDescent="0.35">
      <c r="A19" s="6" t="s">
        <v>49</v>
      </c>
      <c r="B19" s="6" t="s">
        <v>50</v>
      </c>
      <c r="C19" s="6" t="s">
        <v>34</v>
      </c>
      <c r="D19" s="6">
        <v>260.11560693641621</v>
      </c>
      <c r="E19" s="6" t="s">
        <v>8</v>
      </c>
      <c r="F19" s="6" t="s">
        <v>23</v>
      </c>
      <c r="G19" s="6" t="s">
        <v>24</v>
      </c>
      <c r="J19" s="6" t="s">
        <v>25</v>
      </c>
    </row>
    <row r="20" spans="1:10" x14ac:dyDescent="0.35">
      <c r="A20" s="6" t="s">
        <v>51</v>
      </c>
      <c r="B20" s="6" t="s">
        <v>52</v>
      </c>
      <c r="C20" s="6" t="s">
        <v>28</v>
      </c>
      <c r="D20" s="6">
        <v>589.59537572254339</v>
      </c>
      <c r="E20" s="6" t="s">
        <v>8</v>
      </c>
      <c r="F20" s="6" t="s">
        <v>23</v>
      </c>
      <c r="G20" s="6" t="s">
        <v>24</v>
      </c>
      <c r="J20" s="6" t="s">
        <v>25</v>
      </c>
    </row>
    <row r="21" spans="1:10" x14ac:dyDescent="0.35">
      <c r="A21" s="6" t="s">
        <v>53</v>
      </c>
      <c r="B21" s="6" t="s">
        <v>54</v>
      </c>
      <c r="C21" s="6" t="s">
        <v>34</v>
      </c>
      <c r="D21" s="6">
        <v>-8.1502890173410396</v>
      </c>
      <c r="E21" s="6" t="s">
        <v>8</v>
      </c>
      <c r="F21" s="6" t="s">
        <v>23</v>
      </c>
      <c r="G21" s="6" t="s">
        <v>24</v>
      </c>
      <c r="J21" s="6" t="s">
        <v>25</v>
      </c>
    </row>
    <row r="22" spans="1:10" x14ac:dyDescent="0.35">
      <c r="A22" s="6" t="s">
        <v>55</v>
      </c>
      <c r="B22" s="6" t="s">
        <v>56</v>
      </c>
      <c r="C22" s="6" t="s">
        <v>34</v>
      </c>
      <c r="D22" s="6">
        <v>-44.624277456647413</v>
      </c>
      <c r="E22" s="6" t="s">
        <v>8</v>
      </c>
      <c r="F22" s="6" t="s">
        <v>23</v>
      </c>
      <c r="G22" s="6" t="s">
        <v>24</v>
      </c>
      <c r="J22" s="6" t="s">
        <v>25</v>
      </c>
    </row>
    <row r="23" spans="1:10" x14ac:dyDescent="0.35">
      <c r="A23" s="6" t="s">
        <v>57</v>
      </c>
      <c r="B23" s="6" t="s">
        <v>58</v>
      </c>
      <c r="C23" s="6" t="s">
        <v>34</v>
      </c>
      <c r="D23" s="6">
        <v>-16.705202312138731</v>
      </c>
      <c r="E23" s="6" t="s">
        <v>59</v>
      </c>
      <c r="F23" s="6" t="s">
        <v>23</v>
      </c>
      <c r="G23" s="6" t="s">
        <v>24</v>
      </c>
      <c r="J23" s="6" t="s">
        <v>25</v>
      </c>
    </row>
    <row r="24" spans="1:10" s="11" customFormat="1" x14ac:dyDescent="0.35">
      <c r="A24" s="11" t="s">
        <v>60</v>
      </c>
      <c r="B24" s="11" t="s">
        <v>61</v>
      </c>
      <c r="C24" s="11" t="s">
        <v>34</v>
      </c>
      <c r="D24" s="11">
        <v>-26531.791907514449</v>
      </c>
      <c r="E24" s="11" t="s">
        <v>8</v>
      </c>
      <c r="F24" s="11" t="s">
        <v>23</v>
      </c>
      <c r="G24" s="11" t="s">
        <v>24</v>
      </c>
      <c r="J24" s="11" t="s">
        <v>25</v>
      </c>
    </row>
    <row r="25" spans="1:10" x14ac:dyDescent="0.35">
      <c r="A25" s="6" t="s">
        <v>62</v>
      </c>
      <c r="D25" s="6">
        <v>1.1156069364161849</v>
      </c>
      <c r="E25" s="6" t="s">
        <v>8</v>
      </c>
      <c r="F25" s="6" t="s">
        <v>63</v>
      </c>
      <c r="G25" s="6" t="s">
        <v>64</v>
      </c>
      <c r="H25" s="6" t="s">
        <v>65</v>
      </c>
      <c r="J25" s="6" t="s">
        <v>25</v>
      </c>
    </row>
    <row r="26" spans="1:10" x14ac:dyDescent="0.35">
      <c r="A26" s="6" t="s">
        <v>66</v>
      </c>
      <c r="D26" s="6">
        <v>26.300578034682079</v>
      </c>
      <c r="E26" s="6" t="s">
        <v>67</v>
      </c>
      <c r="F26" s="6" t="s">
        <v>63</v>
      </c>
      <c r="G26" s="6" t="s">
        <v>64</v>
      </c>
      <c r="H26" s="6" t="s">
        <v>68</v>
      </c>
      <c r="J26" s="6" t="s">
        <v>25</v>
      </c>
    </row>
    <row r="27" spans="1:10" x14ac:dyDescent="0.35">
      <c r="A27" s="6" t="s">
        <v>69</v>
      </c>
      <c r="D27" s="6">
        <v>26.300578034682079</v>
      </c>
      <c r="E27" s="6" t="s">
        <v>67</v>
      </c>
      <c r="F27" s="6" t="s">
        <v>63</v>
      </c>
      <c r="G27" s="6" t="s">
        <v>64</v>
      </c>
      <c r="H27" s="6" t="s">
        <v>68</v>
      </c>
      <c r="J27" s="6" t="s">
        <v>25</v>
      </c>
    </row>
    <row r="28" spans="1:10" x14ac:dyDescent="0.35">
      <c r="A28" s="6" t="s">
        <v>70</v>
      </c>
      <c r="D28" s="6">
        <v>352.60115606936421</v>
      </c>
      <c r="E28" s="6" t="s">
        <v>59</v>
      </c>
      <c r="F28" s="6" t="s">
        <v>63</v>
      </c>
      <c r="G28" s="6" t="s">
        <v>64</v>
      </c>
      <c r="H28" s="6" t="s">
        <v>65</v>
      </c>
      <c r="J28" s="6" t="s">
        <v>25</v>
      </c>
    </row>
    <row r="29" spans="1:10" x14ac:dyDescent="0.35">
      <c r="A29" s="6" t="s">
        <v>71</v>
      </c>
      <c r="D29" s="6">
        <v>18.138728323699421</v>
      </c>
      <c r="E29" s="6" t="s">
        <v>8</v>
      </c>
      <c r="F29" s="6" t="s">
        <v>63</v>
      </c>
      <c r="G29" s="6" t="s">
        <v>64</v>
      </c>
      <c r="H29" s="6" t="s">
        <v>72</v>
      </c>
      <c r="J29" s="6" t="s">
        <v>25</v>
      </c>
    </row>
    <row r="30" spans="1:10" x14ac:dyDescent="0.35">
      <c r="A30" s="6" t="s">
        <v>73</v>
      </c>
      <c r="D30" s="6">
        <v>1.3294797687861271E-4</v>
      </c>
      <c r="E30" s="6" t="s">
        <v>8</v>
      </c>
      <c r="F30" s="6" t="s">
        <v>63</v>
      </c>
      <c r="G30" s="6" t="s">
        <v>64</v>
      </c>
      <c r="H30" s="6" t="s">
        <v>72</v>
      </c>
      <c r="J30" s="6" t="s">
        <v>25</v>
      </c>
    </row>
    <row r="31" spans="1:10" x14ac:dyDescent="0.35">
      <c r="A31" s="6" t="s">
        <v>74</v>
      </c>
      <c r="D31" s="6">
        <v>12.98265895953757</v>
      </c>
      <c r="E31" s="6" t="s">
        <v>8</v>
      </c>
      <c r="F31" s="6" t="s">
        <v>63</v>
      </c>
      <c r="G31" s="6" t="s">
        <v>64</v>
      </c>
      <c r="H31" s="6" t="s">
        <v>72</v>
      </c>
      <c r="J31" s="6" t="s">
        <v>25</v>
      </c>
    </row>
    <row r="32" spans="1:10" x14ac:dyDescent="0.35">
      <c r="A32" s="6" t="s">
        <v>75</v>
      </c>
      <c r="D32" s="6">
        <v>3.8208092485549141</v>
      </c>
      <c r="E32" s="6" t="s">
        <v>8</v>
      </c>
      <c r="F32" s="6" t="s">
        <v>63</v>
      </c>
      <c r="G32" s="6" t="s">
        <v>64</v>
      </c>
      <c r="H32" s="6" t="s">
        <v>72</v>
      </c>
      <c r="J32" s="6" t="s">
        <v>25</v>
      </c>
    </row>
    <row r="33" spans="1:14" x14ac:dyDescent="0.35">
      <c r="A33" s="6" t="s">
        <v>76</v>
      </c>
      <c r="D33" s="6">
        <v>2601.1560693641618</v>
      </c>
      <c r="E33" s="6" t="s">
        <v>8</v>
      </c>
      <c r="F33" s="6" t="s">
        <v>63</v>
      </c>
      <c r="G33" s="6" t="s">
        <v>64</v>
      </c>
      <c r="H33" s="6" t="s">
        <v>72</v>
      </c>
      <c r="J33" s="6" t="s">
        <v>25</v>
      </c>
    </row>
    <row r="34" spans="1:14" s="10" customFormat="1" x14ac:dyDescent="0.35"/>
    <row r="35" spans="1:14" x14ac:dyDescent="0.35">
      <c r="A35" s="7" t="s">
        <v>0</v>
      </c>
      <c r="B35" s="7" t="s">
        <v>77</v>
      </c>
    </row>
    <row r="36" spans="1:14" x14ac:dyDescent="0.35">
      <c r="A36" s="8" t="s">
        <v>2</v>
      </c>
      <c r="B36" s="6" t="s">
        <v>3</v>
      </c>
    </row>
    <row r="37" spans="1:14" x14ac:dyDescent="0.35">
      <c r="A37" s="8" t="s">
        <v>4</v>
      </c>
      <c r="B37" s="6" t="s">
        <v>5</v>
      </c>
    </row>
    <row r="38" spans="1:14" x14ac:dyDescent="0.35">
      <c r="A38" s="8" t="s">
        <v>6</v>
      </c>
      <c r="B38" s="6">
        <v>1</v>
      </c>
    </row>
    <row r="39" spans="1:14" x14ac:dyDescent="0.35">
      <c r="A39" s="8" t="s">
        <v>7</v>
      </c>
      <c r="B39" s="6" t="s">
        <v>8</v>
      </c>
    </row>
    <row r="40" spans="1:14" x14ac:dyDescent="0.35">
      <c r="A40" s="8" t="s">
        <v>9</v>
      </c>
      <c r="B40" s="6" t="s">
        <v>10</v>
      </c>
    </row>
    <row r="41" spans="1:14" x14ac:dyDescent="0.35">
      <c r="A41" s="8" t="s">
        <v>11</v>
      </c>
    </row>
    <row r="42" spans="1:14" x14ac:dyDescent="0.35">
      <c r="A42" s="7" t="s">
        <v>12</v>
      </c>
      <c r="B42" s="7" t="s">
        <v>2</v>
      </c>
      <c r="C42" s="7" t="s">
        <v>4</v>
      </c>
      <c r="D42" s="7" t="s">
        <v>6</v>
      </c>
      <c r="E42" s="7" t="s">
        <v>7</v>
      </c>
      <c r="F42" s="7" t="s">
        <v>13</v>
      </c>
      <c r="G42" s="7" t="s">
        <v>14</v>
      </c>
      <c r="H42" s="7" t="s">
        <v>15</v>
      </c>
      <c r="I42" s="7" t="s">
        <v>16</v>
      </c>
      <c r="J42" s="7" t="s">
        <v>17</v>
      </c>
      <c r="K42" s="7" t="s">
        <v>18</v>
      </c>
      <c r="L42" s="7" t="s">
        <v>19</v>
      </c>
      <c r="M42" s="7" t="s">
        <v>20</v>
      </c>
      <c r="N42" s="7" t="s">
        <v>21</v>
      </c>
    </row>
    <row r="43" spans="1:14" x14ac:dyDescent="0.35">
      <c r="A43" s="6" t="str">
        <f>B35</f>
        <v>Au ore mining and Au production in China/Qinghai</v>
      </c>
      <c r="B43" s="6" t="str">
        <f>B36</f>
        <v>Refined Au</v>
      </c>
      <c r="C43" s="6" t="str">
        <f>B37</f>
        <v>CN</v>
      </c>
      <c r="D43" s="6">
        <v>1</v>
      </c>
      <c r="E43" s="6" t="s">
        <v>8</v>
      </c>
      <c r="F43" s="9" t="str">
        <f>F9</f>
        <v>Gold</v>
      </c>
      <c r="G43" s="6" t="s">
        <v>22</v>
      </c>
    </row>
    <row r="44" spans="1:14" x14ac:dyDescent="0.35">
      <c r="A44" s="6" t="str">
        <f>A9</f>
        <v>[M+C+P+R] Gold (Au) production (from ore)</v>
      </c>
      <c r="B44" s="6" t="str">
        <f t="shared" ref="B44:F44" si="0">B9</f>
        <v>Refined Au</v>
      </c>
      <c r="C44" s="6" t="str">
        <f t="shared" si="0"/>
        <v>CN</v>
      </c>
      <c r="D44" s="6">
        <f t="shared" si="0"/>
        <v>1</v>
      </c>
      <c r="E44" s="6" t="str">
        <f t="shared" si="0"/>
        <v>kilogram</v>
      </c>
      <c r="F44" s="9" t="str">
        <f t="shared" si="0"/>
        <v>Gold</v>
      </c>
      <c r="G44" s="6" t="s">
        <v>24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N33"/>
  <sheetViews>
    <sheetView workbookViewId="0"/>
  </sheetViews>
  <sheetFormatPr baseColWidth="10" defaultColWidth="9.1796875" defaultRowHeight="14.5" x14ac:dyDescent="0.35"/>
  <cols>
    <col min="1" max="1" width="66.81640625" style="6" bestFit="1" customWidth="1"/>
    <col min="2" max="2" width="67.1796875" style="6" bestFit="1" customWidth="1"/>
    <col min="3" max="3" width="8.1796875" style="6" bestFit="1" customWidth="1"/>
    <col min="4" max="4" width="9" style="6" bestFit="1" customWidth="1"/>
    <col min="5" max="5" width="11.4531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78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(alluivial - Carretilla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80</v>
      </c>
      <c r="B10" s="6" t="s">
        <v>80</v>
      </c>
      <c r="C10" s="6" t="s">
        <v>79</v>
      </c>
      <c r="D10" s="6">
        <v>1879.2</v>
      </c>
      <c r="E10" s="6" t="s">
        <v>48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46</v>
      </c>
      <c r="B11" s="6" t="s">
        <v>47</v>
      </c>
      <c r="C11" s="6" t="s">
        <v>28</v>
      </c>
      <c r="D11" s="6">
        <v>114187.5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81</v>
      </c>
      <c r="B12" s="6" t="s">
        <v>82</v>
      </c>
      <c r="C12" s="6" t="s">
        <v>34</v>
      </c>
      <c r="D12" s="6">
        <v>83.2</v>
      </c>
      <c r="E12" s="6" t="s">
        <v>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83</v>
      </c>
      <c r="B13" s="6" t="s">
        <v>84</v>
      </c>
      <c r="C13" s="6" t="s">
        <v>28</v>
      </c>
      <c r="D13" s="6">
        <v>111.1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85</v>
      </c>
      <c r="B14" s="6" t="s">
        <v>86</v>
      </c>
      <c r="C14" s="6" t="s">
        <v>28</v>
      </c>
      <c r="D14" s="6">
        <v>212.5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87</v>
      </c>
      <c r="B15" s="6" t="s">
        <v>88</v>
      </c>
      <c r="C15" s="6" t="s">
        <v>28</v>
      </c>
      <c r="D15" s="6">
        <v>19.399999999999999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89</v>
      </c>
      <c r="B16" s="6" t="s">
        <v>90</v>
      </c>
      <c r="C16" s="6" t="s">
        <v>28</v>
      </c>
      <c r="D16" s="6">
        <v>2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4" x14ac:dyDescent="0.35">
      <c r="A17" s="6" t="s">
        <v>91</v>
      </c>
      <c r="D17" s="6">
        <v>100000</v>
      </c>
      <c r="E17" s="6" t="s">
        <v>59</v>
      </c>
      <c r="F17" s="6" t="s">
        <v>63</v>
      </c>
      <c r="G17" s="6" t="s">
        <v>64</v>
      </c>
      <c r="H17" s="6" t="s">
        <v>92</v>
      </c>
      <c r="J17" s="6" t="s">
        <v>25</v>
      </c>
    </row>
    <row r="18" spans="1:14" x14ac:dyDescent="0.35">
      <c r="A18" s="6" t="s">
        <v>93</v>
      </c>
      <c r="D18" s="6">
        <v>0.1</v>
      </c>
      <c r="E18" s="6" t="s">
        <v>8</v>
      </c>
      <c r="F18" s="6" t="s">
        <v>63</v>
      </c>
      <c r="G18" s="6" t="s">
        <v>64</v>
      </c>
      <c r="H18" s="6" t="s">
        <v>94</v>
      </c>
      <c r="J18" s="6" t="s">
        <v>25</v>
      </c>
    </row>
    <row r="19" spans="1:14" x14ac:dyDescent="0.35">
      <c r="A19" s="6" t="s">
        <v>93</v>
      </c>
      <c r="D19" s="6">
        <v>1.3</v>
      </c>
      <c r="E19" s="6" t="s">
        <v>8</v>
      </c>
      <c r="F19" s="6" t="s">
        <v>63</v>
      </c>
      <c r="G19" s="6" t="s">
        <v>64</v>
      </c>
      <c r="H19" s="6" t="s">
        <v>95</v>
      </c>
      <c r="J19" s="6" t="s">
        <v>25</v>
      </c>
    </row>
    <row r="20" spans="1:14" x14ac:dyDescent="0.35">
      <c r="A20" s="6" t="s">
        <v>93</v>
      </c>
      <c r="D20" s="6">
        <v>0.3</v>
      </c>
      <c r="E20" s="6" t="s">
        <v>8</v>
      </c>
      <c r="F20" s="6" t="s">
        <v>63</v>
      </c>
      <c r="G20" s="6" t="s">
        <v>64</v>
      </c>
      <c r="H20" s="6" t="s">
        <v>96</v>
      </c>
      <c r="J20" s="6" t="s">
        <v>25</v>
      </c>
    </row>
    <row r="21" spans="1:14" x14ac:dyDescent="0.35">
      <c r="A21" s="6" t="s">
        <v>93</v>
      </c>
      <c r="D21" s="6">
        <v>0.3</v>
      </c>
      <c r="E21" s="6" t="s">
        <v>8</v>
      </c>
      <c r="F21" s="6" t="s">
        <v>63</v>
      </c>
      <c r="G21" s="6" t="s">
        <v>64</v>
      </c>
      <c r="H21" s="6" t="s">
        <v>97</v>
      </c>
      <c r="J21" s="6" t="s">
        <v>25</v>
      </c>
    </row>
    <row r="22" spans="1:14" x14ac:dyDescent="0.35">
      <c r="A22" s="6" t="s">
        <v>93</v>
      </c>
      <c r="D22" s="6">
        <v>0.79500000000000004</v>
      </c>
      <c r="E22" s="6" t="s">
        <v>8</v>
      </c>
      <c r="F22" s="6" t="s">
        <v>63</v>
      </c>
      <c r="G22" s="6" t="s">
        <v>64</v>
      </c>
      <c r="H22" s="6" t="s">
        <v>96</v>
      </c>
      <c r="J22" s="6" t="s">
        <v>25</v>
      </c>
    </row>
    <row r="23" spans="1:14" s="10" customFormat="1" x14ac:dyDescent="0.35"/>
    <row r="24" spans="1:14" x14ac:dyDescent="0.35">
      <c r="A24" s="7" t="s">
        <v>0</v>
      </c>
      <c r="B24" s="7" t="s">
        <v>98</v>
      </c>
    </row>
    <row r="25" spans="1:14" x14ac:dyDescent="0.35">
      <c r="A25" s="8" t="s">
        <v>2</v>
      </c>
      <c r="B25" s="6" t="s">
        <v>3</v>
      </c>
    </row>
    <row r="26" spans="1:14" x14ac:dyDescent="0.35">
      <c r="A26" s="8" t="s">
        <v>4</v>
      </c>
      <c r="B26" s="6" t="s">
        <v>79</v>
      </c>
    </row>
    <row r="27" spans="1:14" x14ac:dyDescent="0.35">
      <c r="A27" s="8" t="s">
        <v>6</v>
      </c>
      <c r="B27" s="6">
        <v>1</v>
      </c>
    </row>
    <row r="28" spans="1:14" x14ac:dyDescent="0.35">
      <c r="A28" s="8" t="s">
        <v>7</v>
      </c>
      <c r="B28" s="6" t="s">
        <v>8</v>
      </c>
    </row>
    <row r="29" spans="1:14" x14ac:dyDescent="0.35">
      <c r="A29" s="8" t="s">
        <v>9</v>
      </c>
      <c r="B29" s="6" t="s">
        <v>10</v>
      </c>
    </row>
    <row r="30" spans="1:14" x14ac:dyDescent="0.35">
      <c r="A30" s="8" t="s">
        <v>11</v>
      </c>
    </row>
    <row r="31" spans="1:14" x14ac:dyDescent="0.35">
      <c r="A31" s="7" t="s">
        <v>12</v>
      </c>
      <c r="B31" s="7" t="s">
        <v>2</v>
      </c>
      <c r="C31" s="7" t="s">
        <v>4</v>
      </c>
      <c r="D31" s="7" t="s">
        <v>6</v>
      </c>
      <c r="E31" s="7" t="s">
        <v>7</v>
      </c>
      <c r="F31" s="7" t="s">
        <v>13</v>
      </c>
      <c r="G31" s="7" t="s">
        <v>14</v>
      </c>
      <c r="H31" s="7" t="s">
        <v>15</v>
      </c>
      <c r="I31" s="7" t="s">
        <v>16</v>
      </c>
      <c r="J31" s="7" t="s">
        <v>17</v>
      </c>
      <c r="K31" s="7" t="s">
        <v>18</v>
      </c>
      <c r="L31" s="7" t="s">
        <v>19</v>
      </c>
      <c r="M31" s="7" t="s">
        <v>20</v>
      </c>
      <c r="N31" s="7" t="s">
        <v>21</v>
      </c>
    </row>
    <row r="32" spans="1:14" x14ac:dyDescent="0.35">
      <c r="A32" s="6" t="str">
        <f>B24</f>
        <v>Au alluvial mining and Au production in Peru through "Carretilla" method</v>
      </c>
      <c r="B32" s="6" t="str">
        <f>B25</f>
        <v>Refined Au</v>
      </c>
      <c r="C32" s="6" t="str">
        <f>B26</f>
        <v>PE</v>
      </c>
      <c r="D32" s="6">
        <v>1</v>
      </c>
      <c r="E32" s="6" t="s">
        <v>8</v>
      </c>
      <c r="F32" s="9" t="str">
        <f>F9</f>
        <v>Gold</v>
      </c>
      <c r="G32" s="6" t="s">
        <v>22</v>
      </c>
    </row>
    <row r="33" spans="1:7" x14ac:dyDescent="0.35">
      <c r="A33" s="6" t="str">
        <f>A9</f>
        <v>[M+C+P+R] Gold (Au) production (alluivial - Carretilla method)</v>
      </c>
      <c r="B33" s="6" t="str">
        <f t="shared" ref="B33:F33" si="0">B9</f>
        <v>Refined Au</v>
      </c>
      <c r="C33" s="6" t="str">
        <f t="shared" si="0"/>
        <v>PE</v>
      </c>
      <c r="D33" s="6">
        <f t="shared" si="0"/>
        <v>1</v>
      </c>
      <c r="E33" s="6" t="str">
        <f t="shared" si="0"/>
        <v>kilogram</v>
      </c>
      <c r="F33" s="9" t="str">
        <f t="shared" si="0"/>
        <v>Gold</v>
      </c>
      <c r="G33" s="6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35"/>
  <sheetViews>
    <sheetView workbookViewId="0"/>
  </sheetViews>
  <sheetFormatPr baseColWidth="10" defaultColWidth="9.1796875" defaultRowHeight="14.5" x14ac:dyDescent="0.35"/>
  <cols>
    <col min="1" max="1" width="73.7265625" style="6" bestFit="1" customWidth="1"/>
    <col min="2" max="2" width="74" style="6" bestFit="1" customWidth="1"/>
    <col min="3" max="3" width="8.1796875" style="6" bestFit="1" customWidth="1"/>
    <col min="4" max="4" width="9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99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 - Chupadera/Traca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51</v>
      </c>
      <c r="B10" s="6" t="s">
        <v>52</v>
      </c>
      <c r="C10" s="6" t="s">
        <v>28</v>
      </c>
      <c r="D10" s="6">
        <v>8.9</v>
      </c>
      <c r="E10" s="6" t="s">
        <v>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80</v>
      </c>
      <c r="B11" s="6" t="s">
        <v>80</v>
      </c>
      <c r="C11" s="6" t="s">
        <v>79</v>
      </c>
      <c r="D11" s="6">
        <v>465.45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46</v>
      </c>
      <c r="B12" s="6" t="s">
        <v>47</v>
      </c>
      <c r="C12" s="6" t="s">
        <v>28</v>
      </c>
      <c r="D12" s="6">
        <v>164386.5</v>
      </c>
      <c r="E12" s="6" t="s">
        <v>48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81</v>
      </c>
      <c r="B13" s="6" t="s">
        <v>82</v>
      </c>
      <c r="C13" s="6" t="s">
        <v>34</v>
      </c>
      <c r="D13" s="6">
        <v>33.5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83</v>
      </c>
      <c r="B14" s="6" t="s">
        <v>84</v>
      </c>
      <c r="C14" s="6" t="s">
        <v>28</v>
      </c>
      <c r="D14" s="6">
        <v>22.2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85</v>
      </c>
      <c r="B15" s="6" t="s">
        <v>86</v>
      </c>
      <c r="C15" s="6" t="s">
        <v>28</v>
      </c>
      <c r="D15" s="6">
        <v>25.5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87</v>
      </c>
      <c r="B16" s="6" t="s">
        <v>88</v>
      </c>
      <c r="C16" s="6" t="s">
        <v>28</v>
      </c>
      <c r="D16" s="6">
        <v>4.7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0" x14ac:dyDescent="0.35">
      <c r="A17" s="6" t="s">
        <v>89</v>
      </c>
      <c r="B17" s="6" t="s">
        <v>90</v>
      </c>
      <c r="C17" s="6" t="s">
        <v>28</v>
      </c>
      <c r="D17" s="6">
        <v>2</v>
      </c>
      <c r="E17" s="6" t="s">
        <v>8</v>
      </c>
      <c r="F17" s="6" t="s">
        <v>23</v>
      </c>
      <c r="G17" s="6" t="s">
        <v>24</v>
      </c>
      <c r="J17" s="6" t="s">
        <v>25</v>
      </c>
    </row>
    <row r="18" spans="1:10" x14ac:dyDescent="0.35">
      <c r="A18" s="6" t="s">
        <v>91</v>
      </c>
      <c r="D18" s="6">
        <v>66667</v>
      </c>
      <c r="E18" s="6" t="s">
        <v>59</v>
      </c>
      <c r="F18" s="6" t="s">
        <v>63</v>
      </c>
      <c r="G18" s="6" t="s">
        <v>64</v>
      </c>
      <c r="H18" s="6" t="s">
        <v>92</v>
      </c>
      <c r="J18" s="6" t="s">
        <v>25</v>
      </c>
    </row>
    <row r="19" spans="1:10" x14ac:dyDescent="0.35">
      <c r="A19" s="6" t="s">
        <v>100</v>
      </c>
      <c r="D19" s="6">
        <v>1111</v>
      </c>
      <c r="E19" s="6" t="s">
        <v>67</v>
      </c>
      <c r="F19" s="6" t="s">
        <v>63</v>
      </c>
      <c r="G19" s="6" t="s">
        <v>64</v>
      </c>
      <c r="H19" s="6" t="s">
        <v>68</v>
      </c>
      <c r="J19" s="6" t="s">
        <v>25</v>
      </c>
    </row>
    <row r="20" spans="1:10" x14ac:dyDescent="0.35">
      <c r="A20" s="6" t="s">
        <v>66</v>
      </c>
      <c r="D20" s="6">
        <v>1111</v>
      </c>
      <c r="E20" s="6" t="s">
        <v>67</v>
      </c>
      <c r="F20" s="6" t="s">
        <v>63</v>
      </c>
      <c r="G20" s="6" t="s">
        <v>64</v>
      </c>
      <c r="H20" s="6" t="s">
        <v>68</v>
      </c>
      <c r="J20" s="6" t="s">
        <v>25</v>
      </c>
    </row>
    <row r="21" spans="1:10" x14ac:dyDescent="0.35">
      <c r="A21" s="6" t="s">
        <v>93</v>
      </c>
      <c r="D21" s="6">
        <v>0.1</v>
      </c>
      <c r="E21" s="6" t="s">
        <v>8</v>
      </c>
      <c r="F21" s="6" t="s">
        <v>63</v>
      </c>
      <c r="G21" s="6" t="s">
        <v>64</v>
      </c>
      <c r="H21" s="6" t="s">
        <v>94</v>
      </c>
      <c r="J21" s="6" t="s">
        <v>25</v>
      </c>
    </row>
    <row r="22" spans="1:10" x14ac:dyDescent="0.35">
      <c r="A22" s="6" t="s">
        <v>93</v>
      </c>
      <c r="D22" s="6">
        <v>1.3</v>
      </c>
      <c r="E22" s="6" t="s">
        <v>8</v>
      </c>
      <c r="F22" s="6" t="s">
        <v>63</v>
      </c>
      <c r="G22" s="6" t="s">
        <v>64</v>
      </c>
      <c r="H22" s="6" t="s">
        <v>95</v>
      </c>
      <c r="J22" s="6" t="s">
        <v>25</v>
      </c>
    </row>
    <row r="23" spans="1:10" x14ac:dyDescent="0.35">
      <c r="A23" s="6" t="s">
        <v>93</v>
      </c>
      <c r="D23" s="6">
        <v>0.3</v>
      </c>
      <c r="E23" s="6" t="s">
        <v>8</v>
      </c>
      <c r="F23" s="6" t="s">
        <v>63</v>
      </c>
      <c r="G23" s="6" t="s">
        <v>64</v>
      </c>
      <c r="H23" s="6" t="s">
        <v>96</v>
      </c>
      <c r="J23" s="6" t="s">
        <v>25</v>
      </c>
    </row>
    <row r="24" spans="1:10" x14ac:dyDescent="0.35">
      <c r="A24" s="6" t="s">
        <v>93</v>
      </c>
      <c r="D24" s="6">
        <v>0.3</v>
      </c>
      <c r="E24" s="6" t="s">
        <v>8</v>
      </c>
      <c r="F24" s="6" t="s">
        <v>63</v>
      </c>
      <c r="G24" s="6" t="s">
        <v>64</v>
      </c>
      <c r="H24" s="6" t="s">
        <v>97</v>
      </c>
      <c r="J24" s="6" t="s">
        <v>25</v>
      </c>
    </row>
    <row r="25" spans="1:10" s="10" customFormat="1" x14ac:dyDescent="0.35"/>
    <row r="26" spans="1:10" x14ac:dyDescent="0.35">
      <c r="A26" s="7" t="s">
        <v>0</v>
      </c>
      <c r="B26" s="7" t="s">
        <v>101</v>
      </c>
    </row>
    <row r="27" spans="1:10" x14ac:dyDescent="0.35">
      <c r="A27" s="8" t="s">
        <v>2</v>
      </c>
      <c r="B27" s="6" t="s">
        <v>3</v>
      </c>
    </row>
    <row r="28" spans="1:10" x14ac:dyDescent="0.35">
      <c r="A28" s="8" t="s">
        <v>4</v>
      </c>
      <c r="B28" s="6" t="s">
        <v>79</v>
      </c>
    </row>
    <row r="29" spans="1:10" x14ac:dyDescent="0.35">
      <c r="A29" s="8" t="s">
        <v>6</v>
      </c>
      <c r="B29" s="6">
        <v>1</v>
      </c>
    </row>
    <row r="30" spans="1:10" x14ac:dyDescent="0.35">
      <c r="A30" s="8" t="s">
        <v>7</v>
      </c>
      <c r="B30" s="6" t="s">
        <v>8</v>
      </c>
    </row>
    <row r="31" spans="1:10" x14ac:dyDescent="0.35">
      <c r="A31" s="8" t="s">
        <v>9</v>
      </c>
      <c r="B31" s="6" t="s">
        <v>10</v>
      </c>
    </row>
    <row r="32" spans="1:10" x14ac:dyDescent="0.35">
      <c r="A32" s="8" t="s">
        <v>11</v>
      </c>
    </row>
    <row r="33" spans="1:14" x14ac:dyDescent="0.35">
      <c r="A33" s="7" t="s">
        <v>12</v>
      </c>
      <c r="B33" s="7" t="s">
        <v>2</v>
      </c>
      <c r="C33" s="7" t="s">
        <v>4</v>
      </c>
      <c r="D33" s="7" t="s">
        <v>6</v>
      </c>
      <c r="E33" s="7" t="s">
        <v>7</v>
      </c>
      <c r="F33" s="7" t="s">
        <v>13</v>
      </c>
      <c r="G33" s="7" t="s">
        <v>14</v>
      </c>
      <c r="H33" s="7" t="s">
        <v>15</v>
      </c>
      <c r="I33" s="7" t="s">
        <v>16</v>
      </c>
      <c r="J33" s="7" t="s">
        <v>17</v>
      </c>
      <c r="K33" s="7" t="s">
        <v>18</v>
      </c>
      <c r="L33" s="7" t="s">
        <v>19</v>
      </c>
      <c r="M33" s="7" t="s">
        <v>20</v>
      </c>
      <c r="N33" s="7" t="s">
        <v>21</v>
      </c>
    </row>
    <row r="34" spans="1:14" x14ac:dyDescent="0.35">
      <c r="A34" s="6" t="str">
        <f>B26</f>
        <v>Au alluvial mining and Au production in Peru through "Chupadera/traca" method</v>
      </c>
      <c r="B34" s="6" t="str">
        <f>B27</f>
        <v>Refined Au</v>
      </c>
      <c r="C34" s="6" t="str">
        <f>B28</f>
        <v>PE</v>
      </c>
      <c r="D34" s="6">
        <v>1</v>
      </c>
      <c r="E34" s="6" t="s">
        <v>8</v>
      </c>
      <c r="F34" s="9" t="str">
        <f>F9</f>
        <v>Gold</v>
      </c>
      <c r="G34" s="6" t="s">
        <v>22</v>
      </c>
    </row>
    <row r="35" spans="1:14" x14ac:dyDescent="0.35">
      <c r="A35" s="6" t="str">
        <f>A9</f>
        <v>[M+C+P+R] Gold (Au) production (alluvial - Chupadera/Traca method)</v>
      </c>
      <c r="B35" s="6" t="str">
        <f t="shared" ref="B35:F35" si="0">B9</f>
        <v>Refined Au</v>
      </c>
      <c r="C35" s="6" t="str">
        <f t="shared" si="0"/>
        <v>PE</v>
      </c>
      <c r="D35" s="6">
        <f t="shared" si="0"/>
        <v>1</v>
      </c>
      <c r="E35" s="6" t="str">
        <f t="shared" si="0"/>
        <v>kilogram</v>
      </c>
      <c r="F35" s="9" t="str">
        <f t="shared" si="0"/>
        <v>Gold</v>
      </c>
      <c r="G35" s="6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N34"/>
  <sheetViews>
    <sheetView workbookViewId="0"/>
  </sheetViews>
  <sheetFormatPr baseColWidth="10" defaultColWidth="9.1796875" defaultRowHeight="14.5" x14ac:dyDescent="0.35"/>
  <cols>
    <col min="1" max="1" width="68.7265625" style="6" bestFit="1" customWidth="1"/>
    <col min="2" max="2" width="69" style="6" bestFit="1" customWidth="1"/>
    <col min="3" max="3" width="8.1796875" style="6" bestFit="1" customWidth="1"/>
    <col min="4" max="4" width="9" style="6" bestFit="1" customWidth="1"/>
    <col min="5" max="5" width="11.4531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102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 - Caranchera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51</v>
      </c>
      <c r="B10" s="6" t="s">
        <v>52</v>
      </c>
      <c r="C10" s="6" t="s">
        <v>28</v>
      </c>
      <c r="D10" s="6">
        <v>17.8</v>
      </c>
      <c r="E10" s="6" t="s">
        <v>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80</v>
      </c>
      <c r="B11" s="6" t="s">
        <v>80</v>
      </c>
      <c r="C11" s="6" t="s">
        <v>79</v>
      </c>
      <c r="D11" s="6">
        <v>1609.5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46</v>
      </c>
      <c r="B12" s="6" t="s">
        <v>47</v>
      </c>
      <c r="C12" s="6" t="s">
        <v>28</v>
      </c>
      <c r="D12" s="6">
        <v>182656.5</v>
      </c>
      <c r="E12" s="6" t="s">
        <v>48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81</v>
      </c>
      <c r="B13" s="6" t="s">
        <v>82</v>
      </c>
      <c r="C13" s="6" t="s">
        <v>34</v>
      </c>
      <c r="D13" s="6">
        <v>7.4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83</v>
      </c>
      <c r="B14" s="6" t="s">
        <v>84</v>
      </c>
      <c r="C14" s="6" t="s">
        <v>28</v>
      </c>
      <c r="D14" s="6">
        <v>44.4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85</v>
      </c>
      <c r="B15" s="6" t="s">
        <v>86</v>
      </c>
      <c r="C15" s="6" t="s">
        <v>28</v>
      </c>
      <c r="D15" s="6">
        <v>99.2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87</v>
      </c>
      <c r="B16" s="6" t="s">
        <v>88</v>
      </c>
      <c r="C16" s="6" t="s">
        <v>28</v>
      </c>
      <c r="D16" s="6">
        <v>10.4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4" x14ac:dyDescent="0.35">
      <c r="A17" s="6" t="s">
        <v>89</v>
      </c>
      <c r="B17" s="6" t="s">
        <v>90</v>
      </c>
      <c r="C17" s="6" t="s">
        <v>28</v>
      </c>
      <c r="D17" s="6">
        <v>2</v>
      </c>
      <c r="E17" s="6" t="s">
        <v>8</v>
      </c>
      <c r="F17" s="6" t="s">
        <v>23</v>
      </c>
      <c r="G17" s="6" t="s">
        <v>24</v>
      </c>
      <c r="J17" s="6" t="s">
        <v>25</v>
      </c>
    </row>
    <row r="18" spans="1:14" x14ac:dyDescent="0.35">
      <c r="A18" s="6" t="s">
        <v>91</v>
      </c>
      <c r="D18" s="6">
        <v>100000</v>
      </c>
      <c r="E18" s="6" t="s">
        <v>59</v>
      </c>
      <c r="F18" s="6" t="s">
        <v>63</v>
      </c>
      <c r="G18" s="6" t="s">
        <v>64</v>
      </c>
      <c r="H18" s="6" t="s">
        <v>92</v>
      </c>
      <c r="J18" s="6" t="s">
        <v>25</v>
      </c>
    </row>
    <row r="19" spans="1:14" x14ac:dyDescent="0.35">
      <c r="A19" s="6" t="s">
        <v>93</v>
      </c>
      <c r="D19" s="6">
        <v>0.1</v>
      </c>
      <c r="E19" s="6" t="s">
        <v>8</v>
      </c>
      <c r="F19" s="6" t="s">
        <v>63</v>
      </c>
      <c r="G19" s="6" t="s">
        <v>64</v>
      </c>
      <c r="H19" s="6" t="s">
        <v>94</v>
      </c>
      <c r="J19" s="6" t="s">
        <v>25</v>
      </c>
    </row>
    <row r="20" spans="1:14" x14ac:dyDescent="0.35">
      <c r="A20" s="6" t="s">
        <v>93</v>
      </c>
      <c r="D20" s="6">
        <v>1.3</v>
      </c>
      <c r="E20" s="6" t="s">
        <v>8</v>
      </c>
      <c r="F20" s="6" t="s">
        <v>63</v>
      </c>
      <c r="G20" s="6" t="s">
        <v>64</v>
      </c>
      <c r="H20" s="6" t="s">
        <v>95</v>
      </c>
      <c r="J20" s="6" t="s">
        <v>25</v>
      </c>
    </row>
    <row r="21" spans="1:14" x14ac:dyDescent="0.35">
      <c r="A21" s="6" t="s">
        <v>93</v>
      </c>
      <c r="D21" s="6">
        <v>0.3</v>
      </c>
      <c r="E21" s="6" t="s">
        <v>8</v>
      </c>
      <c r="F21" s="6" t="s">
        <v>63</v>
      </c>
      <c r="G21" s="6" t="s">
        <v>64</v>
      </c>
      <c r="H21" s="6" t="s">
        <v>96</v>
      </c>
      <c r="J21" s="6" t="s">
        <v>25</v>
      </c>
    </row>
    <row r="22" spans="1:14" x14ac:dyDescent="0.35">
      <c r="A22" s="6" t="s">
        <v>93</v>
      </c>
      <c r="D22" s="6">
        <v>0.3</v>
      </c>
      <c r="E22" s="6" t="s">
        <v>8</v>
      </c>
      <c r="F22" s="6" t="s">
        <v>63</v>
      </c>
      <c r="G22" s="6" t="s">
        <v>64</v>
      </c>
      <c r="H22" s="6" t="s">
        <v>97</v>
      </c>
      <c r="J22" s="6" t="s">
        <v>25</v>
      </c>
    </row>
    <row r="23" spans="1:14" x14ac:dyDescent="0.35">
      <c r="A23" s="6" t="s">
        <v>93</v>
      </c>
      <c r="D23" s="6">
        <v>0.79500000000000004</v>
      </c>
      <c r="E23" s="6" t="s">
        <v>8</v>
      </c>
      <c r="F23" s="6" t="s">
        <v>63</v>
      </c>
      <c r="G23" s="6" t="s">
        <v>64</v>
      </c>
      <c r="H23" s="6" t="s">
        <v>96</v>
      </c>
      <c r="J23" s="6" t="s">
        <v>25</v>
      </c>
    </row>
    <row r="24" spans="1:14" s="10" customFormat="1" x14ac:dyDescent="0.35"/>
    <row r="25" spans="1:14" x14ac:dyDescent="0.35">
      <c r="A25" s="7" t="s">
        <v>0</v>
      </c>
      <c r="B25" s="7" t="s">
        <v>103</v>
      </c>
    </row>
    <row r="26" spans="1:14" x14ac:dyDescent="0.35">
      <c r="A26" s="8" t="s">
        <v>2</v>
      </c>
      <c r="B26" s="6" t="s">
        <v>3</v>
      </c>
    </row>
    <row r="27" spans="1:14" x14ac:dyDescent="0.35">
      <c r="A27" s="8" t="s">
        <v>4</v>
      </c>
      <c r="B27" s="6" t="s">
        <v>79</v>
      </c>
    </row>
    <row r="28" spans="1:14" x14ac:dyDescent="0.35">
      <c r="A28" s="8" t="s">
        <v>6</v>
      </c>
      <c r="B28" s="6">
        <v>1</v>
      </c>
    </row>
    <row r="29" spans="1:14" x14ac:dyDescent="0.35">
      <c r="A29" s="8" t="s">
        <v>7</v>
      </c>
      <c r="B29" s="6" t="s">
        <v>8</v>
      </c>
    </row>
    <row r="30" spans="1:14" x14ac:dyDescent="0.35">
      <c r="A30" s="8" t="s">
        <v>9</v>
      </c>
      <c r="B30" s="6" t="s">
        <v>10</v>
      </c>
    </row>
    <row r="31" spans="1:14" x14ac:dyDescent="0.35">
      <c r="A31" s="8" t="s">
        <v>11</v>
      </c>
    </row>
    <row r="32" spans="1:14" x14ac:dyDescent="0.35">
      <c r="A32" s="7" t="s">
        <v>12</v>
      </c>
      <c r="B32" s="7" t="s">
        <v>2</v>
      </c>
      <c r="C32" s="7" t="s">
        <v>4</v>
      </c>
      <c r="D32" s="7" t="s">
        <v>6</v>
      </c>
      <c r="E32" s="7" t="s">
        <v>7</v>
      </c>
      <c r="F32" s="7" t="s">
        <v>13</v>
      </c>
      <c r="G32" s="7" t="s">
        <v>14</v>
      </c>
      <c r="H32" s="7" t="s">
        <v>15</v>
      </c>
      <c r="I32" s="7" t="s">
        <v>16</v>
      </c>
      <c r="J32" s="7" t="s">
        <v>17</v>
      </c>
      <c r="K32" s="7" t="s">
        <v>18</v>
      </c>
      <c r="L32" s="7" t="s">
        <v>19</v>
      </c>
      <c r="M32" s="7" t="s">
        <v>20</v>
      </c>
      <c r="N32" s="7" t="s">
        <v>21</v>
      </c>
    </row>
    <row r="33" spans="1:7" x14ac:dyDescent="0.35">
      <c r="A33" s="6" t="str">
        <f>B25</f>
        <v>Au alluvial mining and Au production in Peru through "Caranchera" method</v>
      </c>
      <c r="B33" s="6" t="str">
        <f>B26</f>
        <v>Refined Au</v>
      </c>
      <c r="C33" s="6" t="str">
        <f>B27</f>
        <v>PE</v>
      </c>
      <c r="D33" s="6">
        <v>1</v>
      </c>
      <c r="E33" s="6" t="s">
        <v>8</v>
      </c>
      <c r="F33" s="9" t="str">
        <f>F9</f>
        <v>Gold</v>
      </c>
      <c r="G33" s="6" t="s">
        <v>22</v>
      </c>
    </row>
    <row r="34" spans="1:7" x14ac:dyDescent="0.35">
      <c r="A34" s="6" t="str">
        <f>A9</f>
        <v>[M+C+P+R] Gold (Au) production (alluvial - Caranchera method)</v>
      </c>
      <c r="B34" s="6" t="str">
        <f t="shared" ref="B34:F34" si="0">B9</f>
        <v>Refined Au</v>
      </c>
      <c r="C34" s="6" t="str">
        <f t="shared" si="0"/>
        <v>PE</v>
      </c>
      <c r="D34" s="6">
        <f t="shared" si="0"/>
        <v>1</v>
      </c>
      <c r="E34" s="6" t="str">
        <f t="shared" si="0"/>
        <v>kilogram</v>
      </c>
      <c r="F34" s="9" t="str">
        <f t="shared" si="0"/>
        <v>Gold</v>
      </c>
      <c r="G34" s="6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N34"/>
  <sheetViews>
    <sheetView workbookViewId="0"/>
  </sheetViews>
  <sheetFormatPr baseColWidth="10" defaultColWidth="9.1796875" defaultRowHeight="14.5" x14ac:dyDescent="0.35"/>
  <cols>
    <col min="1" max="1" width="65.1796875" style="6" bestFit="1" customWidth="1"/>
    <col min="2" max="2" width="65.453125" style="6" bestFit="1" customWidth="1"/>
    <col min="3" max="3" width="8.1796875" style="6" bestFit="1" customWidth="1"/>
    <col min="4" max="4" width="9" style="6" bestFit="1" customWidth="1"/>
    <col min="5" max="5" width="11.4531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104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 - Dredge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51</v>
      </c>
      <c r="B10" s="6" t="s">
        <v>52</v>
      </c>
      <c r="C10" s="6" t="s">
        <v>28</v>
      </c>
      <c r="D10" s="6">
        <v>8.3000000000000007</v>
      </c>
      <c r="E10" s="6" t="s">
        <v>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80</v>
      </c>
      <c r="B11" s="6" t="s">
        <v>80</v>
      </c>
      <c r="C11" s="6" t="s">
        <v>79</v>
      </c>
      <c r="D11" s="6">
        <v>778.65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46</v>
      </c>
      <c r="B12" s="6" t="s">
        <v>47</v>
      </c>
      <c r="C12" s="6" t="s">
        <v>28</v>
      </c>
      <c r="D12" s="6">
        <v>109054.5</v>
      </c>
      <c r="E12" s="6" t="s">
        <v>48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81</v>
      </c>
      <c r="B13" s="6" t="s">
        <v>82</v>
      </c>
      <c r="C13" s="6" t="s">
        <v>34</v>
      </c>
      <c r="D13" s="6">
        <v>42.7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83</v>
      </c>
      <c r="B14" s="6" t="s">
        <v>84</v>
      </c>
      <c r="C14" s="6" t="s">
        <v>28</v>
      </c>
      <c r="D14" s="6">
        <v>12.4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85</v>
      </c>
      <c r="B15" s="6" t="s">
        <v>86</v>
      </c>
      <c r="C15" s="6" t="s">
        <v>28</v>
      </c>
      <c r="D15" s="6">
        <v>22.2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87</v>
      </c>
      <c r="B16" s="6" t="s">
        <v>88</v>
      </c>
      <c r="C16" s="6" t="s">
        <v>28</v>
      </c>
      <c r="D16" s="6">
        <v>3.5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4" x14ac:dyDescent="0.35">
      <c r="A17" s="6" t="s">
        <v>89</v>
      </c>
      <c r="B17" s="6" t="s">
        <v>90</v>
      </c>
      <c r="C17" s="6" t="s">
        <v>28</v>
      </c>
      <c r="D17" s="6">
        <v>2</v>
      </c>
      <c r="E17" s="6" t="s">
        <v>8</v>
      </c>
      <c r="F17" s="6" t="s">
        <v>23</v>
      </c>
      <c r="G17" s="6" t="s">
        <v>24</v>
      </c>
      <c r="J17" s="6" t="s">
        <v>25</v>
      </c>
    </row>
    <row r="18" spans="1:14" x14ac:dyDescent="0.35">
      <c r="A18" s="6" t="s">
        <v>91</v>
      </c>
      <c r="D18" s="6">
        <v>150000</v>
      </c>
      <c r="E18" s="6" t="s">
        <v>59</v>
      </c>
      <c r="F18" s="6" t="s">
        <v>63</v>
      </c>
      <c r="G18" s="6" t="s">
        <v>64</v>
      </c>
      <c r="H18" s="6" t="s">
        <v>92</v>
      </c>
      <c r="J18" s="6" t="s">
        <v>25</v>
      </c>
    </row>
    <row r="19" spans="1:14" x14ac:dyDescent="0.35">
      <c r="A19" s="6" t="s">
        <v>93</v>
      </c>
      <c r="D19" s="6">
        <v>0.1</v>
      </c>
      <c r="E19" s="6" t="s">
        <v>8</v>
      </c>
      <c r="F19" s="6" t="s">
        <v>63</v>
      </c>
      <c r="G19" s="6" t="s">
        <v>64</v>
      </c>
      <c r="H19" s="6" t="s">
        <v>94</v>
      </c>
      <c r="J19" s="6" t="s">
        <v>25</v>
      </c>
    </row>
    <row r="20" spans="1:14" x14ac:dyDescent="0.35">
      <c r="A20" s="6" t="s">
        <v>93</v>
      </c>
      <c r="D20" s="6">
        <v>1.3</v>
      </c>
      <c r="E20" s="6" t="s">
        <v>8</v>
      </c>
      <c r="F20" s="6" t="s">
        <v>63</v>
      </c>
      <c r="G20" s="6" t="s">
        <v>64</v>
      </c>
      <c r="H20" s="6" t="s">
        <v>95</v>
      </c>
      <c r="J20" s="6" t="s">
        <v>25</v>
      </c>
    </row>
    <row r="21" spans="1:14" x14ac:dyDescent="0.35">
      <c r="A21" s="6" t="s">
        <v>93</v>
      </c>
      <c r="D21" s="6">
        <v>0.3</v>
      </c>
      <c r="E21" s="6" t="s">
        <v>8</v>
      </c>
      <c r="F21" s="6" t="s">
        <v>63</v>
      </c>
      <c r="G21" s="6" t="s">
        <v>64</v>
      </c>
      <c r="H21" s="6" t="s">
        <v>96</v>
      </c>
      <c r="J21" s="6" t="s">
        <v>25</v>
      </c>
    </row>
    <row r="22" spans="1:14" x14ac:dyDescent="0.35">
      <c r="A22" s="6" t="s">
        <v>93</v>
      </c>
      <c r="D22" s="6">
        <v>0.3</v>
      </c>
      <c r="E22" s="6" t="s">
        <v>8</v>
      </c>
      <c r="F22" s="6" t="s">
        <v>63</v>
      </c>
      <c r="G22" s="6" t="s">
        <v>64</v>
      </c>
      <c r="H22" s="6" t="s">
        <v>105</v>
      </c>
      <c r="J22" s="6" t="s">
        <v>25</v>
      </c>
    </row>
    <row r="23" spans="1:14" x14ac:dyDescent="0.35">
      <c r="A23" s="6" t="s">
        <v>93</v>
      </c>
      <c r="D23" s="6">
        <v>0.79500000000000004</v>
      </c>
      <c r="E23" s="6" t="s">
        <v>8</v>
      </c>
      <c r="F23" s="6" t="s">
        <v>63</v>
      </c>
      <c r="G23" s="6" t="s">
        <v>64</v>
      </c>
      <c r="H23" s="6" t="s">
        <v>96</v>
      </c>
      <c r="J23" s="6" t="s">
        <v>25</v>
      </c>
    </row>
    <row r="24" spans="1:14" s="10" customFormat="1" x14ac:dyDescent="0.35"/>
    <row r="25" spans="1:14" x14ac:dyDescent="0.35">
      <c r="A25" s="7" t="s">
        <v>0</v>
      </c>
      <c r="B25" s="7" t="s">
        <v>106</v>
      </c>
    </row>
    <row r="26" spans="1:14" x14ac:dyDescent="0.35">
      <c r="A26" s="8" t="s">
        <v>2</v>
      </c>
      <c r="B26" s="6" t="s">
        <v>3</v>
      </c>
    </row>
    <row r="27" spans="1:14" x14ac:dyDescent="0.35">
      <c r="A27" s="8" t="s">
        <v>4</v>
      </c>
      <c r="B27" s="6" t="s">
        <v>79</v>
      </c>
    </row>
    <row r="28" spans="1:14" x14ac:dyDescent="0.35">
      <c r="A28" s="8" t="s">
        <v>6</v>
      </c>
      <c r="B28" s="6">
        <v>1</v>
      </c>
    </row>
    <row r="29" spans="1:14" x14ac:dyDescent="0.35">
      <c r="A29" s="8" t="s">
        <v>7</v>
      </c>
      <c r="B29" s="6" t="s">
        <v>8</v>
      </c>
    </row>
    <row r="30" spans="1:14" x14ac:dyDescent="0.35">
      <c r="A30" s="8" t="s">
        <v>9</v>
      </c>
      <c r="B30" s="6" t="s">
        <v>10</v>
      </c>
    </row>
    <row r="31" spans="1:14" x14ac:dyDescent="0.35">
      <c r="A31" s="8" t="s">
        <v>11</v>
      </c>
    </row>
    <row r="32" spans="1:14" x14ac:dyDescent="0.35">
      <c r="A32" s="7" t="s">
        <v>12</v>
      </c>
      <c r="B32" s="7" t="s">
        <v>2</v>
      </c>
      <c r="C32" s="7" t="s">
        <v>4</v>
      </c>
      <c r="D32" s="7" t="s">
        <v>6</v>
      </c>
      <c r="E32" s="7" t="s">
        <v>7</v>
      </c>
      <c r="F32" s="7" t="s">
        <v>13</v>
      </c>
      <c r="G32" s="7" t="s">
        <v>14</v>
      </c>
      <c r="H32" s="7" t="s">
        <v>15</v>
      </c>
      <c r="I32" s="7" t="s">
        <v>16</v>
      </c>
      <c r="J32" s="7" t="s">
        <v>17</v>
      </c>
      <c r="K32" s="7" t="s">
        <v>18</v>
      </c>
      <c r="L32" s="7" t="s">
        <v>19</v>
      </c>
      <c r="M32" s="7" t="s">
        <v>20</v>
      </c>
      <c r="N32" s="7" t="s">
        <v>21</v>
      </c>
    </row>
    <row r="33" spans="1:7" x14ac:dyDescent="0.35">
      <c r="A33" s="6" t="str">
        <f>B25</f>
        <v>Au alluvial mining and Au production in Peru through "Dredge" method</v>
      </c>
      <c r="B33" s="6" t="str">
        <f>B26</f>
        <v>Refined Au</v>
      </c>
      <c r="C33" s="6" t="str">
        <f>B27</f>
        <v>PE</v>
      </c>
      <c r="D33" s="6">
        <v>1</v>
      </c>
      <c r="E33" s="6" t="s">
        <v>8</v>
      </c>
      <c r="F33" s="9" t="str">
        <f>F9</f>
        <v>Gold</v>
      </c>
      <c r="G33" s="6" t="s">
        <v>22</v>
      </c>
    </row>
    <row r="34" spans="1:7" x14ac:dyDescent="0.35">
      <c r="A34" s="6" t="str">
        <f>A9</f>
        <v>[M+C+P+R] Gold (Au) production (alluvial - Dredge method)</v>
      </c>
      <c r="B34" s="6" t="str">
        <f t="shared" ref="B34:F34" si="0">B9</f>
        <v>Refined Au</v>
      </c>
      <c r="C34" s="6" t="str">
        <f t="shared" si="0"/>
        <v>PE</v>
      </c>
      <c r="D34" s="6">
        <f t="shared" si="0"/>
        <v>1</v>
      </c>
      <c r="E34" s="6" t="str">
        <f t="shared" si="0"/>
        <v>kilogram</v>
      </c>
      <c r="F34" s="9" t="str">
        <f t="shared" si="0"/>
        <v>Gold</v>
      </c>
      <c r="G34" s="6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N35"/>
  <sheetViews>
    <sheetView workbookViewId="0"/>
  </sheetViews>
  <sheetFormatPr baseColWidth="10" defaultColWidth="9.1796875" defaultRowHeight="14.5" x14ac:dyDescent="0.35"/>
  <cols>
    <col min="1" max="1" width="70" style="6" bestFit="1" customWidth="1"/>
    <col min="2" max="2" width="70.26953125" style="6" bestFit="1" customWidth="1"/>
    <col min="3" max="3" width="8.1796875" style="6" bestFit="1" customWidth="1"/>
    <col min="4" max="4" width="7.81640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107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 - Partial chute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80</v>
      </c>
      <c r="B10" s="6" t="s">
        <v>80</v>
      </c>
      <c r="C10" s="6" t="s">
        <v>79</v>
      </c>
      <c r="D10" s="6">
        <v>408.9</v>
      </c>
      <c r="E10" s="6" t="s">
        <v>48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46</v>
      </c>
      <c r="B11" s="6" t="s">
        <v>47</v>
      </c>
      <c r="C11" s="6" t="s">
        <v>28</v>
      </c>
      <c r="D11" s="6">
        <v>214890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81</v>
      </c>
      <c r="B12" s="6" t="s">
        <v>82</v>
      </c>
      <c r="C12" s="6" t="s">
        <v>34</v>
      </c>
      <c r="D12" s="6">
        <v>31.9</v>
      </c>
      <c r="E12" s="6" t="s">
        <v>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83</v>
      </c>
      <c r="B13" s="6" t="s">
        <v>84</v>
      </c>
      <c r="C13" s="6" t="s">
        <v>28</v>
      </c>
      <c r="D13" s="6">
        <v>13.1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85</v>
      </c>
      <c r="B14" s="6" t="s">
        <v>86</v>
      </c>
      <c r="C14" s="6" t="s">
        <v>28</v>
      </c>
      <c r="D14" s="6">
        <v>17.5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87</v>
      </c>
      <c r="B15" s="6" t="s">
        <v>88</v>
      </c>
      <c r="C15" s="6" t="s">
        <v>28</v>
      </c>
      <c r="D15" s="6">
        <v>3.4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89</v>
      </c>
      <c r="B16" s="6" t="s">
        <v>90</v>
      </c>
      <c r="C16" s="6" t="s">
        <v>28</v>
      </c>
      <c r="D16" s="6">
        <v>2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0" x14ac:dyDescent="0.35">
      <c r="A17" s="6" t="s">
        <v>91</v>
      </c>
      <c r="D17" s="6">
        <v>50000</v>
      </c>
      <c r="E17" s="6" t="s">
        <v>59</v>
      </c>
      <c r="F17" s="6" t="s">
        <v>63</v>
      </c>
      <c r="G17" s="6" t="s">
        <v>64</v>
      </c>
      <c r="H17" s="6" t="s">
        <v>92</v>
      </c>
      <c r="J17" s="6" t="s">
        <v>25</v>
      </c>
    </row>
    <row r="18" spans="1:10" x14ac:dyDescent="0.35">
      <c r="A18" s="6" t="s">
        <v>100</v>
      </c>
      <c r="D18" s="6">
        <v>667</v>
      </c>
      <c r="E18" s="6" t="s">
        <v>67</v>
      </c>
      <c r="F18" s="6" t="s">
        <v>63</v>
      </c>
      <c r="G18" s="6" t="s">
        <v>64</v>
      </c>
      <c r="H18" s="6" t="s">
        <v>68</v>
      </c>
      <c r="J18" s="6" t="s">
        <v>25</v>
      </c>
    </row>
    <row r="19" spans="1:10" x14ac:dyDescent="0.35">
      <c r="A19" s="6" t="s">
        <v>66</v>
      </c>
      <c r="D19" s="6">
        <v>667</v>
      </c>
      <c r="E19" s="6" t="s">
        <v>67</v>
      </c>
      <c r="F19" s="6" t="s">
        <v>63</v>
      </c>
      <c r="G19" s="6" t="s">
        <v>64</v>
      </c>
      <c r="H19" s="6" t="s">
        <v>68</v>
      </c>
      <c r="J19" s="6" t="s">
        <v>25</v>
      </c>
    </row>
    <row r="20" spans="1:10" x14ac:dyDescent="0.35">
      <c r="A20" s="6" t="s">
        <v>93</v>
      </c>
      <c r="D20" s="6">
        <v>0.1</v>
      </c>
      <c r="E20" s="6" t="s">
        <v>8</v>
      </c>
      <c r="F20" s="6" t="s">
        <v>63</v>
      </c>
      <c r="G20" s="6" t="s">
        <v>64</v>
      </c>
      <c r="H20" s="6" t="s">
        <v>94</v>
      </c>
      <c r="J20" s="6" t="s">
        <v>25</v>
      </c>
    </row>
    <row r="21" spans="1:10" x14ac:dyDescent="0.35">
      <c r="A21" s="6" t="s">
        <v>93</v>
      </c>
      <c r="D21" s="6">
        <v>1.3</v>
      </c>
      <c r="E21" s="6" t="s">
        <v>8</v>
      </c>
      <c r="F21" s="6" t="s">
        <v>63</v>
      </c>
      <c r="G21" s="6" t="s">
        <v>64</v>
      </c>
      <c r="H21" s="6" t="s">
        <v>95</v>
      </c>
      <c r="J21" s="6" t="s">
        <v>25</v>
      </c>
    </row>
    <row r="22" spans="1:10" x14ac:dyDescent="0.35">
      <c r="A22" s="6" t="s">
        <v>93</v>
      </c>
      <c r="D22" s="6">
        <v>0.3</v>
      </c>
      <c r="E22" s="6" t="s">
        <v>8</v>
      </c>
      <c r="F22" s="6" t="s">
        <v>63</v>
      </c>
      <c r="G22" s="6" t="s">
        <v>64</v>
      </c>
      <c r="H22" s="6" t="s">
        <v>96</v>
      </c>
      <c r="J22" s="6" t="s">
        <v>25</v>
      </c>
    </row>
    <row r="23" spans="1:10" x14ac:dyDescent="0.35">
      <c r="A23" s="6" t="s">
        <v>93</v>
      </c>
      <c r="D23" s="6">
        <v>0.3</v>
      </c>
      <c r="E23" s="6" t="s">
        <v>8</v>
      </c>
      <c r="F23" s="6" t="s">
        <v>63</v>
      </c>
      <c r="G23" s="6" t="s">
        <v>64</v>
      </c>
      <c r="H23" s="6" t="s">
        <v>97</v>
      </c>
      <c r="J23" s="6" t="s">
        <v>25</v>
      </c>
    </row>
    <row r="24" spans="1:10" x14ac:dyDescent="0.35">
      <c r="A24" s="6" t="s">
        <v>93</v>
      </c>
      <c r="D24" s="6">
        <v>0.79500000000000004</v>
      </c>
      <c r="E24" s="6" t="s">
        <v>8</v>
      </c>
      <c r="F24" s="6" t="s">
        <v>63</v>
      </c>
      <c r="G24" s="6" t="s">
        <v>64</v>
      </c>
      <c r="H24" s="6" t="s">
        <v>96</v>
      </c>
      <c r="J24" s="6" t="s">
        <v>25</v>
      </c>
    </row>
    <row r="25" spans="1:10" s="10" customFormat="1" x14ac:dyDescent="0.35"/>
    <row r="26" spans="1:10" x14ac:dyDescent="0.35">
      <c r="A26" s="7" t="s">
        <v>0</v>
      </c>
      <c r="B26" s="7" t="s">
        <v>108</v>
      </c>
    </row>
    <row r="27" spans="1:10" x14ac:dyDescent="0.35">
      <c r="A27" s="8" t="s">
        <v>2</v>
      </c>
      <c r="B27" s="6" t="s">
        <v>3</v>
      </c>
    </row>
    <row r="28" spans="1:10" x14ac:dyDescent="0.35">
      <c r="A28" s="8" t="s">
        <v>4</v>
      </c>
      <c r="B28" s="6" t="s">
        <v>79</v>
      </c>
    </row>
    <row r="29" spans="1:10" x14ac:dyDescent="0.35">
      <c r="A29" s="8" t="s">
        <v>6</v>
      </c>
      <c r="B29" s="6">
        <v>1</v>
      </c>
    </row>
    <row r="30" spans="1:10" x14ac:dyDescent="0.35">
      <c r="A30" s="8" t="s">
        <v>7</v>
      </c>
      <c r="B30" s="6" t="s">
        <v>8</v>
      </c>
    </row>
    <row r="31" spans="1:10" x14ac:dyDescent="0.35">
      <c r="A31" s="8" t="s">
        <v>9</v>
      </c>
      <c r="B31" s="6" t="s">
        <v>10</v>
      </c>
    </row>
    <row r="32" spans="1:10" x14ac:dyDescent="0.35">
      <c r="A32" s="8" t="s">
        <v>11</v>
      </c>
    </row>
    <row r="33" spans="1:14" x14ac:dyDescent="0.35">
      <c r="A33" s="7" t="s">
        <v>12</v>
      </c>
      <c r="B33" s="7" t="s">
        <v>2</v>
      </c>
      <c r="C33" s="7" t="s">
        <v>4</v>
      </c>
      <c r="D33" s="7" t="s">
        <v>6</v>
      </c>
      <c r="E33" s="7" t="s">
        <v>7</v>
      </c>
      <c r="F33" s="7" t="s">
        <v>13</v>
      </c>
      <c r="G33" s="7" t="s">
        <v>14</v>
      </c>
      <c r="H33" s="7" t="s">
        <v>15</v>
      </c>
      <c r="I33" s="7" t="s">
        <v>16</v>
      </c>
      <c r="J33" s="7" t="s">
        <v>17</v>
      </c>
      <c r="K33" s="7" t="s">
        <v>18</v>
      </c>
      <c r="L33" s="7" t="s">
        <v>19</v>
      </c>
      <c r="M33" s="7" t="s">
        <v>20</v>
      </c>
      <c r="N33" s="7" t="s">
        <v>21</v>
      </c>
    </row>
    <row r="34" spans="1:14" x14ac:dyDescent="0.35">
      <c r="A34" s="6" t="str">
        <f>B26</f>
        <v>Au alluvial mining and Au production in Peru through "Partial chute" method</v>
      </c>
      <c r="B34" s="6" t="str">
        <f>B27</f>
        <v>Refined Au</v>
      </c>
      <c r="C34" s="6" t="str">
        <f>B28</f>
        <v>PE</v>
      </c>
      <c r="D34" s="6">
        <v>1</v>
      </c>
      <c r="E34" s="6" t="s">
        <v>8</v>
      </c>
      <c r="F34" s="9" t="str">
        <f>F9</f>
        <v>Gold</v>
      </c>
      <c r="G34" s="6" t="s">
        <v>22</v>
      </c>
    </row>
    <row r="35" spans="1:14" x14ac:dyDescent="0.35">
      <c r="A35" s="6" t="str">
        <f>A9</f>
        <v>[M+C+P+R] Gold (Au) production (alluvial - Partial chute method)</v>
      </c>
      <c r="B35" s="6" t="str">
        <f t="shared" ref="B35:F35" si="0">B9</f>
        <v>Refined Au</v>
      </c>
      <c r="C35" s="6" t="str">
        <f t="shared" si="0"/>
        <v>PE</v>
      </c>
      <c r="D35" s="6">
        <f t="shared" si="0"/>
        <v>1</v>
      </c>
      <c r="E35" s="6" t="str">
        <f t="shared" si="0"/>
        <v>kilogram</v>
      </c>
      <c r="F35" s="9" t="str">
        <f t="shared" si="0"/>
        <v>Gold</v>
      </c>
      <c r="G35" s="6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N35"/>
  <sheetViews>
    <sheetView workbookViewId="0"/>
  </sheetViews>
  <sheetFormatPr baseColWidth="10" defaultColWidth="9.1796875" defaultRowHeight="14.5" x14ac:dyDescent="0.35"/>
  <cols>
    <col min="1" max="1" width="73.1796875" style="6" bestFit="1" customWidth="1"/>
    <col min="2" max="2" width="73.453125" style="6" bestFit="1" customWidth="1"/>
    <col min="3" max="3" width="8.1796875" style="6" bestFit="1" customWidth="1"/>
    <col min="4" max="4" width="9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34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109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 - Complete chute method)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80</v>
      </c>
      <c r="B10" s="6" t="s">
        <v>80</v>
      </c>
      <c r="C10" s="6" t="s">
        <v>79</v>
      </c>
      <c r="D10" s="6">
        <v>121.8</v>
      </c>
      <c r="E10" s="6" t="s">
        <v>48</v>
      </c>
      <c r="F10" s="6" t="s">
        <v>23</v>
      </c>
      <c r="G10" s="6" t="s">
        <v>24</v>
      </c>
      <c r="J10" s="6" t="s">
        <v>25</v>
      </c>
    </row>
    <row r="11" spans="1:14" x14ac:dyDescent="0.35">
      <c r="A11" s="6" t="s">
        <v>46</v>
      </c>
      <c r="B11" s="6" t="s">
        <v>47</v>
      </c>
      <c r="C11" s="6" t="s">
        <v>28</v>
      </c>
      <c r="D11" s="6">
        <v>128542.5</v>
      </c>
      <c r="E11" s="6" t="s">
        <v>48</v>
      </c>
      <c r="F11" s="6" t="s">
        <v>23</v>
      </c>
      <c r="G11" s="6" t="s">
        <v>24</v>
      </c>
      <c r="J11" s="6" t="s">
        <v>25</v>
      </c>
    </row>
    <row r="12" spans="1:14" x14ac:dyDescent="0.35">
      <c r="A12" s="6" t="s">
        <v>81</v>
      </c>
      <c r="B12" s="6" t="s">
        <v>82</v>
      </c>
      <c r="C12" s="6" t="s">
        <v>34</v>
      </c>
      <c r="D12" s="6">
        <v>33.4</v>
      </c>
      <c r="E12" s="6" t="s">
        <v>8</v>
      </c>
      <c r="F12" s="6" t="s">
        <v>23</v>
      </c>
      <c r="G12" s="6" t="s">
        <v>24</v>
      </c>
      <c r="J12" s="6" t="s">
        <v>25</v>
      </c>
    </row>
    <row r="13" spans="1:14" x14ac:dyDescent="0.35">
      <c r="A13" s="6" t="s">
        <v>83</v>
      </c>
      <c r="B13" s="6" t="s">
        <v>84</v>
      </c>
      <c r="C13" s="6" t="s">
        <v>28</v>
      </c>
      <c r="D13" s="6">
        <v>4.0999999999999996</v>
      </c>
      <c r="E13" s="6" t="s">
        <v>8</v>
      </c>
      <c r="F13" s="6" t="s">
        <v>23</v>
      </c>
      <c r="G13" s="6" t="s">
        <v>24</v>
      </c>
      <c r="J13" s="6" t="s">
        <v>25</v>
      </c>
    </row>
    <row r="14" spans="1:14" x14ac:dyDescent="0.35">
      <c r="A14" s="6" t="s">
        <v>85</v>
      </c>
      <c r="B14" s="6" t="s">
        <v>86</v>
      </c>
      <c r="C14" s="6" t="s">
        <v>28</v>
      </c>
      <c r="D14" s="6">
        <v>11</v>
      </c>
      <c r="E14" s="6" t="s">
        <v>8</v>
      </c>
      <c r="F14" s="6" t="s">
        <v>23</v>
      </c>
      <c r="G14" s="6" t="s">
        <v>24</v>
      </c>
      <c r="J14" s="6" t="s">
        <v>25</v>
      </c>
    </row>
    <row r="15" spans="1:14" x14ac:dyDescent="0.35">
      <c r="A15" s="6" t="s">
        <v>87</v>
      </c>
      <c r="B15" s="6" t="s">
        <v>88</v>
      </c>
      <c r="C15" s="6" t="s">
        <v>28</v>
      </c>
      <c r="D15" s="6">
        <v>2.2000000000000002</v>
      </c>
      <c r="E15" s="6" t="s">
        <v>8</v>
      </c>
      <c r="F15" s="6" t="s">
        <v>23</v>
      </c>
      <c r="G15" s="6" t="s">
        <v>24</v>
      </c>
      <c r="J15" s="6" t="s">
        <v>25</v>
      </c>
    </row>
    <row r="16" spans="1:14" x14ac:dyDescent="0.35">
      <c r="A16" s="6" t="s">
        <v>89</v>
      </c>
      <c r="B16" s="6" t="s">
        <v>90</v>
      </c>
      <c r="C16" s="6" t="s">
        <v>28</v>
      </c>
      <c r="D16" s="6">
        <v>2</v>
      </c>
      <c r="E16" s="6" t="s">
        <v>8</v>
      </c>
      <c r="F16" s="6" t="s">
        <v>23</v>
      </c>
      <c r="G16" s="6" t="s">
        <v>24</v>
      </c>
      <c r="J16" s="6" t="s">
        <v>25</v>
      </c>
    </row>
    <row r="17" spans="1:10" x14ac:dyDescent="0.35">
      <c r="A17" s="6" t="s">
        <v>91</v>
      </c>
      <c r="D17" s="6">
        <v>50000</v>
      </c>
      <c r="E17" s="6" t="s">
        <v>59</v>
      </c>
      <c r="F17" s="6" t="s">
        <v>63</v>
      </c>
      <c r="G17" s="6" t="s">
        <v>64</v>
      </c>
      <c r="H17" s="6" t="s">
        <v>92</v>
      </c>
      <c r="J17" s="6" t="s">
        <v>25</v>
      </c>
    </row>
    <row r="18" spans="1:10" x14ac:dyDescent="0.35">
      <c r="A18" s="6" t="s">
        <v>100</v>
      </c>
      <c r="D18" s="6">
        <v>417</v>
      </c>
      <c r="E18" s="6" t="s">
        <v>67</v>
      </c>
      <c r="F18" s="6" t="s">
        <v>63</v>
      </c>
      <c r="G18" s="6" t="s">
        <v>64</v>
      </c>
      <c r="H18" s="6" t="s">
        <v>68</v>
      </c>
      <c r="J18" s="6" t="s">
        <v>25</v>
      </c>
    </row>
    <row r="19" spans="1:10" x14ac:dyDescent="0.35">
      <c r="A19" s="6" t="s">
        <v>66</v>
      </c>
      <c r="D19" s="6">
        <v>417</v>
      </c>
      <c r="E19" s="6" t="s">
        <v>67</v>
      </c>
      <c r="F19" s="6" t="s">
        <v>63</v>
      </c>
      <c r="G19" s="6" t="s">
        <v>64</v>
      </c>
      <c r="H19" s="6" t="s">
        <v>68</v>
      </c>
      <c r="J19" s="6" t="s">
        <v>25</v>
      </c>
    </row>
    <row r="20" spans="1:10" x14ac:dyDescent="0.35">
      <c r="A20" s="6" t="s">
        <v>93</v>
      </c>
      <c r="D20" s="6">
        <v>0.1</v>
      </c>
      <c r="E20" s="6" t="s">
        <v>8</v>
      </c>
      <c r="F20" s="6" t="s">
        <v>63</v>
      </c>
      <c r="G20" s="6" t="s">
        <v>64</v>
      </c>
      <c r="H20" s="6" t="s">
        <v>94</v>
      </c>
      <c r="J20" s="6" t="s">
        <v>25</v>
      </c>
    </row>
    <row r="21" spans="1:10" x14ac:dyDescent="0.35">
      <c r="A21" s="6" t="s">
        <v>93</v>
      </c>
      <c r="D21" s="6">
        <v>1.3</v>
      </c>
      <c r="E21" s="6" t="s">
        <v>8</v>
      </c>
      <c r="F21" s="6" t="s">
        <v>63</v>
      </c>
      <c r="G21" s="6" t="s">
        <v>64</v>
      </c>
      <c r="H21" s="6" t="s">
        <v>95</v>
      </c>
      <c r="J21" s="6" t="s">
        <v>25</v>
      </c>
    </row>
    <row r="22" spans="1:10" x14ac:dyDescent="0.35">
      <c r="A22" s="6" t="s">
        <v>93</v>
      </c>
      <c r="D22" s="6">
        <v>0.3</v>
      </c>
      <c r="E22" s="6" t="s">
        <v>8</v>
      </c>
      <c r="F22" s="6" t="s">
        <v>63</v>
      </c>
      <c r="G22" s="6" t="s">
        <v>64</v>
      </c>
      <c r="H22" s="6" t="s">
        <v>96</v>
      </c>
      <c r="J22" s="6" t="s">
        <v>25</v>
      </c>
    </row>
    <row r="23" spans="1:10" x14ac:dyDescent="0.35">
      <c r="A23" s="6" t="s">
        <v>93</v>
      </c>
      <c r="D23" s="6">
        <v>0.3</v>
      </c>
      <c r="E23" s="6" t="s">
        <v>8</v>
      </c>
      <c r="F23" s="6" t="s">
        <v>63</v>
      </c>
      <c r="G23" s="6" t="s">
        <v>64</v>
      </c>
      <c r="H23" s="6" t="s">
        <v>97</v>
      </c>
      <c r="J23" s="6" t="s">
        <v>25</v>
      </c>
    </row>
    <row r="24" spans="1:10" x14ac:dyDescent="0.35">
      <c r="A24" s="6" t="s">
        <v>93</v>
      </c>
      <c r="D24" s="6">
        <v>0.79500000000000004</v>
      </c>
      <c r="E24" s="6" t="s">
        <v>8</v>
      </c>
      <c r="F24" s="6" t="s">
        <v>63</v>
      </c>
      <c r="G24" s="6" t="s">
        <v>64</v>
      </c>
      <c r="H24" s="6" t="s">
        <v>96</v>
      </c>
      <c r="J24" s="6" t="s">
        <v>25</v>
      </c>
    </row>
    <row r="25" spans="1:10" s="10" customFormat="1" x14ac:dyDescent="0.35"/>
    <row r="26" spans="1:10" x14ac:dyDescent="0.35">
      <c r="A26" s="7" t="s">
        <v>0</v>
      </c>
      <c r="B26" s="7" t="s">
        <v>110</v>
      </c>
    </row>
    <row r="27" spans="1:10" x14ac:dyDescent="0.35">
      <c r="A27" s="8" t="s">
        <v>2</v>
      </c>
      <c r="B27" s="6" t="s">
        <v>3</v>
      </c>
    </row>
    <row r="28" spans="1:10" x14ac:dyDescent="0.35">
      <c r="A28" s="8" t="s">
        <v>4</v>
      </c>
      <c r="B28" s="6" t="s">
        <v>79</v>
      </c>
    </row>
    <row r="29" spans="1:10" x14ac:dyDescent="0.35">
      <c r="A29" s="8" t="s">
        <v>6</v>
      </c>
      <c r="B29" s="6">
        <v>1</v>
      </c>
    </row>
    <row r="30" spans="1:10" x14ac:dyDescent="0.35">
      <c r="A30" s="8" t="s">
        <v>7</v>
      </c>
      <c r="B30" s="6" t="s">
        <v>8</v>
      </c>
    </row>
    <row r="31" spans="1:10" x14ac:dyDescent="0.35">
      <c r="A31" s="8" t="s">
        <v>9</v>
      </c>
      <c r="B31" s="6" t="s">
        <v>10</v>
      </c>
    </row>
    <row r="32" spans="1:10" x14ac:dyDescent="0.35">
      <c r="A32" s="8" t="s">
        <v>11</v>
      </c>
    </row>
    <row r="33" spans="1:14" x14ac:dyDescent="0.35">
      <c r="A33" s="7" t="s">
        <v>12</v>
      </c>
      <c r="B33" s="7" t="s">
        <v>2</v>
      </c>
      <c r="C33" s="7" t="s">
        <v>4</v>
      </c>
      <c r="D33" s="7" t="s">
        <v>6</v>
      </c>
      <c r="E33" s="7" t="s">
        <v>7</v>
      </c>
      <c r="F33" s="7" t="s">
        <v>13</v>
      </c>
      <c r="G33" s="7" t="s">
        <v>14</v>
      </c>
      <c r="H33" s="7" t="s">
        <v>15</v>
      </c>
      <c r="I33" s="7" t="s">
        <v>16</v>
      </c>
      <c r="J33" s="7" t="s">
        <v>17</v>
      </c>
      <c r="K33" s="7" t="s">
        <v>18</v>
      </c>
      <c r="L33" s="7" t="s">
        <v>19</v>
      </c>
      <c r="M33" s="7" t="s">
        <v>20</v>
      </c>
      <c r="N33" s="7" t="s">
        <v>21</v>
      </c>
    </row>
    <row r="34" spans="1:14" x14ac:dyDescent="0.35">
      <c r="A34" s="6" t="str">
        <f>B26</f>
        <v>Au alluvial mining and Au production in Peru through "Complete chute" method</v>
      </c>
      <c r="B34" s="6" t="str">
        <f>B27</f>
        <v>Refined Au</v>
      </c>
      <c r="C34" s="6" t="str">
        <f>B28</f>
        <v>PE</v>
      </c>
      <c r="D34" s="6">
        <v>1</v>
      </c>
      <c r="E34" s="6" t="s">
        <v>8</v>
      </c>
      <c r="F34" s="9" t="str">
        <f>F9</f>
        <v>Gold</v>
      </c>
      <c r="G34" s="6" t="s">
        <v>22</v>
      </c>
    </row>
    <row r="35" spans="1:14" x14ac:dyDescent="0.35">
      <c r="A35" s="6" t="str">
        <f>A9</f>
        <v>[M+C+P+R] Gold (Au) production (alluvial - Complete chute method)</v>
      </c>
      <c r="B35" s="6" t="str">
        <f t="shared" ref="B35:F35" si="0">B9</f>
        <v>Refined Au</v>
      </c>
      <c r="C35" s="6" t="str">
        <f t="shared" si="0"/>
        <v>PE</v>
      </c>
      <c r="D35" s="6">
        <f t="shared" si="0"/>
        <v>1</v>
      </c>
      <c r="E35" s="6" t="str">
        <f t="shared" si="0"/>
        <v>kilogram</v>
      </c>
      <c r="F35" s="9" t="str">
        <f t="shared" si="0"/>
        <v>Gold</v>
      </c>
      <c r="G35" s="6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3BC5-9FD9-4903-BEF6-FD8E72A83C84}">
  <sheetPr>
    <tabColor theme="8" tint="0.39997558519241921"/>
  </sheetPr>
  <dimension ref="A1:N40"/>
  <sheetViews>
    <sheetView workbookViewId="0"/>
  </sheetViews>
  <sheetFormatPr baseColWidth="10" defaultColWidth="9.1796875" defaultRowHeight="14.5" x14ac:dyDescent="0.35"/>
  <cols>
    <col min="1" max="1" width="71.81640625" style="6" bestFit="1" customWidth="1"/>
    <col min="2" max="2" width="51.7265625" style="6" bestFit="1" customWidth="1"/>
    <col min="3" max="3" width="8.179687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111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29" x14ac:dyDescent="0.35">
      <c r="A6" s="8" t="s">
        <v>9</v>
      </c>
      <c r="B6" s="15" t="s">
        <v>220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(from ore)</v>
      </c>
      <c r="B9" s="6" t="str">
        <f>B2</f>
        <v>Refined Au</v>
      </c>
      <c r="C9" s="6" t="str">
        <f>B3</f>
        <v>CO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112</v>
      </c>
      <c r="B10" s="6" t="s">
        <v>113</v>
      </c>
      <c r="C10" s="6" t="s">
        <v>34</v>
      </c>
      <c r="D10" s="16">
        <v>35064.135783521255</v>
      </c>
      <c r="E10" s="6" t="s">
        <v>41</v>
      </c>
      <c r="F10" s="6" t="s">
        <v>23</v>
      </c>
      <c r="G10" s="6" t="s">
        <v>24</v>
      </c>
      <c r="J10" s="6" t="s">
        <v>114</v>
      </c>
    </row>
    <row r="11" spans="1:14" x14ac:dyDescent="0.35">
      <c r="A11" s="6" t="s">
        <v>115</v>
      </c>
      <c r="B11" s="6" t="s">
        <v>116</v>
      </c>
      <c r="C11" s="6" t="s">
        <v>34</v>
      </c>
      <c r="D11" s="16">
        <v>0.81739673908470856</v>
      </c>
      <c r="E11" s="6" t="s">
        <v>48</v>
      </c>
      <c r="F11" s="6" t="s">
        <v>23</v>
      </c>
      <c r="G11" s="6" t="s">
        <v>24</v>
      </c>
      <c r="J11" s="6" t="s">
        <v>114</v>
      </c>
    </row>
    <row r="12" spans="1:14" x14ac:dyDescent="0.35">
      <c r="A12" s="6" t="s">
        <v>117</v>
      </c>
      <c r="B12" s="6" t="s">
        <v>118</v>
      </c>
      <c r="C12" s="6" t="s">
        <v>34</v>
      </c>
      <c r="D12" s="16">
        <v>454.71437517370526</v>
      </c>
      <c r="E12" s="6" t="s">
        <v>59</v>
      </c>
      <c r="F12" s="6" t="s">
        <v>23</v>
      </c>
      <c r="G12" s="6" t="s">
        <v>24</v>
      </c>
      <c r="J12" s="6" t="s">
        <v>114</v>
      </c>
    </row>
    <row r="13" spans="1:14" x14ac:dyDescent="0.35">
      <c r="A13" s="6" t="s">
        <v>119</v>
      </c>
      <c r="B13" s="6" t="s">
        <v>120</v>
      </c>
      <c r="C13" s="6" t="s">
        <v>28</v>
      </c>
      <c r="D13" s="16">
        <v>-3585164178.3905253</v>
      </c>
      <c r="E13" s="6" t="s">
        <v>8</v>
      </c>
      <c r="F13" s="6" t="s">
        <v>23</v>
      </c>
      <c r="G13" s="6" t="s">
        <v>24</v>
      </c>
      <c r="J13" s="6" t="s">
        <v>114</v>
      </c>
    </row>
    <row r="14" spans="1:14" x14ac:dyDescent="0.35">
      <c r="A14" s="6" t="s">
        <v>46</v>
      </c>
      <c r="B14" s="6" t="s">
        <v>47</v>
      </c>
      <c r="C14" s="6" t="s">
        <v>28</v>
      </c>
      <c r="D14" s="16">
        <v>59494.066452368032</v>
      </c>
      <c r="E14" s="6" t="s">
        <v>48</v>
      </c>
      <c r="F14" s="6" t="s">
        <v>23</v>
      </c>
      <c r="G14" s="6" t="s">
        <v>24</v>
      </c>
      <c r="J14" s="6" t="s">
        <v>114</v>
      </c>
    </row>
    <row r="15" spans="1:14" x14ac:dyDescent="0.35">
      <c r="A15" s="6" t="s">
        <v>121</v>
      </c>
      <c r="B15" s="6" t="s">
        <v>40</v>
      </c>
      <c r="C15" s="6" t="s">
        <v>111</v>
      </c>
      <c r="D15" s="16">
        <v>29172.211328093497</v>
      </c>
      <c r="E15" s="6" t="s">
        <v>41</v>
      </c>
      <c r="F15" s="6" t="s">
        <v>23</v>
      </c>
      <c r="G15" s="6" t="s">
        <v>24</v>
      </c>
      <c r="J15" s="6" t="s">
        <v>114</v>
      </c>
    </row>
    <row r="16" spans="1:14" x14ac:dyDescent="0.35">
      <c r="A16" s="6" t="s">
        <v>122</v>
      </c>
      <c r="B16" s="6" t="s">
        <v>123</v>
      </c>
      <c r="C16" s="6" t="s">
        <v>111</v>
      </c>
      <c r="D16" s="16">
        <v>17.737361426792951</v>
      </c>
      <c r="E16" s="6" t="s">
        <v>8</v>
      </c>
      <c r="F16" s="6" t="s">
        <v>23</v>
      </c>
      <c r="G16" s="6" t="s">
        <v>24</v>
      </c>
      <c r="J16" s="6" t="s">
        <v>114</v>
      </c>
    </row>
    <row r="17" spans="1:10" x14ac:dyDescent="0.35">
      <c r="A17" s="6" t="s">
        <v>124</v>
      </c>
      <c r="B17" s="6" t="s">
        <v>125</v>
      </c>
      <c r="C17" s="6" t="s">
        <v>28</v>
      </c>
      <c r="D17" s="16">
        <v>729.44898867686015</v>
      </c>
      <c r="E17" s="6" t="s">
        <v>8</v>
      </c>
      <c r="F17" s="6" t="s">
        <v>23</v>
      </c>
      <c r="G17" s="6" t="s">
        <v>24</v>
      </c>
      <c r="J17" s="6" t="s">
        <v>114</v>
      </c>
    </row>
    <row r="18" spans="1:10" x14ac:dyDescent="0.35">
      <c r="A18" s="6" t="s">
        <v>126</v>
      </c>
      <c r="B18" s="6" t="s">
        <v>127</v>
      </c>
      <c r="C18" s="6" t="s">
        <v>34</v>
      </c>
      <c r="D18" s="16">
        <v>786.35635658782087</v>
      </c>
      <c r="E18" s="6" t="s">
        <v>8</v>
      </c>
      <c r="F18" s="6" t="s">
        <v>23</v>
      </c>
      <c r="G18" s="6" t="s">
        <v>24</v>
      </c>
      <c r="J18" s="6" t="s">
        <v>114</v>
      </c>
    </row>
    <row r="19" spans="1:10" x14ac:dyDescent="0.35">
      <c r="A19" s="6" t="s">
        <v>32</v>
      </c>
      <c r="B19" s="6" t="s">
        <v>33</v>
      </c>
      <c r="C19" s="6" t="s">
        <v>34</v>
      </c>
      <c r="D19" s="16">
        <v>103.46794165629227</v>
      </c>
      <c r="E19" s="6" t="s">
        <v>8</v>
      </c>
      <c r="F19" s="6" t="s">
        <v>23</v>
      </c>
      <c r="G19" s="6" t="s">
        <v>24</v>
      </c>
      <c r="J19" s="6" t="s">
        <v>114</v>
      </c>
    </row>
    <row r="20" spans="1:10" x14ac:dyDescent="0.35">
      <c r="A20" s="6" t="s">
        <v>128</v>
      </c>
      <c r="B20" s="6" t="s">
        <v>129</v>
      </c>
      <c r="C20" s="6" t="s">
        <v>34</v>
      </c>
      <c r="D20" s="16">
        <v>5.5872688494397797</v>
      </c>
      <c r="E20" s="6" t="s">
        <v>8</v>
      </c>
      <c r="F20" s="6" t="s">
        <v>23</v>
      </c>
      <c r="G20" s="6" t="s">
        <v>24</v>
      </c>
      <c r="J20" s="6" t="s">
        <v>114</v>
      </c>
    </row>
    <row r="21" spans="1:10" x14ac:dyDescent="0.35">
      <c r="A21" s="6" t="s">
        <v>130</v>
      </c>
      <c r="B21" s="6" t="s">
        <v>131</v>
      </c>
      <c r="C21" s="6" t="s">
        <v>34</v>
      </c>
      <c r="D21" s="16">
        <v>118.98813290473602</v>
      </c>
      <c r="E21" s="6" t="s">
        <v>8</v>
      </c>
      <c r="F21" s="6" t="s">
        <v>23</v>
      </c>
      <c r="G21" s="6" t="s">
        <v>24</v>
      </c>
      <c r="J21" s="6" t="s">
        <v>114</v>
      </c>
    </row>
    <row r="22" spans="1:10" x14ac:dyDescent="0.35">
      <c r="A22" s="6" t="s">
        <v>26</v>
      </c>
      <c r="B22" s="6" t="s">
        <v>27</v>
      </c>
      <c r="C22" s="6" t="s">
        <v>28</v>
      </c>
      <c r="D22" s="16">
        <v>22.607745251899853</v>
      </c>
      <c r="E22" s="6" t="s">
        <v>8</v>
      </c>
      <c r="F22" s="6" t="s">
        <v>23</v>
      </c>
      <c r="G22" s="6" t="s">
        <v>24</v>
      </c>
      <c r="J22" s="6" t="s">
        <v>114</v>
      </c>
    </row>
    <row r="23" spans="1:10" x14ac:dyDescent="0.35">
      <c r="A23" s="6" t="s">
        <v>132</v>
      </c>
      <c r="B23" s="6" t="s">
        <v>133</v>
      </c>
      <c r="C23" s="6" t="s">
        <v>28</v>
      </c>
      <c r="D23" s="16">
        <v>22.607745251899853</v>
      </c>
      <c r="E23" s="6" t="s">
        <v>8</v>
      </c>
      <c r="F23" s="6" t="s">
        <v>23</v>
      </c>
      <c r="G23" s="6" t="s">
        <v>24</v>
      </c>
      <c r="J23" s="6" t="s">
        <v>114</v>
      </c>
    </row>
    <row r="24" spans="1:10" x14ac:dyDescent="0.35">
      <c r="A24" s="6" t="s">
        <v>42</v>
      </c>
      <c r="B24" s="6" t="s">
        <v>43</v>
      </c>
      <c r="C24" s="6" t="s">
        <v>34</v>
      </c>
      <c r="D24" s="16">
        <v>124678869.69583209</v>
      </c>
      <c r="E24" s="6" t="s">
        <v>8</v>
      </c>
      <c r="F24" s="6" t="s">
        <v>23</v>
      </c>
      <c r="G24" s="6" t="s">
        <v>24</v>
      </c>
      <c r="J24" s="6" t="s">
        <v>114</v>
      </c>
    </row>
    <row r="25" spans="1:10" x14ac:dyDescent="0.35">
      <c r="A25" s="6" t="s">
        <v>134</v>
      </c>
      <c r="B25" s="6" t="s">
        <v>135</v>
      </c>
      <c r="C25" s="6" t="s">
        <v>34</v>
      </c>
      <c r="D25" s="16">
        <v>5.6907367910960724E-2</v>
      </c>
      <c r="E25" s="6" t="s">
        <v>8</v>
      </c>
      <c r="F25" s="6" t="s">
        <v>23</v>
      </c>
      <c r="G25" s="6" t="s">
        <v>24</v>
      </c>
      <c r="J25" s="6" t="s">
        <v>114</v>
      </c>
    </row>
    <row r="26" spans="1:10" x14ac:dyDescent="0.35">
      <c r="A26" s="6" t="s">
        <v>35</v>
      </c>
      <c r="B26" s="6" t="s">
        <v>36</v>
      </c>
      <c r="C26" s="6" t="s">
        <v>34</v>
      </c>
      <c r="D26" s="16">
        <v>6.5702142951745559</v>
      </c>
      <c r="E26" s="6" t="s">
        <v>8</v>
      </c>
      <c r="F26" s="6" t="s">
        <v>23</v>
      </c>
      <c r="G26" s="6" t="s">
        <v>24</v>
      </c>
      <c r="J26" s="6" t="s">
        <v>114</v>
      </c>
    </row>
    <row r="27" spans="1:10" x14ac:dyDescent="0.35">
      <c r="A27" s="6" t="s">
        <v>136</v>
      </c>
      <c r="B27" s="6" t="s">
        <v>137</v>
      </c>
      <c r="C27" s="6" t="s">
        <v>28</v>
      </c>
      <c r="D27" s="16">
        <v>16.089264927553437</v>
      </c>
      <c r="E27" s="6" t="s">
        <v>8</v>
      </c>
      <c r="F27" s="6" t="s">
        <v>23</v>
      </c>
      <c r="G27" s="6" t="s">
        <v>24</v>
      </c>
      <c r="J27" s="6" t="s">
        <v>114</v>
      </c>
    </row>
    <row r="28" spans="1:10" x14ac:dyDescent="0.35">
      <c r="A28" s="6" t="s">
        <v>49</v>
      </c>
      <c r="B28" s="6" t="s">
        <v>50</v>
      </c>
      <c r="C28" s="6" t="s">
        <v>34</v>
      </c>
      <c r="D28" s="16">
        <v>51.268365090692804</v>
      </c>
      <c r="E28" s="6" t="s">
        <v>8</v>
      </c>
      <c r="F28" s="6" t="s">
        <v>23</v>
      </c>
      <c r="G28" s="6" t="s">
        <v>24</v>
      </c>
      <c r="J28" s="6" t="s">
        <v>114</v>
      </c>
    </row>
    <row r="29" spans="1:10" x14ac:dyDescent="0.35">
      <c r="A29" s="6" t="s">
        <v>70</v>
      </c>
      <c r="D29" s="16">
        <v>3000.5703080324738</v>
      </c>
      <c r="E29" s="6" t="s">
        <v>59</v>
      </c>
      <c r="F29" s="6" t="s">
        <v>63</v>
      </c>
      <c r="G29" s="6" t="s">
        <v>64</v>
      </c>
      <c r="H29" s="6" t="s">
        <v>65</v>
      </c>
      <c r="J29" s="6" t="s">
        <v>114</v>
      </c>
    </row>
    <row r="30" spans="1:10" s="10" customFormat="1" x14ac:dyDescent="0.35"/>
    <row r="31" spans="1:10" x14ac:dyDescent="0.35">
      <c r="A31" s="7" t="s">
        <v>0</v>
      </c>
      <c r="B31" s="7" t="s">
        <v>138</v>
      </c>
    </row>
    <row r="32" spans="1:10" x14ac:dyDescent="0.35">
      <c r="A32" s="8" t="s">
        <v>2</v>
      </c>
      <c r="B32" s="6" t="s">
        <v>3</v>
      </c>
    </row>
    <row r="33" spans="1:14" x14ac:dyDescent="0.35">
      <c r="A33" s="8" t="s">
        <v>4</v>
      </c>
      <c r="B33" s="6" t="s">
        <v>111</v>
      </c>
    </row>
    <row r="34" spans="1:14" x14ac:dyDescent="0.35">
      <c r="A34" s="8" t="s">
        <v>6</v>
      </c>
      <c r="B34" s="6">
        <v>1</v>
      </c>
    </row>
    <row r="35" spans="1:14" x14ac:dyDescent="0.35">
      <c r="A35" s="8" t="s">
        <v>7</v>
      </c>
      <c r="B35" s="6" t="s">
        <v>8</v>
      </c>
    </row>
    <row r="36" spans="1:14" x14ac:dyDescent="0.35">
      <c r="A36" s="8" t="s">
        <v>9</v>
      </c>
      <c r="B36" s="6" t="s">
        <v>10</v>
      </c>
    </row>
    <row r="37" spans="1:14" x14ac:dyDescent="0.35">
      <c r="A37" s="8" t="s">
        <v>11</v>
      </c>
    </row>
    <row r="38" spans="1:14" x14ac:dyDescent="0.35">
      <c r="A38" s="7" t="s">
        <v>12</v>
      </c>
      <c r="B38" s="7" t="s">
        <v>2</v>
      </c>
      <c r="C38" s="7" t="s">
        <v>4</v>
      </c>
      <c r="D38" s="7" t="s">
        <v>6</v>
      </c>
      <c r="E38" s="7" t="s">
        <v>7</v>
      </c>
      <c r="F38" s="7" t="s">
        <v>13</v>
      </c>
      <c r="G38" s="7" t="s">
        <v>14</v>
      </c>
      <c r="H38" s="7" t="s">
        <v>15</v>
      </c>
      <c r="I38" s="7" t="s">
        <v>16</v>
      </c>
      <c r="J38" s="7" t="s">
        <v>17</v>
      </c>
      <c r="K38" s="7" t="s">
        <v>18</v>
      </c>
      <c r="L38" s="7" t="s">
        <v>19</v>
      </c>
      <c r="M38" s="7" t="s">
        <v>20</v>
      </c>
      <c r="N38" s="7" t="s">
        <v>21</v>
      </c>
    </row>
    <row r="39" spans="1:14" x14ac:dyDescent="0.35">
      <c r="A39" s="6" t="str">
        <f>B31</f>
        <v>Au ore mining and Au production in Colombia/Antioquia</v>
      </c>
      <c r="B39" s="6" t="str">
        <f>B32</f>
        <v>Refined Au</v>
      </c>
      <c r="C39" s="6" t="str">
        <f>B33</f>
        <v>CO</v>
      </c>
      <c r="D39" s="6">
        <v>1</v>
      </c>
      <c r="E39" s="6" t="s">
        <v>8</v>
      </c>
      <c r="F39" s="9" t="str">
        <f>F9</f>
        <v>Gold</v>
      </c>
      <c r="G39" s="6" t="s">
        <v>22</v>
      </c>
    </row>
    <row r="40" spans="1:14" x14ac:dyDescent="0.35">
      <c r="A40" s="6" t="str">
        <f>A9</f>
        <v>[M+C+P+R] Gold (Au) production (from ore)</v>
      </c>
      <c r="B40" s="6" t="str">
        <f t="shared" ref="B40:F40" si="0">B9</f>
        <v>Refined Au</v>
      </c>
      <c r="C40" s="6" t="str">
        <f t="shared" si="0"/>
        <v>CO</v>
      </c>
      <c r="D40" s="6">
        <v>1</v>
      </c>
      <c r="E40" s="6" t="str">
        <f t="shared" si="0"/>
        <v>kilogram</v>
      </c>
      <c r="F40" s="9" t="str">
        <f t="shared" si="0"/>
        <v>Gold</v>
      </c>
      <c r="G40" s="6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9D1E-F56B-4365-89E9-140A076FC217}">
  <sheetPr>
    <tabColor theme="8" tint="0.39997558519241921"/>
  </sheetPr>
  <dimension ref="A1:N36"/>
  <sheetViews>
    <sheetView topLeftCell="A18" workbookViewId="0">
      <selection activeCell="D15" sqref="D15"/>
    </sheetView>
  </sheetViews>
  <sheetFormatPr baseColWidth="10" defaultColWidth="9.1796875" defaultRowHeight="14.5" x14ac:dyDescent="0.35"/>
  <cols>
    <col min="1" max="1" width="71.81640625" style="6" bestFit="1" customWidth="1"/>
    <col min="2" max="2" width="55.26953125" style="6" bestFit="1" customWidth="1"/>
    <col min="3" max="3" width="8.1796875" style="6" bestFit="1" customWidth="1"/>
    <col min="4" max="4" width="12.7265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139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111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29" x14ac:dyDescent="0.35">
      <c r="A6" s="8" t="s">
        <v>9</v>
      </c>
      <c r="B6" s="15" t="s">
        <v>219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(alluvial)</v>
      </c>
      <c r="B9" s="6" t="str">
        <f>B2</f>
        <v>Refined Au</v>
      </c>
      <c r="C9" s="6" t="str">
        <f>B3</f>
        <v>CO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112</v>
      </c>
      <c r="B10" s="6" t="s">
        <v>113</v>
      </c>
      <c r="C10" s="6" t="s">
        <v>34</v>
      </c>
      <c r="D10" s="16">
        <v>634287.63776037761</v>
      </c>
      <c r="E10" s="6" t="s">
        <v>41</v>
      </c>
      <c r="F10" s="6" t="s">
        <v>23</v>
      </c>
      <c r="G10" s="6" t="s">
        <v>24</v>
      </c>
      <c r="J10" s="6" t="s">
        <v>114</v>
      </c>
    </row>
    <row r="11" spans="1:14" x14ac:dyDescent="0.35">
      <c r="A11" s="6" t="s">
        <v>115</v>
      </c>
      <c r="B11" s="6" t="s">
        <v>116</v>
      </c>
      <c r="C11" s="6" t="s">
        <v>34</v>
      </c>
      <c r="D11" s="16">
        <v>18.770613822535925</v>
      </c>
      <c r="E11" s="6" t="s">
        <v>48</v>
      </c>
      <c r="F11" s="6" t="s">
        <v>23</v>
      </c>
      <c r="G11" s="6" t="s">
        <v>24</v>
      </c>
      <c r="J11" s="6" t="s">
        <v>114</v>
      </c>
    </row>
    <row r="12" spans="1:14" x14ac:dyDescent="0.35">
      <c r="A12" s="6" t="s">
        <v>117</v>
      </c>
      <c r="B12" s="6" t="s">
        <v>118</v>
      </c>
      <c r="C12" s="6" t="s">
        <v>34</v>
      </c>
      <c r="D12" s="16">
        <v>0.28517481662018768</v>
      </c>
      <c r="E12" s="6" t="s">
        <v>59</v>
      </c>
      <c r="F12" s="6" t="s">
        <v>23</v>
      </c>
      <c r="G12" s="6" t="s">
        <v>24</v>
      </c>
      <c r="J12" s="6" t="s">
        <v>114</v>
      </c>
    </row>
    <row r="13" spans="1:14" x14ac:dyDescent="0.35">
      <c r="A13" s="6" t="s">
        <v>117</v>
      </c>
      <c r="B13" s="6" t="s">
        <v>118</v>
      </c>
      <c r="C13" s="6" t="s">
        <v>34</v>
      </c>
      <c r="D13" s="16">
        <v>0.28517481662018768</v>
      </c>
      <c r="E13" s="6" t="s">
        <v>59</v>
      </c>
      <c r="F13" s="6" t="s">
        <v>23</v>
      </c>
      <c r="G13" s="6" t="s">
        <v>24</v>
      </c>
      <c r="J13" s="6" t="s">
        <v>114</v>
      </c>
    </row>
    <row r="14" spans="1:14" x14ac:dyDescent="0.35">
      <c r="A14" s="6" t="s">
        <v>119</v>
      </c>
      <c r="B14" s="6" t="s">
        <v>120</v>
      </c>
      <c r="C14" s="6" t="s">
        <v>28</v>
      </c>
      <c r="D14" s="16">
        <v>-32058402301.719467</v>
      </c>
      <c r="E14" s="6" t="s">
        <v>8</v>
      </c>
      <c r="F14" s="6" t="s">
        <v>23</v>
      </c>
      <c r="G14" s="6" t="s">
        <v>24</v>
      </c>
      <c r="J14" s="6" t="s">
        <v>114</v>
      </c>
    </row>
    <row r="15" spans="1:14" x14ac:dyDescent="0.35">
      <c r="A15" s="6" t="s">
        <v>46</v>
      </c>
      <c r="B15" s="6" t="s">
        <v>47</v>
      </c>
      <c r="C15" s="6" t="s">
        <v>28</v>
      </c>
      <c r="D15" s="16">
        <v>361.221434385571</v>
      </c>
      <c r="E15" s="6" t="s">
        <v>48</v>
      </c>
      <c r="F15" s="6" t="s">
        <v>23</v>
      </c>
      <c r="G15" s="6" t="s">
        <v>24</v>
      </c>
      <c r="J15" s="6" t="s">
        <v>114</v>
      </c>
    </row>
    <row r="16" spans="1:14" x14ac:dyDescent="0.35">
      <c r="A16" s="6" t="s">
        <v>121</v>
      </c>
      <c r="B16" s="6" t="s">
        <v>40</v>
      </c>
      <c r="C16" s="6" t="s">
        <v>111</v>
      </c>
      <c r="D16" s="16">
        <v>22665.928298499373</v>
      </c>
      <c r="E16" s="6" t="s">
        <v>41</v>
      </c>
      <c r="F16" s="6" t="s">
        <v>23</v>
      </c>
      <c r="G16" s="6" t="s">
        <v>24</v>
      </c>
      <c r="J16" s="6" t="s">
        <v>114</v>
      </c>
    </row>
    <row r="17" spans="1:10" x14ac:dyDescent="0.35">
      <c r="A17" s="6" t="s">
        <v>122</v>
      </c>
      <c r="B17" s="6" t="s">
        <v>123</v>
      </c>
      <c r="C17" s="6" t="s">
        <v>111</v>
      </c>
      <c r="D17" s="16">
        <v>0.10531237154098279</v>
      </c>
      <c r="E17" s="6" t="s">
        <v>8</v>
      </c>
      <c r="F17" s="6" t="s">
        <v>23</v>
      </c>
      <c r="G17" s="6" t="s">
        <v>24</v>
      </c>
      <c r="J17" s="6" t="s">
        <v>114</v>
      </c>
    </row>
    <row r="18" spans="1:10" x14ac:dyDescent="0.35">
      <c r="A18" s="6" t="s">
        <v>126</v>
      </c>
      <c r="B18" s="6" t="s">
        <v>127</v>
      </c>
      <c r="C18" s="6" t="s">
        <v>34</v>
      </c>
      <c r="D18" s="16">
        <v>8514.5052390884593</v>
      </c>
      <c r="E18" s="6" t="s">
        <v>8</v>
      </c>
      <c r="F18" s="6" t="s">
        <v>23</v>
      </c>
      <c r="G18" s="6" t="s">
        <v>24</v>
      </c>
      <c r="J18" s="6" t="s">
        <v>114</v>
      </c>
    </row>
    <row r="19" spans="1:10" x14ac:dyDescent="0.35">
      <c r="A19" s="6" t="s">
        <v>132</v>
      </c>
      <c r="B19" s="6" t="s">
        <v>133</v>
      </c>
      <c r="C19" s="6" t="s">
        <v>28</v>
      </c>
      <c r="D19" s="16">
        <v>0.15158399478680215</v>
      </c>
      <c r="E19" s="6" t="s">
        <v>8</v>
      </c>
      <c r="F19" s="6" t="s">
        <v>23</v>
      </c>
      <c r="G19" s="6" t="s">
        <v>24</v>
      </c>
      <c r="J19" s="6" t="s">
        <v>114</v>
      </c>
    </row>
    <row r="20" spans="1:10" x14ac:dyDescent="0.35">
      <c r="A20" s="6" t="s">
        <v>140</v>
      </c>
      <c r="B20" s="6" t="s">
        <v>141</v>
      </c>
      <c r="C20" s="6" t="s">
        <v>28</v>
      </c>
      <c r="D20" s="16">
        <v>7.4179401704179748E-2</v>
      </c>
      <c r="E20" s="6" t="s">
        <v>8</v>
      </c>
      <c r="F20" s="6" t="s">
        <v>23</v>
      </c>
      <c r="G20" s="6" t="s">
        <v>24</v>
      </c>
      <c r="J20" s="6" t="s">
        <v>114</v>
      </c>
    </row>
    <row r="21" spans="1:10" x14ac:dyDescent="0.35">
      <c r="A21" s="6" t="s">
        <v>142</v>
      </c>
      <c r="B21" s="6" t="s">
        <v>143</v>
      </c>
      <c r="C21" s="6" t="s">
        <v>28</v>
      </c>
      <c r="D21" s="16">
        <v>75.146959117712527</v>
      </c>
      <c r="E21" s="6" t="s">
        <v>8</v>
      </c>
      <c r="F21" s="6" t="s">
        <v>23</v>
      </c>
      <c r="G21" s="6" t="s">
        <v>24</v>
      </c>
      <c r="J21" s="6" t="s">
        <v>114</v>
      </c>
    </row>
    <row r="22" spans="1:10" x14ac:dyDescent="0.35">
      <c r="A22" s="6" t="s">
        <v>130</v>
      </c>
      <c r="B22" s="6" t="s">
        <v>131</v>
      </c>
      <c r="C22" s="6" t="s">
        <v>34</v>
      </c>
      <c r="D22" s="16">
        <v>3.2251913784425983E-2</v>
      </c>
      <c r="E22" s="6" t="s">
        <v>8</v>
      </c>
      <c r="F22" s="6" t="s">
        <v>23</v>
      </c>
      <c r="G22" s="6" t="s">
        <v>24</v>
      </c>
      <c r="J22" s="6" t="s">
        <v>114</v>
      </c>
    </row>
    <row r="23" spans="1:10" x14ac:dyDescent="0.35">
      <c r="A23" s="6" t="s">
        <v>144</v>
      </c>
      <c r="B23" s="6" t="s">
        <v>145</v>
      </c>
      <c r="C23" s="6" t="s">
        <v>28</v>
      </c>
      <c r="D23" s="16">
        <v>25.027485096714564</v>
      </c>
      <c r="E23" s="6" t="s">
        <v>8</v>
      </c>
      <c r="F23" s="6" t="s">
        <v>23</v>
      </c>
      <c r="G23" s="6" t="s">
        <v>24</v>
      </c>
      <c r="J23" s="6" t="s">
        <v>114</v>
      </c>
    </row>
    <row r="24" spans="1:10" x14ac:dyDescent="0.35">
      <c r="A24" s="6" t="s">
        <v>136</v>
      </c>
      <c r="B24" s="6" t="s">
        <v>137</v>
      </c>
      <c r="C24" s="6" t="s">
        <v>28</v>
      </c>
      <c r="D24" s="16">
        <v>0.1438435354785399</v>
      </c>
      <c r="E24" s="6" t="s">
        <v>8</v>
      </c>
      <c r="F24" s="6" t="s">
        <v>23</v>
      </c>
      <c r="G24" s="6" t="s">
        <v>24</v>
      </c>
      <c r="J24" s="6" t="s">
        <v>114</v>
      </c>
    </row>
    <row r="25" spans="1:10" x14ac:dyDescent="0.35">
      <c r="A25" s="6" t="s">
        <v>70</v>
      </c>
      <c r="D25" s="16">
        <v>46765.274987417673</v>
      </c>
      <c r="E25" s="6" t="s">
        <v>59</v>
      </c>
      <c r="F25" s="6" t="s">
        <v>63</v>
      </c>
      <c r="G25" s="6" t="s">
        <v>64</v>
      </c>
      <c r="H25" s="6" t="s">
        <v>65</v>
      </c>
      <c r="J25" s="6" t="s">
        <v>114</v>
      </c>
    </row>
    <row r="26" spans="1:10" s="10" customFormat="1" x14ac:dyDescent="0.35"/>
    <row r="27" spans="1:10" x14ac:dyDescent="0.35">
      <c r="A27" s="7" t="s">
        <v>0</v>
      </c>
      <c r="B27" s="7" t="s">
        <v>146</v>
      </c>
    </row>
    <row r="28" spans="1:10" x14ac:dyDescent="0.35">
      <c r="A28" s="8" t="s">
        <v>2</v>
      </c>
      <c r="B28" s="6" t="s">
        <v>3</v>
      </c>
    </row>
    <row r="29" spans="1:10" x14ac:dyDescent="0.35">
      <c r="A29" s="8" t="s">
        <v>4</v>
      </c>
      <c r="B29" s="6" t="s">
        <v>111</v>
      </c>
    </row>
    <row r="30" spans="1:10" x14ac:dyDescent="0.35">
      <c r="A30" s="8" t="s">
        <v>6</v>
      </c>
      <c r="B30" s="6">
        <v>1</v>
      </c>
    </row>
    <row r="31" spans="1:10" x14ac:dyDescent="0.35">
      <c r="A31" s="8" t="s">
        <v>7</v>
      </c>
      <c r="B31" s="6" t="s">
        <v>8</v>
      </c>
    </row>
    <row r="32" spans="1:10" x14ac:dyDescent="0.35">
      <c r="A32" s="8" t="s">
        <v>9</v>
      </c>
      <c r="B32" s="6" t="s">
        <v>10</v>
      </c>
    </row>
    <row r="33" spans="1:14" x14ac:dyDescent="0.35">
      <c r="A33" s="8" t="s">
        <v>11</v>
      </c>
    </row>
    <row r="34" spans="1:14" x14ac:dyDescent="0.35">
      <c r="A34" s="7" t="s">
        <v>12</v>
      </c>
      <c r="B34" s="7" t="s">
        <v>2</v>
      </c>
      <c r="C34" s="7" t="s">
        <v>4</v>
      </c>
      <c r="D34" s="7" t="s">
        <v>6</v>
      </c>
      <c r="E34" s="7" t="s">
        <v>7</v>
      </c>
      <c r="F34" s="7" t="s">
        <v>13</v>
      </c>
      <c r="G34" s="7" t="s">
        <v>14</v>
      </c>
      <c r="H34" s="7" t="s">
        <v>15</v>
      </c>
      <c r="I34" s="7" t="s">
        <v>16</v>
      </c>
      <c r="J34" s="7" t="s">
        <v>17</v>
      </c>
      <c r="K34" s="7" t="s">
        <v>18</v>
      </c>
      <c r="L34" s="7" t="s">
        <v>19</v>
      </c>
      <c r="M34" s="7" t="s">
        <v>20</v>
      </c>
      <c r="N34" s="7" t="s">
        <v>21</v>
      </c>
    </row>
    <row r="35" spans="1:14" x14ac:dyDescent="0.35">
      <c r="A35" s="6" t="str">
        <f>B27</f>
        <v>Au alluvial mining and Au production in Colombia/Antioquia</v>
      </c>
      <c r="B35" s="6" t="str">
        <f>B28</f>
        <v>Refined Au</v>
      </c>
      <c r="C35" s="6" t="str">
        <f>B29</f>
        <v>CO</v>
      </c>
      <c r="D35" s="6">
        <v>1</v>
      </c>
      <c r="E35" s="6" t="s">
        <v>8</v>
      </c>
      <c r="F35" s="9" t="str">
        <f>F9</f>
        <v>Gold</v>
      </c>
      <c r="G35" s="6" t="s">
        <v>22</v>
      </c>
    </row>
    <row r="36" spans="1:14" x14ac:dyDescent="0.35">
      <c r="A36" s="6" t="str">
        <f>A9</f>
        <v>[M+C+P+R] Gold (Au) production (alluvial)</v>
      </c>
      <c r="B36" s="6" t="str">
        <f t="shared" ref="B36:F36" si="0">B9</f>
        <v>Refined Au</v>
      </c>
      <c r="C36" s="6" t="str">
        <f t="shared" si="0"/>
        <v>CO</v>
      </c>
      <c r="D36" s="6">
        <v>1</v>
      </c>
      <c r="E36" s="6" t="str">
        <f t="shared" si="0"/>
        <v>kilogram</v>
      </c>
      <c r="F36" s="9" t="str">
        <f t="shared" si="0"/>
        <v>Gold</v>
      </c>
      <c r="G36" s="6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0FD5-9790-4C1F-8583-C39255B6B61F}">
  <sheetPr>
    <tabColor theme="8" tint="0.39997558519241921"/>
  </sheetPr>
  <dimension ref="A1:N77"/>
  <sheetViews>
    <sheetView topLeftCell="A48" workbookViewId="0">
      <selection activeCell="D33" sqref="D33"/>
    </sheetView>
  </sheetViews>
  <sheetFormatPr baseColWidth="10" defaultColWidth="9.1796875" defaultRowHeight="14.5" x14ac:dyDescent="0.35"/>
  <cols>
    <col min="1" max="2" width="69.54296875" style="6" bestFit="1" customWidth="1"/>
    <col min="3" max="3" width="8.179687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0.5429687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79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29" x14ac:dyDescent="0.35">
      <c r="A6" s="8" t="s">
        <v>9</v>
      </c>
      <c r="B6" s="15" t="s">
        <v>218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(from ore)</v>
      </c>
      <c r="B9" s="6" t="str">
        <f>B2</f>
        <v>Refined Au</v>
      </c>
      <c r="C9" s="6" t="str">
        <f>B3</f>
        <v>PE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121</v>
      </c>
      <c r="B10" s="6" t="s">
        <v>40</v>
      </c>
      <c r="C10" s="6" t="s">
        <v>79</v>
      </c>
      <c r="D10" s="16">
        <v>3099.440986106421</v>
      </c>
      <c r="E10" s="6" t="s">
        <v>41</v>
      </c>
      <c r="F10" s="6" t="s">
        <v>23</v>
      </c>
      <c r="G10" s="6" t="s">
        <v>24</v>
      </c>
      <c r="J10" s="6" t="s">
        <v>147</v>
      </c>
    </row>
    <row r="11" spans="1:14" x14ac:dyDescent="0.35">
      <c r="A11" s="6" t="s">
        <v>130</v>
      </c>
      <c r="B11" s="6" t="s">
        <v>131</v>
      </c>
      <c r="C11" s="6" t="s">
        <v>34</v>
      </c>
      <c r="D11" s="16">
        <v>830.0642089990904</v>
      </c>
      <c r="E11" s="6" t="s">
        <v>8</v>
      </c>
      <c r="F11" s="6" t="s">
        <v>23</v>
      </c>
      <c r="G11" s="6" t="s">
        <v>24</v>
      </c>
      <c r="J11" s="6" t="s">
        <v>147</v>
      </c>
    </row>
    <row r="12" spans="1:14" x14ac:dyDescent="0.35">
      <c r="A12" s="6" t="s">
        <v>148</v>
      </c>
      <c r="B12" s="6" t="s">
        <v>149</v>
      </c>
      <c r="C12" s="6" t="s">
        <v>28</v>
      </c>
      <c r="D12" s="16">
        <v>7.4038390501175142</v>
      </c>
      <c r="E12" s="6" t="s">
        <v>8</v>
      </c>
      <c r="F12" s="6" t="s">
        <v>23</v>
      </c>
      <c r="G12" s="6" t="s">
        <v>24</v>
      </c>
      <c r="J12" s="6" t="s">
        <v>147</v>
      </c>
    </row>
    <row r="13" spans="1:14" x14ac:dyDescent="0.35">
      <c r="A13" s="6" t="s">
        <v>136</v>
      </c>
      <c r="B13" s="6" t="s">
        <v>137</v>
      </c>
      <c r="C13" s="6" t="s">
        <v>28</v>
      </c>
      <c r="D13" s="16">
        <v>9.6145628228286597</v>
      </c>
      <c r="E13" s="6" t="s">
        <v>8</v>
      </c>
      <c r="F13" s="6" t="s">
        <v>23</v>
      </c>
      <c r="G13" s="6" t="s">
        <v>24</v>
      </c>
      <c r="J13" s="6" t="s">
        <v>147</v>
      </c>
    </row>
    <row r="14" spans="1:14" x14ac:dyDescent="0.35">
      <c r="A14" s="6" t="s">
        <v>60</v>
      </c>
      <c r="B14" s="6" t="s">
        <v>61</v>
      </c>
      <c r="C14" s="6" t="s">
        <v>34</v>
      </c>
      <c r="D14" s="16">
        <v>2.335859080600455E-4</v>
      </c>
      <c r="E14" s="6" t="s">
        <v>8</v>
      </c>
      <c r="F14" s="6" t="s">
        <v>23</v>
      </c>
      <c r="G14" s="6" t="s">
        <v>24</v>
      </c>
      <c r="J14" s="6" t="s">
        <v>147</v>
      </c>
    </row>
    <row r="15" spans="1:14" x14ac:dyDescent="0.35">
      <c r="A15" s="6" t="s">
        <v>121</v>
      </c>
      <c r="B15" s="6" t="s">
        <v>40</v>
      </c>
      <c r="C15" s="6" t="s">
        <v>79</v>
      </c>
      <c r="D15" s="16">
        <v>28.572561968059144</v>
      </c>
      <c r="E15" s="6" t="s">
        <v>41</v>
      </c>
      <c r="F15" s="6" t="s">
        <v>23</v>
      </c>
      <c r="G15" s="6" t="s">
        <v>24</v>
      </c>
      <c r="J15" s="6" t="s">
        <v>147</v>
      </c>
    </row>
    <row r="16" spans="1:14" x14ac:dyDescent="0.35">
      <c r="A16" s="6" t="s">
        <v>150</v>
      </c>
      <c r="B16" s="6" t="s">
        <v>151</v>
      </c>
      <c r="C16" s="6" t="s">
        <v>28</v>
      </c>
      <c r="D16" s="16">
        <v>4.8552499461052313E-2</v>
      </c>
      <c r="E16" s="6" t="s">
        <v>8</v>
      </c>
      <c r="F16" s="6" t="s">
        <v>23</v>
      </c>
      <c r="G16" s="6" t="s">
        <v>24</v>
      </c>
      <c r="J16" s="6" t="s">
        <v>147</v>
      </c>
    </row>
    <row r="17" spans="1:10" x14ac:dyDescent="0.35">
      <c r="A17" s="6" t="s">
        <v>152</v>
      </c>
      <c r="B17" s="6" t="s">
        <v>153</v>
      </c>
      <c r="C17" s="6" t="s">
        <v>34</v>
      </c>
      <c r="D17" s="16">
        <v>122.0069251920774</v>
      </c>
      <c r="E17" s="6" t="s">
        <v>8</v>
      </c>
      <c r="F17" s="6" t="s">
        <v>23</v>
      </c>
      <c r="G17" s="6" t="s">
        <v>24</v>
      </c>
      <c r="J17" s="6" t="s">
        <v>147</v>
      </c>
    </row>
    <row r="18" spans="1:10" x14ac:dyDescent="0.35">
      <c r="A18" s="6" t="s">
        <v>148</v>
      </c>
      <c r="B18" s="6" t="s">
        <v>149</v>
      </c>
      <c r="C18" s="6" t="s">
        <v>28</v>
      </c>
      <c r="D18" s="16">
        <v>3.1492385818809709</v>
      </c>
      <c r="E18" s="6" t="s">
        <v>8</v>
      </c>
      <c r="F18" s="6" t="s">
        <v>23</v>
      </c>
      <c r="G18" s="6" t="s">
        <v>24</v>
      </c>
      <c r="J18" s="6" t="s">
        <v>147</v>
      </c>
    </row>
    <row r="19" spans="1:10" x14ac:dyDescent="0.35">
      <c r="A19" s="6" t="s">
        <v>154</v>
      </c>
      <c r="B19" s="6" t="s">
        <v>155</v>
      </c>
      <c r="C19" s="6" t="s">
        <v>28</v>
      </c>
      <c r="D19" s="16">
        <v>0.37749151213275217</v>
      </c>
      <c r="E19" s="6" t="s">
        <v>8</v>
      </c>
      <c r="F19" s="6" t="s">
        <v>23</v>
      </c>
      <c r="G19" s="6" t="s">
        <v>24</v>
      </c>
      <c r="J19" s="6" t="s">
        <v>147</v>
      </c>
    </row>
    <row r="20" spans="1:10" x14ac:dyDescent="0.35">
      <c r="A20" s="6" t="s">
        <v>136</v>
      </c>
      <c r="B20" s="6" t="s">
        <v>137</v>
      </c>
      <c r="C20" s="6" t="s">
        <v>28</v>
      </c>
      <c r="D20" s="16">
        <v>3.1283826972327531</v>
      </c>
      <c r="E20" s="6" t="s">
        <v>8</v>
      </c>
      <c r="F20" s="6" t="s">
        <v>23</v>
      </c>
      <c r="G20" s="6" t="s">
        <v>24</v>
      </c>
      <c r="J20" s="6" t="s">
        <v>147</v>
      </c>
    </row>
    <row r="21" spans="1:10" x14ac:dyDescent="0.35">
      <c r="A21" s="6" t="s">
        <v>60</v>
      </c>
      <c r="B21" s="6" t="s">
        <v>61</v>
      </c>
      <c r="C21" s="6" t="s">
        <v>34</v>
      </c>
      <c r="D21" s="16">
        <v>5.1201196811376053E-4</v>
      </c>
      <c r="E21" s="6" t="s">
        <v>8</v>
      </c>
      <c r="F21" s="6" t="s">
        <v>23</v>
      </c>
      <c r="G21" s="6" t="s">
        <v>24</v>
      </c>
      <c r="J21" s="6" t="s">
        <v>147</v>
      </c>
    </row>
    <row r="22" spans="1:10" x14ac:dyDescent="0.35">
      <c r="A22" s="6" t="s">
        <v>121</v>
      </c>
      <c r="B22" s="6" t="s">
        <v>40</v>
      </c>
      <c r="C22" s="6" t="s">
        <v>79</v>
      </c>
      <c r="D22" s="16">
        <v>12.096413095966644</v>
      </c>
      <c r="E22" s="6" t="s">
        <v>41</v>
      </c>
      <c r="F22" s="6" t="s">
        <v>23</v>
      </c>
      <c r="G22" s="6" t="s">
        <v>24</v>
      </c>
      <c r="J22" s="6" t="s">
        <v>147</v>
      </c>
    </row>
    <row r="23" spans="1:10" x14ac:dyDescent="0.35">
      <c r="A23" s="6" t="s">
        <v>156</v>
      </c>
      <c r="B23" s="6" t="s">
        <v>157</v>
      </c>
      <c r="C23" s="6" t="s">
        <v>28</v>
      </c>
      <c r="D23" s="16">
        <v>1.0427942324109172E-8</v>
      </c>
      <c r="E23" s="6" t="s">
        <v>7</v>
      </c>
      <c r="F23" s="6" t="s">
        <v>23</v>
      </c>
      <c r="G23" s="6" t="s">
        <v>24</v>
      </c>
      <c r="J23" s="6" t="s">
        <v>147</v>
      </c>
    </row>
    <row r="24" spans="1:10" x14ac:dyDescent="0.35">
      <c r="A24" s="6" t="s">
        <v>152</v>
      </c>
      <c r="B24" s="6" t="s">
        <v>153</v>
      </c>
      <c r="C24" s="6" t="s">
        <v>34</v>
      </c>
      <c r="D24" s="16">
        <v>217.94399457388184</v>
      </c>
      <c r="E24" s="6" t="s">
        <v>8</v>
      </c>
      <c r="F24" s="6" t="s">
        <v>23</v>
      </c>
      <c r="G24" s="6" t="s">
        <v>24</v>
      </c>
      <c r="J24" s="6" t="s">
        <v>147</v>
      </c>
    </row>
    <row r="25" spans="1:10" x14ac:dyDescent="0.35">
      <c r="A25" s="6" t="s">
        <v>60</v>
      </c>
      <c r="B25" s="6" t="s">
        <v>61</v>
      </c>
      <c r="C25" s="6" t="s">
        <v>34</v>
      </c>
      <c r="D25" s="16">
        <v>5.6310888550189554E-4</v>
      </c>
      <c r="E25" s="6" t="s">
        <v>8</v>
      </c>
      <c r="F25" s="6" t="s">
        <v>23</v>
      </c>
      <c r="G25" s="6" t="s">
        <v>24</v>
      </c>
      <c r="J25" s="6" t="s">
        <v>147</v>
      </c>
    </row>
    <row r="26" spans="1:10" x14ac:dyDescent="0.35">
      <c r="A26" s="6" t="s">
        <v>121</v>
      </c>
      <c r="B26" s="6" t="s">
        <v>40</v>
      </c>
      <c r="C26" s="6" t="s">
        <v>79</v>
      </c>
      <c r="D26" s="16">
        <v>347.5980774703059</v>
      </c>
      <c r="E26" s="6" t="s">
        <v>41</v>
      </c>
      <c r="F26" s="6" t="s">
        <v>23</v>
      </c>
      <c r="G26" s="6" t="s">
        <v>24</v>
      </c>
      <c r="J26" s="6" t="s">
        <v>147</v>
      </c>
    </row>
    <row r="27" spans="1:10" x14ac:dyDescent="0.35">
      <c r="A27" s="6" t="s">
        <v>158</v>
      </c>
      <c r="B27" s="6" t="s">
        <v>159</v>
      </c>
      <c r="C27" s="6" t="s">
        <v>28</v>
      </c>
      <c r="D27" s="16">
        <v>1.4265425099381357E-5</v>
      </c>
      <c r="E27" s="6" t="s">
        <v>67</v>
      </c>
      <c r="F27" s="6" t="s">
        <v>23</v>
      </c>
      <c r="G27" s="6" t="s">
        <v>24</v>
      </c>
      <c r="J27" s="6" t="s">
        <v>147</v>
      </c>
    </row>
    <row r="28" spans="1:10" x14ac:dyDescent="0.35">
      <c r="A28" s="6" t="s">
        <v>160</v>
      </c>
      <c r="B28" s="6" t="s">
        <v>161</v>
      </c>
      <c r="C28" s="6" t="s">
        <v>28</v>
      </c>
      <c r="D28" s="16">
        <v>11.262177710037914</v>
      </c>
      <c r="E28" s="6" t="s">
        <v>8</v>
      </c>
      <c r="F28" s="6" t="s">
        <v>23</v>
      </c>
      <c r="G28" s="6" t="s">
        <v>24</v>
      </c>
      <c r="J28" s="6" t="s">
        <v>147</v>
      </c>
    </row>
    <row r="29" spans="1:10" x14ac:dyDescent="0.35">
      <c r="A29" s="6" t="s">
        <v>162</v>
      </c>
      <c r="B29" s="6" t="s">
        <v>163</v>
      </c>
      <c r="C29" s="6" t="s">
        <v>79</v>
      </c>
      <c r="D29" s="16">
        <v>1428.6280984029572</v>
      </c>
      <c r="E29" s="6" t="s">
        <v>8</v>
      </c>
      <c r="F29" s="6" t="s">
        <v>23</v>
      </c>
      <c r="G29" s="6" t="s">
        <v>24</v>
      </c>
      <c r="J29" s="6" t="s">
        <v>147</v>
      </c>
    </row>
    <row r="30" spans="1:10" x14ac:dyDescent="0.35">
      <c r="A30" s="6" t="s">
        <v>164</v>
      </c>
      <c r="B30" s="6" t="s">
        <v>164</v>
      </c>
      <c r="C30" s="6" t="s">
        <v>28</v>
      </c>
      <c r="D30" s="16">
        <v>0.52833169785099143</v>
      </c>
      <c r="E30" s="6" t="s">
        <v>165</v>
      </c>
      <c r="F30" s="6" t="s">
        <v>23</v>
      </c>
      <c r="G30" s="6" t="s">
        <v>24</v>
      </c>
      <c r="J30" s="6" t="s">
        <v>147</v>
      </c>
    </row>
    <row r="31" spans="1:10" x14ac:dyDescent="0.35">
      <c r="A31" s="6" t="s">
        <v>46</v>
      </c>
      <c r="B31" s="6" t="s">
        <v>47</v>
      </c>
      <c r="C31" s="6" t="s">
        <v>28</v>
      </c>
      <c r="D31" s="16">
        <v>591.26432977699028</v>
      </c>
      <c r="E31" s="6" t="s">
        <v>48</v>
      </c>
      <c r="F31" s="6" t="s">
        <v>23</v>
      </c>
      <c r="G31" s="6" t="s">
        <v>24</v>
      </c>
      <c r="J31" s="6" t="s">
        <v>147</v>
      </c>
    </row>
    <row r="32" spans="1:10" x14ac:dyDescent="0.35">
      <c r="A32" s="6" t="s">
        <v>166</v>
      </c>
      <c r="B32" s="6" t="s">
        <v>167</v>
      </c>
      <c r="C32" s="6" t="s">
        <v>28</v>
      </c>
      <c r="D32" s="16">
        <v>9.1765892452160738E-3</v>
      </c>
      <c r="E32" s="6" t="s">
        <v>168</v>
      </c>
      <c r="F32" s="6" t="s">
        <v>23</v>
      </c>
      <c r="G32" s="6" t="s">
        <v>24</v>
      </c>
      <c r="J32" s="6" t="s">
        <v>147</v>
      </c>
    </row>
    <row r="33" spans="1:10" x14ac:dyDescent="0.35">
      <c r="A33" s="6" t="s">
        <v>166</v>
      </c>
      <c r="B33" s="6" t="s">
        <v>167</v>
      </c>
      <c r="C33" s="6" t="s">
        <v>28</v>
      </c>
      <c r="D33" s="16">
        <v>2.2941473113040189E-2</v>
      </c>
      <c r="E33" s="6" t="s">
        <v>168</v>
      </c>
      <c r="F33" s="6" t="s">
        <v>23</v>
      </c>
      <c r="G33" s="6" t="s">
        <v>24</v>
      </c>
      <c r="J33" s="6" t="s">
        <v>147</v>
      </c>
    </row>
    <row r="34" spans="1:10" x14ac:dyDescent="0.35">
      <c r="A34" s="6" t="s">
        <v>166</v>
      </c>
      <c r="B34" s="6" t="s">
        <v>167</v>
      </c>
      <c r="C34" s="6" t="s">
        <v>28</v>
      </c>
      <c r="D34" s="16">
        <v>37.540592366793035</v>
      </c>
      <c r="E34" s="6" t="s">
        <v>168</v>
      </c>
      <c r="F34" s="6" t="s">
        <v>23</v>
      </c>
      <c r="G34" s="6" t="s">
        <v>24</v>
      </c>
      <c r="J34" s="6" t="s">
        <v>147</v>
      </c>
    </row>
    <row r="35" spans="1:10" x14ac:dyDescent="0.35">
      <c r="A35" s="6" t="s">
        <v>169</v>
      </c>
      <c r="B35" s="6" t="s">
        <v>170</v>
      </c>
      <c r="C35" s="6" t="s">
        <v>28</v>
      </c>
      <c r="D35" s="16">
        <v>6.2567653944655055E-3</v>
      </c>
      <c r="E35" s="6" t="s">
        <v>67</v>
      </c>
      <c r="F35" s="6" t="s">
        <v>23</v>
      </c>
      <c r="G35" s="6" t="s">
        <v>24</v>
      </c>
      <c r="J35" s="6" t="s">
        <v>147</v>
      </c>
    </row>
    <row r="36" spans="1:10" x14ac:dyDescent="0.35">
      <c r="A36" s="6" t="s">
        <v>171</v>
      </c>
      <c r="B36" s="6" t="s">
        <v>172</v>
      </c>
      <c r="C36" s="6" t="s">
        <v>28</v>
      </c>
      <c r="D36" s="16">
        <v>1.2951504366543593E-6</v>
      </c>
      <c r="E36" s="6" t="s">
        <v>7</v>
      </c>
      <c r="F36" s="6" t="s">
        <v>23</v>
      </c>
      <c r="G36" s="6" t="s">
        <v>24</v>
      </c>
      <c r="J36" s="6" t="s">
        <v>147</v>
      </c>
    </row>
    <row r="37" spans="1:10" x14ac:dyDescent="0.35">
      <c r="A37" s="6" t="s">
        <v>173</v>
      </c>
      <c r="B37" s="6" t="s">
        <v>174</v>
      </c>
      <c r="C37" s="6" t="s">
        <v>28</v>
      </c>
      <c r="D37" s="16">
        <v>9.1765892452160749E-6</v>
      </c>
      <c r="E37" s="6" t="s">
        <v>175</v>
      </c>
      <c r="F37" s="6" t="s">
        <v>23</v>
      </c>
      <c r="G37" s="6" t="s">
        <v>24</v>
      </c>
      <c r="J37" s="6" t="s">
        <v>147</v>
      </c>
    </row>
    <row r="38" spans="1:10" x14ac:dyDescent="0.35">
      <c r="A38" s="6" t="s">
        <v>164</v>
      </c>
      <c r="B38" s="6" t="s">
        <v>164</v>
      </c>
      <c r="C38" s="6" t="s">
        <v>28</v>
      </c>
      <c r="D38" s="16">
        <v>6.2150536251690683E-3</v>
      </c>
      <c r="E38" s="6" t="s">
        <v>165</v>
      </c>
      <c r="F38" s="6" t="s">
        <v>23</v>
      </c>
      <c r="G38" s="6" t="s">
        <v>24</v>
      </c>
      <c r="J38" s="6" t="s">
        <v>147</v>
      </c>
    </row>
    <row r="39" spans="1:10" x14ac:dyDescent="0.35">
      <c r="A39" s="6" t="s">
        <v>164</v>
      </c>
      <c r="B39" s="6" t="s">
        <v>164</v>
      </c>
      <c r="C39" s="6" t="s">
        <v>28</v>
      </c>
      <c r="D39" s="16">
        <v>2.3702712902700155E-2</v>
      </c>
      <c r="E39" s="6" t="s">
        <v>165</v>
      </c>
      <c r="F39" s="6" t="s">
        <v>23</v>
      </c>
      <c r="G39" s="6" t="s">
        <v>24</v>
      </c>
      <c r="J39" s="6" t="s">
        <v>147</v>
      </c>
    </row>
    <row r="40" spans="1:10" x14ac:dyDescent="0.35">
      <c r="A40" s="6" t="s">
        <v>124</v>
      </c>
      <c r="B40" s="6" t="s">
        <v>125</v>
      </c>
      <c r="C40" s="6" t="s">
        <v>28</v>
      </c>
      <c r="D40" s="16">
        <v>72.937140825906553</v>
      </c>
      <c r="E40" s="6" t="s">
        <v>8</v>
      </c>
      <c r="F40" s="6" t="s">
        <v>23</v>
      </c>
      <c r="G40" s="6" t="s">
        <v>24</v>
      </c>
      <c r="J40" s="6" t="s">
        <v>147</v>
      </c>
    </row>
    <row r="41" spans="1:10" x14ac:dyDescent="0.35">
      <c r="A41" s="6" t="s">
        <v>164</v>
      </c>
      <c r="B41" s="6" t="s">
        <v>164</v>
      </c>
      <c r="C41" s="6" t="s">
        <v>28</v>
      </c>
      <c r="D41" s="16">
        <v>0.47968534690902209</v>
      </c>
      <c r="E41" s="6" t="s">
        <v>165</v>
      </c>
      <c r="F41" s="6" t="s">
        <v>23</v>
      </c>
      <c r="G41" s="6" t="s">
        <v>24</v>
      </c>
      <c r="J41" s="6" t="s">
        <v>147</v>
      </c>
    </row>
    <row r="42" spans="1:10" x14ac:dyDescent="0.35">
      <c r="A42" s="6" t="s">
        <v>164</v>
      </c>
      <c r="B42" s="6" t="s">
        <v>164</v>
      </c>
      <c r="C42" s="6" t="s">
        <v>28</v>
      </c>
      <c r="D42" s="16">
        <v>2.1898678880629268</v>
      </c>
      <c r="E42" s="6" t="s">
        <v>165</v>
      </c>
      <c r="F42" s="6" t="s">
        <v>23</v>
      </c>
      <c r="G42" s="6" t="s">
        <v>24</v>
      </c>
      <c r="J42" s="6" t="s">
        <v>147</v>
      </c>
    </row>
    <row r="43" spans="1:10" x14ac:dyDescent="0.35">
      <c r="A43" s="6" t="s">
        <v>46</v>
      </c>
      <c r="B43" s="6" t="s">
        <v>47</v>
      </c>
      <c r="C43" s="6" t="s">
        <v>28</v>
      </c>
      <c r="D43" s="16">
        <v>29511.076777228973</v>
      </c>
      <c r="E43" s="6" t="s">
        <v>48</v>
      </c>
      <c r="F43" s="6" t="s">
        <v>23</v>
      </c>
      <c r="G43" s="6" t="s">
        <v>24</v>
      </c>
      <c r="J43" s="6" t="s">
        <v>147</v>
      </c>
    </row>
    <row r="44" spans="1:10" x14ac:dyDescent="0.35">
      <c r="A44" s="6" t="s">
        <v>162</v>
      </c>
      <c r="B44" s="6" t="s">
        <v>163</v>
      </c>
      <c r="C44" s="6" t="s">
        <v>79</v>
      </c>
      <c r="D44" s="16">
        <v>3128.3826972327529</v>
      </c>
      <c r="E44" s="6" t="s">
        <v>8</v>
      </c>
      <c r="F44" s="6" t="s">
        <v>23</v>
      </c>
      <c r="G44" s="6" t="s">
        <v>24</v>
      </c>
      <c r="J44" s="6" t="s">
        <v>147</v>
      </c>
    </row>
    <row r="45" spans="1:10" x14ac:dyDescent="0.35">
      <c r="A45" s="6" t="s">
        <v>164</v>
      </c>
      <c r="B45" s="6" t="s">
        <v>164</v>
      </c>
      <c r="C45" s="6" t="s">
        <v>28</v>
      </c>
      <c r="D45" s="16">
        <v>1.6059031179128129</v>
      </c>
      <c r="E45" s="6" t="s">
        <v>165</v>
      </c>
      <c r="F45" s="6" t="s">
        <v>23</v>
      </c>
      <c r="G45" s="6" t="s">
        <v>24</v>
      </c>
      <c r="J45" s="6" t="s">
        <v>147</v>
      </c>
    </row>
    <row r="46" spans="1:10" x14ac:dyDescent="0.35">
      <c r="A46" s="6" t="s">
        <v>32</v>
      </c>
      <c r="B46" s="6" t="s">
        <v>33</v>
      </c>
      <c r="C46" s="6" t="s">
        <v>34</v>
      </c>
      <c r="D46" s="16">
        <v>70.284331264495847</v>
      </c>
      <c r="E46" s="6" t="s">
        <v>8</v>
      </c>
      <c r="F46" s="6" t="s">
        <v>23</v>
      </c>
      <c r="G46" s="6" t="s">
        <v>24</v>
      </c>
      <c r="J46" s="6" t="s">
        <v>147</v>
      </c>
    </row>
    <row r="47" spans="1:10" x14ac:dyDescent="0.35">
      <c r="A47" s="6" t="s">
        <v>176</v>
      </c>
      <c r="B47" s="6" t="s">
        <v>177</v>
      </c>
      <c r="C47" s="6" t="s">
        <v>34</v>
      </c>
      <c r="D47" s="16">
        <v>479.68534690902209</v>
      </c>
      <c r="E47" s="6" t="s">
        <v>8</v>
      </c>
      <c r="F47" s="6" t="s">
        <v>23</v>
      </c>
      <c r="G47" s="6" t="s">
        <v>24</v>
      </c>
      <c r="J47" s="6" t="s">
        <v>147</v>
      </c>
    </row>
    <row r="48" spans="1:10" x14ac:dyDescent="0.35">
      <c r="A48" s="6" t="s">
        <v>162</v>
      </c>
      <c r="B48" s="6" t="s">
        <v>163</v>
      </c>
      <c r="C48" s="6" t="s">
        <v>79</v>
      </c>
      <c r="D48" s="16">
        <v>44110.19603098181</v>
      </c>
      <c r="E48" s="6" t="s">
        <v>8</v>
      </c>
      <c r="F48" s="6" t="s">
        <v>23</v>
      </c>
      <c r="G48" s="6" t="s">
        <v>24</v>
      </c>
      <c r="J48" s="6" t="s">
        <v>147</v>
      </c>
    </row>
    <row r="49" spans="1:10" x14ac:dyDescent="0.35">
      <c r="A49" s="6" t="s">
        <v>178</v>
      </c>
      <c r="B49" s="6" t="s">
        <v>179</v>
      </c>
      <c r="C49" s="6" t="s">
        <v>28</v>
      </c>
      <c r="D49" s="16">
        <v>0.84528900479228986</v>
      </c>
      <c r="E49" s="6" t="s">
        <v>8</v>
      </c>
      <c r="F49" s="6" t="s">
        <v>23</v>
      </c>
      <c r="G49" s="6" t="s">
        <v>24</v>
      </c>
      <c r="J49" s="6" t="s">
        <v>147</v>
      </c>
    </row>
    <row r="50" spans="1:10" x14ac:dyDescent="0.35">
      <c r="A50" s="6" t="s">
        <v>164</v>
      </c>
      <c r="B50" s="6" t="s">
        <v>164</v>
      </c>
      <c r="C50" s="6" t="s">
        <v>28</v>
      </c>
      <c r="D50" s="16">
        <v>1.9395972722843064E-2</v>
      </c>
      <c r="E50" s="6" t="s">
        <v>165</v>
      </c>
      <c r="F50" s="6" t="s">
        <v>23</v>
      </c>
      <c r="G50" s="6" t="s">
        <v>24</v>
      </c>
      <c r="J50" s="6" t="s">
        <v>147</v>
      </c>
    </row>
    <row r="51" spans="1:10" x14ac:dyDescent="0.35">
      <c r="A51" s="6" t="s">
        <v>180</v>
      </c>
      <c r="B51" s="6" t="s">
        <v>181</v>
      </c>
      <c r="C51" s="6" t="s">
        <v>28</v>
      </c>
      <c r="D51" s="16">
        <v>0.81025111858328303</v>
      </c>
      <c r="E51" s="6" t="s">
        <v>8</v>
      </c>
      <c r="F51" s="6" t="s">
        <v>23</v>
      </c>
      <c r="G51" s="6" t="s">
        <v>24</v>
      </c>
      <c r="J51" s="6" t="s">
        <v>147</v>
      </c>
    </row>
    <row r="52" spans="1:10" x14ac:dyDescent="0.35">
      <c r="A52" s="6" t="s">
        <v>182</v>
      </c>
      <c r="B52" s="6" t="s">
        <v>183</v>
      </c>
      <c r="C52" s="6" t="s">
        <v>28</v>
      </c>
      <c r="D52" s="16">
        <v>166.8470771857468</v>
      </c>
      <c r="E52" s="6" t="s">
        <v>8</v>
      </c>
      <c r="F52" s="6" t="s">
        <v>23</v>
      </c>
      <c r="G52" s="6" t="s">
        <v>24</v>
      </c>
      <c r="J52" s="6" t="s">
        <v>147</v>
      </c>
    </row>
    <row r="53" spans="1:10" x14ac:dyDescent="0.35">
      <c r="A53" s="6" t="s">
        <v>184</v>
      </c>
      <c r="B53" s="6" t="s">
        <v>185</v>
      </c>
      <c r="C53" s="6" t="s">
        <v>34</v>
      </c>
      <c r="D53" s="16">
        <v>233.58590806004548</v>
      </c>
      <c r="E53" s="6" t="s">
        <v>8</v>
      </c>
      <c r="F53" s="6" t="s">
        <v>23</v>
      </c>
      <c r="G53" s="6" t="s">
        <v>24</v>
      </c>
      <c r="J53" s="6" t="s">
        <v>147</v>
      </c>
    </row>
    <row r="54" spans="1:10" x14ac:dyDescent="0.35">
      <c r="A54" s="6" t="s">
        <v>46</v>
      </c>
      <c r="B54" s="6" t="s">
        <v>47</v>
      </c>
      <c r="C54" s="6" t="s">
        <v>28</v>
      </c>
      <c r="D54" s="16">
        <v>16997.545988297956</v>
      </c>
      <c r="E54" s="6" t="s">
        <v>48</v>
      </c>
      <c r="F54" s="6" t="s">
        <v>23</v>
      </c>
      <c r="G54" s="6" t="s">
        <v>24</v>
      </c>
      <c r="J54" s="6" t="s">
        <v>147</v>
      </c>
    </row>
    <row r="55" spans="1:10" x14ac:dyDescent="0.35">
      <c r="A55" s="6" t="s">
        <v>178</v>
      </c>
      <c r="B55" s="6" t="s">
        <v>179</v>
      </c>
      <c r="C55" s="6" t="s">
        <v>28</v>
      </c>
      <c r="D55" s="16">
        <v>1.9361143395480541E-2</v>
      </c>
      <c r="E55" s="6" t="s">
        <v>8</v>
      </c>
      <c r="F55" s="6" t="s">
        <v>23</v>
      </c>
      <c r="G55" s="6" t="s">
        <v>24</v>
      </c>
      <c r="J55" s="6" t="s">
        <v>147</v>
      </c>
    </row>
    <row r="56" spans="1:10" x14ac:dyDescent="0.35">
      <c r="A56" s="6" t="s">
        <v>180</v>
      </c>
      <c r="B56" s="6" t="s">
        <v>181</v>
      </c>
      <c r="C56" s="6" t="s">
        <v>28</v>
      </c>
      <c r="D56" s="16">
        <v>1.9870444098590033E-2</v>
      </c>
      <c r="E56" s="6" t="s">
        <v>8</v>
      </c>
      <c r="F56" s="6" t="s">
        <v>23</v>
      </c>
      <c r="G56" s="6" t="s">
        <v>24</v>
      </c>
      <c r="J56" s="6" t="s">
        <v>147</v>
      </c>
    </row>
    <row r="57" spans="1:10" x14ac:dyDescent="0.35">
      <c r="A57" s="6" t="s">
        <v>178</v>
      </c>
      <c r="B57" s="6" t="s">
        <v>179</v>
      </c>
      <c r="C57" s="6" t="s">
        <v>28</v>
      </c>
      <c r="D57" s="16">
        <v>6.2189119638289887E-2</v>
      </c>
      <c r="E57" s="6" t="s">
        <v>8</v>
      </c>
      <c r="F57" s="6" t="s">
        <v>23</v>
      </c>
      <c r="G57" s="6" t="s">
        <v>24</v>
      </c>
      <c r="J57" s="6" t="s">
        <v>147</v>
      </c>
    </row>
    <row r="58" spans="1:10" x14ac:dyDescent="0.35">
      <c r="A58" s="6" t="s">
        <v>178</v>
      </c>
      <c r="B58" s="6" t="s">
        <v>179</v>
      </c>
      <c r="C58" s="6" t="s">
        <v>28</v>
      </c>
      <c r="D58" s="16">
        <v>7.3078982266764738</v>
      </c>
      <c r="E58" s="6" t="s">
        <v>8</v>
      </c>
      <c r="F58" s="6" t="s">
        <v>23</v>
      </c>
      <c r="G58" s="6" t="s">
        <v>24</v>
      </c>
      <c r="J58" s="6" t="s">
        <v>147</v>
      </c>
    </row>
    <row r="59" spans="1:10" x14ac:dyDescent="0.35">
      <c r="A59" s="6" t="s">
        <v>51</v>
      </c>
      <c r="B59" s="6" t="s">
        <v>52</v>
      </c>
      <c r="C59" s="6" t="s">
        <v>28</v>
      </c>
      <c r="D59" s="16">
        <v>3.1283826972327527E-3</v>
      </c>
      <c r="E59" s="6" t="s">
        <v>8</v>
      </c>
      <c r="F59" s="6" t="s">
        <v>23</v>
      </c>
      <c r="G59" s="6" t="s">
        <v>24</v>
      </c>
      <c r="J59" s="6" t="s">
        <v>147</v>
      </c>
    </row>
    <row r="60" spans="1:10" x14ac:dyDescent="0.35">
      <c r="A60" s="6" t="s">
        <v>186</v>
      </c>
      <c r="B60" s="6" t="s">
        <v>187</v>
      </c>
      <c r="C60" s="6" t="s">
        <v>28</v>
      </c>
      <c r="D60" s="16">
        <v>4.1711769296436703E-7</v>
      </c>
      <c r="E60" s="6" t="s">
        <v>7</v>
      </c>
      <c r="F60" s="6" t="s">
        <v>23</v>
      </c>
      <c r="G60" s="6" t="s">
        <v>24</v>
      </c>
      <c r="J60" s="6" t="s">
        <v>147</v>
      </c>
    </row>
    <row r="61" spans="1:10" x14ac:dyDescent="0.35">
      <c r="A61" s="6" t="s">
        <v>130</v>
      </c>
      <c r="B61" s="6" t="s">
        <v>131</v>
      </c>
      <c r="C61" s="6" t="s">
        <v>34</v>
      </c>
      <c r="D61" s="16">
        <v>1.0427942324109172E-8</v>
      </c>
      <c r="E61" s="6" t="s">
        <v>8</v>
      </c>
      <c r="F61" s="6" t="s">
        <v>23</v>
      </c>
      <c r="G61" s="6" t="s">
        <v>24</v>
      </c>
      <c r="J61" s="6" t="s">
        <v>147</v>
      </c>
    </row>
    <row r="62" spans="1:10" x14ac:dyDescent="0.35">
      <c r="A62" s="6" t="s">
        <v>164</v>
      </c>
      <c r="B62" s="6" t="s">
        <v>164</v>
      </c>
      <c r="C62" s="6" t="s">
        <v>28</v>
      </c>
      <c r="D62" s="16">
        <v>1.3764883867824118E-11</v>
      </c>
      <c r="E62" s="6" t="s">
        <v>165</v>
      </c>
      <c r="F62" s="6" t="s">
        <v>23</v>
      </c>
      <c r="G62" s="6" t="s">
        <v>24</v>
      </c>
      <c r="J62" s="6" t="s">
        <v>147</v>
      </c>
    </row>
    <row r="63" spans="1:10" x14ac:dyDescent="0.35">
      <c r="A63" s="6" t="s">
        <v>164</v>
      </c>
      <c r="B63" s="6" t="s">
        <v>164</v>
      </c>
      <c r="C63" s="6" t="s">
        <v>28</v>
      </c>
      <c r="D63" s="16">
        <v>2.4297105615174388E-12</v>
      </c>
      <c r="E63" s="6" t="s">
        <v>165</v>
      </c>
      <c r="F63" s="6" t="s">
        <v>23</v>
      </c>
      <c r="G63" s="6" t="s">
        <v>24</v>
      </c>
      <c r="J63" s="6" t="s">
        <v>147</v>
      </c>
    </row>
    <row r="64" spans="1:10" x14ac:dyDescent="0.35">
      <c r="A64" s="6" t="s">
        <v>46</v>
      </c>
      <c r="B64" s="6" t="s">
        <v>47</v>
      </c>
      <c r="C64" s="6" t="s">
        <v>28</v>
      </c>
      <c r="D64" s="16">
        <v>1.020895553530288E-7</v>
      </c>
      <c r="E64" s="6" t="s">
        <v>48</v>
      </c>
      <c r="F64" s="6" t="s">
        <v>23</v>
      </c>
      <c r="G64" s="6" t="s">
        <v>24</v>
      </c>
      <c r="J64" s="6" t="s">
        <v>147</v>
      </c>
    </row>
    <row r="65" spans="1:14" x14ac:dyDescent="0.35">
      <c r="A65" s="6" t="s">
        <v>100</v>
      </c>
      <c r="D65" s="16">
        <v>333.17200769479393</v>
      </c>
      <c r="E65" s="6" t="s">
        <v>67</v>
      </c>
      <c r="F65" s="6" t="s">
        <v>63</v>
      </c>
      <c r="G65" s="6" t="s">
        <v>64</v>
      </c>
      <c r="H65" s="6" t="s">
        <v>68</v>
      </c>
      <c r="J65" s="6" t="s">
        <v>147</v>
      </c>
    </row>
    <row r="66" spans="1:14" x14ac:dyDescent="0.35">
      <c r="A66" s="6" t="s">
        <v>66</v>
      </c>
      <c r="D66" s="16">
        <v>333.17200769479393</v>
      </c>
      <c r="E66" s="6" t="s">
        <v>67</v>
      </c>
      <c r="F66" s="6" t="s">
        <v>63</v>
      </c>
      <c r="G66" s="6" t="s">
        <v>64</v>
      </c>
      <c r="H66" s="6" t="s">
        <v>68</v>
      </c>
      <c r="J66" s="6" t="s">
        <v>147</v>
      </c>
    </row>
    <row r="67" spans="1:14" s="10" customFormat="1" x14ac:dyDescent="0.35"/>
    <row r="68" spans="1:14" x14ac:dyDescent="0.35">
      <c r="A68" s="7" t="s">
        <v>0</v>
      </c>
      <c r="B68" s="7" t="s">
        <v>188</v>
      </c>
    </row>
    <row r="69" spans="1:14" x14ac:dyDescent="0.35">
      <c r="A69" s="8" t="s">
        <v>2</v>
      </c>
      <c r="B69" s="6" t="s">
        <v>3</v>
      </c>
    </row>
    <row r="70" spans="1:14" x14ac:dyDescent="0.35">
      <c r="A70" s="8" t="s">
        <v>4</v>
      </c>
      <c r="B70" s="6" t="s">
        <v>79</v>
      </c>
    </row>
    <row r="71" spans="1:14" x14ac:dyDescent="0.35">
      <c r="A71" s="8" t="s">
        <v>6</v>
      </c>
      <c r="B71" s="6">
        <v>1</v>
      </c>
    </row>
    <row r="72" spans="1:14" x14ac:dyDescent="0.35">
      <c r="A72" s="8" t="s">
        <v>7</v>
      </c>
      <c r="B72" s="6" t="s">
        <v>8</v>
      </c>
    </row>
    <row r="73" spans="1:14" x14ac:dyDescent="0.35">
      <c r="A73" s="8" t="s">
        <v>9</v>
      </c>
      <c r="B73" s="6" t="s">
        <v>10</v>
      </c>
    </row>
    <row r="74" spans="1:14" x14ac:dyDescent="0.35">
      <c r="A74" s="8" t="s">
        <v>11</v>
      </c>
    </row>
    <row r="75" spans="1:14" x14ac:dyDescent="0.35">
      <c r="A75" s="7" t="s">
        <v>12</v>
      </c>
      <c r="B75" s="7" t="s">
        <v>2</v>
      </c>
      <c r="C75" s="7" t="s">
        <v>4</v>
      </c>
      <c r="D75" s="7" t="s">
        <v>6</v>
      </c>
      <c r="E75" s="7" t="s">
        <v>7</v>
      </c>
      <c r="F75" s="7" t="s">
        <v>13</v>
      </c>
      <c r="G75" s="7" t="s">
        <v>14</v>
      </c>
      <c r="H75" s="7" t="s">
        <v>15</v>
      </c>
      <c r="I75" s="7" t="s">
        <v>16</v>
      </c>
      <c r="J75" s="7" t="s">
        <v>17</v>
      </c>
      <c r="K75" s="7" t="s">
        <v>18</v>
      </c>
      <c r="L75" s="7" t="s">
        <v>19</v>
      </c>
      <c r="M75" s="7" t="s">
        <v>20</v>
      </c>
      <c r="N75" s="7" t="s">
        <v>21</v>
      </c>
    </row>
    <row r="76" spans="1:14" x14ac:dyDescent="0.35">
      <c r="A76" s="6" t="str">
        <f>B68</f>
        <v>Au open-pit mining and Au production in Peru</v>
      </c>
      <c r="B76" s="6" t="str">
        <f>B69</f>
        <v>Refined Au</v>
      </c>
      <c r="C76" s="6" t="str">
        <f>B70</f>
        <v>PE</v>
      </c>
      <c r="D76" s="6">
        <v>1</v>
      </c>
      <c r="E76" s="6" t="s">
        <v>8</v>
      </c>
      <c r="F76" s="9" t="str">
        <f>F9</f>
        <v>Gold</v>
      </c>
      <c r="G76" s="6" t="s">
        <v>22</v>
      </c>
    </row>
    <row r="77" spans="1:14" x14ac:dyDescent="0.35">
      <c r="A77" s="6" t="str">
        <f>A9</f>
        <v>[M+C+P+R] Gold (Au) production (from ore)</v>
      </c>
      <c r="B77" s="6" t="str">
        <f>B9</f>
        <v>Refined Au</v>
      </c>
      <c r="C77" s="6" t="str">
        <f>C9</f>
        <v>PE</v>
      </c>
      <c r="D77" s="6">
        <v>1</v>
      </c>
      <c r="E77" s="6" t="str">
        <f>E9</f>
        <v>kilogram</v>
      </c>
      <c r="F77" s="9" t="str">
        <f>F9</f>
        <v>Gold</v>
      </c>
      <c r="G77" s="6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CF17-9728-49AA-B1BE-1B682F363031}">
  <sheetPr>
    <tabColor theme="8" tint="0.39997558519241921"/>
  </sheetPr>
  <dimension ref="A1:N33"/>
  <sheetViews>
    <sheetView tabSelected="1" workbookViewId="0">
      <selection activeCell="B28" sqref="B28"/>
    </sheetView>
  </sheetViews>
  <sheetFormatPr baseColWidth="10" defaultColWidth="9.1796875" defaultRowHeight="14.5" x14ac:dyDescent="0.35"/>
  <cols>
    <col min="1" max="1" width="60.81640625" style="6" bestFit="1" customWidth="1"/>
    <col min="2" max="2" width="61.7265625" style="6" customWidth="1"/>
    <col min="3" max="3" width="8.1796875" style="6" bestFit="1" customWidth="1"/>
    <col min="4" max="4" width="12.7265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189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5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43.5" x14ac:dyDescent="0.35">
      <c r="A6" s="8" t="s">
        <v>9</v>
      </c>
      <c r="B6" s="15" t="s">
        <v>217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[P+R] Gold (Au) production (from anode slime)</v>
      </c>
      <c r="B9" s="6" t="str">
        <f>B2</f>
        <v>Refined Au</v>
      </c>
      <c r="C9" s="6" t="str">
        <f>B3</f>
        <v>CN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6" t="s">
        <v>60</v>
      </c>
      <c r="B10" s="6" t="s">
        <v>61</v>
      </c>
      <c r="C10" s="6" t="s">
        <v>34</v>
      </c>
      <c r="D10" s="16">
        <v>17.884575063711395</v>
      </c>
      <c r="E10" s="6" t="s">
        <v>8</v>
      </c>
      <c r="F10" s="6" t="s">
        <v>23</v>
      </c>
      <c r="G10" s="6" t="s">
        <v>24</v>
      </c>
      <c r="J10" s="6" t="s">
        <v>190</v>
      </c>
    </row>
    <row r="11" spans="1:14" x14ac:dyDescent="0.35">
      <c r="A11" s="6" t="s">
        <v>191</v>
      </c>
      <c r="B11" s="6" t="s">
        <v>192</v>
      </c>
      <c r="C11" s="6" t="s">
        <v>28</v>
      </c>
      <c r="D11" s="16">
        <v>22.109704356905208</v>
      </c>
      <c r="E11" s="6" t="s">
        <v>8</v>
      </c>
      <c r="F11" s="6" t="s">
        <v>23</v>
      </c>
      <c r="G11" s="6" t="s">
        <v>24</v>
      </c>
      <c r="J11" s="6" t="s">
        <v>190</v>
      </c>
    </row>
    <row r="12" spans="1:14" x14ac:dyDescent="0.35">
      <c r="A12" s="6" t="s">
        <v>144</v>
      </c>
      <c r="B12" s="6" t="s">
        <v>145</v>
      </c>
      <c r="C12" s="6" t="s">
        <v>28</v>
      </c>
      <c r="D12" s="16">
        <v>25.27403729977792</v>
      </c>
      <c r="E12" s="6" t="s">
        <v>8</v>
      </c>
      <c r="F12" s="6" t="s">
        <v>23</v>
      </c>
      <c r="G12" s="6" t="s">
        <v>24</v>
      </c>
      <c r="J12" s="6" t="s">
        <v>190</v>
      </c>
    </row>
    <row r="13" spans="1:14" x14ac:dyDescent="0.35">
      <c r="A13" s="6" t="s">
        <v>128</v>
      </c>
      <c r="B13" s="6" t="s">
        <v>129</v>
      </c>
      <c r="C13" s="6" t="s">
        <v>34</v>
      </c>
      <c r="D13" s="16">
        <v>323.49774657770757</v>
      </c>
      <c r="E13" s="6" t="s">
        <v>8</v>
      </c>
      <c r="F13" s="6" t="s">
        <v>23</v>
      </c>
      <c r="G13" s="6" t="s">
        <v>24</v>
      </c>
      <c r="J13" s="6" t="s">
        <v>190</v>
      </c>
    </row>
    <row r="14" spans="1:14" x14ac:dyDescent="0.35">
      <c r="A14" s="6" t="s">
        <v>49</v>
      </c>
      <c r="B14" s="6" t="s">
        <v>50</v>
      </c>
      <c r="C14" s="6" t="s">
        <v>34</v>
      </c>
      <c r="D14" s="16">
        <v>14.589335337182037</v>
      </c>
      <c r="E14" s="6" t="s">
        <v>8</v>
      </c>
      <c r="F14" s="6" t="s">
        <v>23</v>
      </c>
      <c r="G14" s="6" t="s">
        <v>24</v>
      </c>
      <c r="J14" s="6" t="s">
        <v>190</v>
      </c>
    </row>
    <row r="15" spans="1:14" x14ac:dyDescent="0.35">
      <c r="A15" s="6" t="s">
        <v>193</v>
      </c>
      <c r="B15" s="6" t="s">
        <v>194</v>
      </c>
      <c r="C15" s="6" t="s">
        <v>34</v>
      </c>
      <c r="D15" s="16">
        <v>3.8414369962691568</v>
      </c>
      <c r="E15" s="6" t="s">
        <v>8</v>
      </c>
      <c r="F15" s="6" t="s">
        <v>23</v>
      </c>
      <c r="G15" s="6" t="s">
        <v>24</v>
      </c>
      <c r="J15" s="6" t="s">
        <v>190</v>
      </c>
    </row>
    <row r="16" spans="1:14" x14ac:dyDescent="0.35">
      <c r="A16" s="6" t="s">
        <v>195</v>
      </c>
      <c r="B16" s="6" t="s">
        <v>196</v>
      </c>
      <c r="C16" s="6" t="s">
        <v>34</v>
      </c>
      <c r="D16" s="16">
        <v>0.76738459384930247</v>
      </c>
      <c r="E16" s="6" t="s">
        <v>8</v>
      </c>
      <c r="F16" s="6" t="s">
        <v>23</v>
      </c>
      <c r="G16" s="6" t="s">
        <v>24</v>
      </c>
      <c r="J16" s="6" t="s">
        <v>190</v>
      </c>
    </row>
    <row r="17" spans="1:14" x14ac:dyDescent="0.35">
      <c r="A17" s="6" t="s">
        <v>197</v>
      </c>
      <c r="B17" s="6" t="s">
        <v>198</v>
      </c>
      <c r="C17" s="6" t="s">
        <v>28</v>
      </c>
      <c r="D17" s="16">
        <v>2.7084162135857744E-2</v>
      </c>
      <c r="E17" s="6" t="s">
        <v>8</v>
      </c>
      <c r="F17" s="6" t="s">
        <v>23</v>
      </c>
      <c r="G17" s="6" t="s">
        <v>24</v>
      </c>
      <c r="J17" s="6" t="s">
        <v>190</v>
      </c>
    </row>
    <row r="18" spans="1:14" x14ac:dyDescent="0.35">
      <c r="A18" s="6" t="s">
        <v>39</v>
      </c>
      <c r="B18" s="6" t="s">
        <v>40</v>
      </c>
      <c r="C18" s="6" t="s">
        <v>5</v>
      </c>
      <c r="D18" s="16">
        <v>1420.0226207830219</v>
      </c>
      <c r="E18" s="6" t="s">
        <v>41</v>
      </c>
      <c r="F18" s="6" t="s">
        <v>23</v>
      </c>
      <c r="G18" s="6" t="s">
        <v>24</v>
      </c>
      <c r="J18" s="6" t="s">
        <v>190</v>
      </c>
    </row>
    <row r="19" spans="1:14" x14ac:dyDescent="0.35">
      <c r="A19" s="6" t="s">
        <v>199</v>
      </c>
      <c r="B19" s="6" t="s">
        <v>200</v>
      </c>
      <c r="C19" s="6" t="s">
        <v>28</v>
      </c>
      <c r="D19" s="16">
        <v>-216.83128803265453</v>
      </c>
      <c r="E19" s="6" t="s">
        <v>8</v>
      </c>
      <c r="F19" s="6" t="s">
        <v>23</v>
      </c>
      <c r="G19" s="6" t="s">
        <v>24</v>
      </c>
      <c r="J19" s="6" t="s">
        <v>190</v>
      </c>
    </row>
    <row r="20" spans="1:14" x14ac:dyDescent="0.35">
      <c r="A20" s="6" t="s">
        <v>70</v>
      </c>
      <c r="D20" s="16">
        <v>0.5172217302814528</v>
      </c>
      <c r="E20" s="6" t="s">
        <v>59</v>
      </c>
      <c r="F20" s="6" t="s">
        <v>63</v>
      </c>
      <c r="G20" s="6" t="s">
        <v>64</v>
      </c>
      <c r="H20" s="6" t="s">
        <v>65</v>
      </c>
      <c r="J20" s="6" t="s">
        <v>190</v>
      </c>
    </row>
    <row r="21" spans="1:14" x14ac:dyDescent="0.35">
      <c r="A21" s="6" t="s">
        <v>76</v>
      </c>
      <c r="D21" s="16">
        <v>505.56199848196604</v>
      </c>
      <c r="E21" s="6" t="s">
        <v>8</v>
      </c>
      <c r="F21" s="6" t="s">
        <v>63</v>
      </c>
      <c r="G21" s="6" t="s">
        <v>64</v>
      </c>
      <c r="H21" s="6" t="s">
        <v>72</v>
      </c>
      <c r="J21" s="6" t="s">
        <v>190</v>
      </c>
    </row>
    <row r="22" spans="1:14" s="10" customFormat="1" x14ac:dyDescent="0.35"/>
    <row r="23" spans="1:14" x14ac:dyDescent="0.35">
      <c r="A23" s="7" t="s">
        <v>0</v>
      </c>
      <c r="B23" s="7" t="s">
        <v>201</v>
      </c>
    </row>
    <row r="24" spans="1:14" x14ac:dyDescent="0.35">
      <c r="A24" s="8" t="s">
        <v>2</v>
      </c>
      <c r="B24" s="6" t="s">
        <v>3</v>
      </c>
    </row>
    <row r="25" spans="1:14" x14ac:dyDescent="0.35">
      <c r="A25" s="8" t="s">
        <v>4</v>
      </c>
      <c r="B25" s="6" t="s">
        <v>5</v>
      </c>
    </row>
    <row r="26" spans="1:14" x14ac:dyDescent="0.35">
      <c r="A26" s="8" t="s">
        <v>6</v>
      </c>
      <c r="B26" s="6">
        <v>1</v>
      </c>
    </row>
    <row r="27" spans="1:14" x14ac:dyDescent="0.35">
      <c r="A27" s="8" t="s">
        <v>7</v>
      </c>
      <c r="B27" s="6" t="s">
        <v>8</v>
      </c>
    </row>
    <row r="28" spans="1:14" ht="58" x14ac:dyDescent="0.35">
      <c r="A28" s="8" t="s">
        <v>9</v>
      </c>
      <c r="B28" s="15" t="s">
        <v>293</v>
      </c>
    </row>
    <row r="29" spans="1:14" x14ac:dyDescent="0.35">
      <c r="A29" s="8" t="s">
        <v>11</v>
      </c>
    </row>
    <row r="30" spans="1:14" x14ac:dyDescent="0.35">
      <c r="A30" s="7" t="s">
        <v>12</v>
      </c>
      <c r="B30" s="7" t="s">
        <v>2</v>
      </c>
      <c r="C30" s="7" t="s">
        <v>4</v>
      </c>
      <c r="D30" s="7" t="s">
        <v>6</v>
      </c>
      <c r="E30" s="7" t="s">
        <v>7</v>
      </c>
      <c r="F30" s="7" t="s">
        <v>13</v>
      </c>
      <c r="G30" s="7" t="s">
        <v>14</v>
      </c>
      <c r="H30" s="7" t="s">
        <v>15</v>
      </c>
      <c r="I30" s="7" t="s">
        <v>16</v>
      </c>
      <c r="J30" s="7" t="s">
        <v>17</v>
      </c>
      <c r="K30" s="7" t="s">
        <v>18</v>
      </c>
      <c r="L30" s="7" t="s">
        <v>19</v>
      </c>
      <c r="M30" s="7" t="s">
        <v>20</v>
      </c>
      <c r="N30" s="7" t="s">
        <v>21</v>
      </c>
    </row>
    <row r="31" spans="1:14" x14ac:dyDescent="0.35">
      <c r="A31" s="6" t="str">
        <f>B23</f>
        <v>Au production in China through Cu anode slime processing</v>
      </c>
      <c r="B31" s="6" t="str">
        <f>B24</f>
        <v>Refined Au</v>
      </c>
      <c r="C31" s="6" t="str">
        <f>B25</f>
        <v>CN</v>
      </c>
      <c r="D31" s="6">
        <v>1</v>
      </c>
      <c r="E31" s="6" t="s">
        <v>8</v>
      </c>
      <c r="F31" s="9" t="str">
        <f>F9</f>
        <v>Gold</v>
      </c>
      <c r="G31" s="6" t="s">
        <v>22</v>
      </c>
    </row>
    <row r="32" spans="1:14" x14ac:dyDescent="0.35">
      <c r="A32" s="6" t="str">
        <f>A9</f>
        <v>[P+R] Gold (Au) production (from anode slime)</v>
      </c>
      <c r="B32" s="6" t="str">
        <f>B9</f>
        <v>Refined Au</v>
      </c>
      <c r="C32" s="6" t="str">
        <f>C9</f>
        <v>CN</v>
      </c>
      <c r="D32" s="6">
        <v>1</v>
      </c>
      <c r="E32" s="6" t="str">
        <f>E9</f>
        <v>kilogram</v>
      </c>
      <c r="F32" s="9" t="str">
        <f>F9</f>
        <v>Gold</v>
      </c>
      <c r="G32" s="6" t="s">
        <v>24</v>
      </c>
    </row>
    <row r="33" spans="1:7" x14ac:dyDescent="0.35">
      <c r="A33" s="41" t="s">
        <v>294</v>
      </c>
      <c r="B33" s="41" t="s">
        <v>295</v>
      </c>
      <c r="C33" s="41" t="s">
        <v>28</v>
      </c>
      <c r="D33" s="16">
        <v>451.40270226429578</v>
      </c>
      <c r="E33" s="41" t="s">
        <v>8</v>
      </c>
      <c r="F33" s="41" t="s">
        <v>23</v>
      </c>
      <c r="G33" s="41" t="s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3FCC-C134-459B-8814-DA6F08BD3817}">
  <sheetPr>
    <tabColor theme="8" tint="0.39997558519241921"/>
  </sheetPr>
  <dimension ref="A1:N32"/>
  <sheetViews>
    <sheetView topLeftCell="A14" workbookViewId="0">
      <selection activeCell="D16" sqref="D16"/>
    </sheetView>
  </sheetViews>
  <sheetFormatPr baseColWidth="10" defaultColWidth="9.1796875" defaultRowHeight="14.5" x14ac:dyDescent="0.35"/>
  <cols>
    <col min="1" max="1" width="60.81640625" style="6" bestFit="1" customWidth="1"/>
    <col min="2" max="2" width="55.54296875" style="6" customWidth="1"/>
    <col min="3" max="3" width="8.179687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10.179687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202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43.5" x14ac:dyDescent="0.35">
      <c r="A6" s="8" t="s">
        <v>9</v>
      </c>
      <c r="B6" s="14" t="s">
        <v>221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(from ore)</v>
      </c>
      <c r="B9" s="6" t="str">
        <f>B2</f>
        <v>Refined Au</v>
      </c>
      <c r="C9" s="6" t="str">
        <f>B3</f>
        <v>AU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11" t="s">
        <v>60</v>
      </c>
      <c r="B10" s="11" t="s">
        <v>61</v>
      </c>
      <c r="C10" s="11" t="s">
        <v>34</v>
      </c>
      <c r="D10" s="16">
        <v>-30.288786112835147</v>
      </c>
      <c r="E10" s="11" t="s">
        <v>8</v>
      </c>
      <c r="F10" s="11" t="s">
        <v>23</v>
      </c>
      <c r="G10" s="11" t="s">
        <v>24</v>
      </c>
      <c r="J10" s="6" t="s">
        <v>203</v>
      </c>
    </row>
    <row r="11" spans="1:14" x14ac:dyDescent="0.35">
      <c r="A11" s="6" t="s">
        <v>204</v>
      </c>
      <c r="B11" s="6" t="s">
        <v>205</v>
      </c>
      <c r="C11" s="6" t="s">
        <v>28</v>
      </c>
      <c r="D11" s="16">
        <v>86.539388893814802</v>
      </c>
      <c r="E11" s="6" t="s">
        <v>8</v>
      </c>
      <c r="F11" s="6" t="s">
        <v>23</v>
      </c>
      <c r="G11" s="6" t="s">
        <v>24</v>
      </c>
      <c r="J11" s="6" t="s">
        <v>203</v>
      </c>
    </row>
    <row r="12" spans="1:14" x14ac:dyDescent="0.35">
      <c r="A12" s="6" t="s">
        <v>32</v>
      </c>
      <c r="B12" s="6" t="s">
        <v>33</v>
      </c>
      <c r="C12" s="6" t="s">
        <v>34</v>
      </c>
      <c r="D12" s="16">
        <v>18.972096795951707</v>
      </c>
      <c r="E12" s="6" t="s">
        <v>8</v>
      </c>
      <c r="F12" s="6" t="s">
        <v>23</v>
      </c>
      <c r="G12" s="6" t="s">
        <v>24</v>
      </c>
      <c r="J12" s="6" t="s">
        <v>203</v>
      </c>
    </row>
    <row r="13" spans="1:14" x14ac:dyDescent="0.35">
      <c r="A13" s="6" t="s">
        <v>130</v>
      </c>
      <c r="B13" s="6" t="s">
        <v>131</v>
      </c>
      <c r="C13" s="6" t="s">
        <v>34</v>
      </c>
      <c r="D13" s="16">
        <v>63.240322653172363</v>
      </c>
      <c r="E13" s="6" t="s">
        <v>8</v>
      </c>
      <c r="F13" s="6" t="s">
        <v>23</v>
      </c>
      <c r="G13" s="6" t="s">
        <v>24</v>
      </c>
      <c r="J13" s="6" t="s">
        <v>203</v>
      </c>
    </row>
    <row r="14" spans="1:14" x14ac:dyDescent="0.35">
      <c r="A14" s="6" t="s">
        <v>128</v>
      </c>
      <c r="B14" s="6" t="s">
        <v>129</v>
      </c>
      <c r="C14" s="6" t="s">
        <v>34</v>
      </c>
      <c r="D14" s="16">
        <v>1164.9533120321225</v>
      </c>
      <c r="E14" s="6" t="s">
        <v>8</v>
      </c>
      <c r="F14" s="6" t="s">
        <v>23</v>
      </c>
      <c r="G14" s="6" t="s">
        <v>24</v>
      </c>
      <c r="J14" s="6" t="s">
        <v>203</v>
      </c>
    </row>
    <row r="15" spans="1:14" x14ac:dyDescent="0.35">
      <c r="A15" s="6" t="s">
        <v>60</v>
      </c>
      <c r="B15" s="6" t="s">
        <v>61</v>
      </c>
      <c r="C15" s="6" t="s">
        <v>34</v>
      </c>
      <c r="D15" s="16">
        <v>0.66568760687549844</v>
      </c>
      <c r="E15" s="6" t="s">
        <v>8</v>
      </c>
      <c r="F15" s="6" t="s">
        <v>23</v>
      </c>
      <c r="G15" s="6" t="s">
        <v>24</v>
      </c>
      <c r="J15" s="6" t="s">
        <v>203</v>
      </c>
    </row>
    <row r="16" spans="1:14" x14ac:dyDescent="0.35">
      <c r="A16" s="6" t="s">
        <v>206</v>
      </c>
      <c r="B16" s="6" t="s">
        <v>207</v>
      </c>
      <c r="C16" s="6" t="s">
        <v>28</v>
      </c>
      <c r="D16" s="16">
        <v>16.975033975325211</v>
      </c>
      <c r="E16" s="6" t="s">
        <v>8</v>
      </c>
      <c r="F16" s="6" t="s">
        <v>23</v>
      </c>
      <c r="G16" s="6" t="s">
        <v>24</v>
      </c>
      <c r="J16" s="6" t="s">
        <v>203</v>
      </c>
    </row>
    <row r="17" spans="1:14" x14ac:dyDescent="0.35">
      <c r="A17" s="6" t="s">
        <v>49</v>
      </c>
      <c r="B17" s="6" t="s">
        <v>50</v>
      </c>
      <c r="C17" s="6" t="s">
        <v>34</v>
      </c>
      <c r="D17" s="16">
        <v>136.46595940947722</v>
      </c>
      <c r="E17" s="6" t="s">
        <v>8</v>
      </c>
      <c r="F17" s="6" t="s">
        <v>23</v>
      </c>
      <c r="G17" s="6" t="s">
        <v>24</v>
      </c>
      <c r="J17" s="6" t="s">
        <v>203</v>
      </c>
    </row>
    <row r="18" spans="1:14" x14ac:dyDescent="0.35">
      <c r="A18" s="6" t="s">
        <v>208</v>
      </c>
      <c r="B18" s="6" t="s">
        <v>209</v>
      </c>
      <c r="C18" s="6" t="s">
        <v>34</v>
      </c>
      <c r="D18" s="16">
        <v>259.61816668144439</v>
      </c>
      <c r="E18" s="6" t="s">
        <v>8</v>
      </c>
      <c r="F18" s="6" t="s">
        <v>23</v>
      </c>
      <c r="G18" s="6" t="s">
        <v>24</v>
      </c>
      <c r="J18" s="6" t="s">
        <v>203</v>
      </c>
    </row>
    <row r="19" spans="1:14" x14ac:dyDescent="0.35">
      <c r="A19" s="6" t="s">
        <v>89</v>
      </c>
      <c r="B19" s="6" t="s">
        <v>90</v>
      </c>
      <c r="C19" s="6" t="s">
        <v>28</v>
      </c>
      <c r="D19" s="16">
        <v>1.2980908334072221E-8</v>
      </c>
      <c r="E19" s="6" t="s">
        <v>8</v>
      </c>
      <c r="F19" s="6" t="s">
        <v>23</v>
      </c>
      <c r="G19" s="6" t="s">
        <v>24</v>
      </c>
      <c r="J19" s="6" t="s">
        <v>203</v>
      </c>
    </row>
    <row r="20" spans="1:14" x14ac:dyDescent="0.35">
      <c r="A20" s="6" t="s">
        <v>210</v>
      </c>
      <c r="B20" s="6" t="s">
        <v>211</v>
      </c>
      <c r="C20" s="6" t="s">
        <v>28</v>
      </c>
      <c r="D20" s="16">
        <v>2.8957410899084182</v>
      </c>
      <c r="E20" s="6" t="s">
        <v>8</v>
      </c>
      <c r="F20" s="6" t="s">
        <v>23</v>
      </c>
      <c r="G20" s="6" t="s">
        <v>24</v>
      </c>
      <c r="J20" s="6" t="s">
        <v>203</v>
      </c>
    </row>
    <row r="21" spans="1:14" x14ac:dyDescent="0.35">
      <c r="A21" s="6" t="s">
        <v>121</v>
      </c>
      <c r="B21" s="6" t="s">
        <v>40</v>
      </c>
      <c r="C21" s="6" t="s">
        <v>202</v>
      </c>
      <c r="D21" s="16">
        <v>4326.9694446907397</v>
      </c>
      <c r="E21" s="6" t="s">
        <v>41</v>
      </c>
      <c r="F21" s="6" t="s">
        <v>23</v>
      </c>
      <c r="G21" s="6" t="s">
        <v>24</v>
      </c>
      <c r="J21" s="6" t="s">
        <v>203</v>
      </c>
    </row>
    <row r="22" spans="1:14" s="10" customFormat="1" x14ac:dyDescent="0.35"/>
    <row r="23" spans="1:14" x14ac:dyDescent="0.35">
      <c r="A23" s="7" t="s">
        <v>0</v>
      </c>
      <c r="B23" s="7" t="s">
        <v>212</v>
      </c>
    </row>
    <row r="24" spans="1:14" x14ac:dyDescent="0.35">
      <c r="A24" s="8" t="s">
        <v>2</v>
      </c>
      <c r="B24" s="6" t="s">
        <v>3</v>
      </c>
    </row>
    <row r="25" spans="1:14" x14ac:dyDescent="0.35">
      <c r="A25" s="8" t="s">
        <v>4</v>
      </c>
      <c r="B25" s="6" t="s">
        <v>202</v>
      </c>
    </row>
    <row r="26" spans="1:14" x14ac:dyDescent="0.35">
      <c r="A26" s="8" t="s">
        <v>6</v>
      </c>
      <c r="B26" s="6">
        <v>1</v>
      </c>
    </row>
    <row r="27" spans="1:14" x14ac:dyDescent="0.35">
      <c r="A27" s="8" t="s">
        <v>7</v>
      </c>
      <c r="B27" s="6" t="s">
        <v>8</v>
      </c>
    </row>
    <row r="28" spans="1:14" x14ac:dyDescent="0.35">
      <c r="A28" s="8" t="s">
        <v>9</v>
      </c>
      <c r="B28" s="6" t="s">
        <v>10</v>
      </c>
    </row>
    <row r="29" spans="1:14" x14ac:dyDescent="0.35">
      <c r="A29" s="8" t="s">
        <v>11</v>
      </c>
    </row>
    <row r="30" spans="1:14" x14ac:dyDescent="0.35">
      <c r="A30" s="7" t="s">
        <v>12</v>
      </c>
      <c r="B30" s="7" t="s">
        <v>2</v>
      </c>
      <c r="C30" s="7" t="s">
        <v>4</v>
      </c>
      <c r="D30" s="7" t="s">
        <v>6</v>
      </c>
      <c r="E30" s="7" t="s">
        <v>7</v>
      </c>
      <c r="F30" s="7" t="s">
        <v>13</v>
      </c>
      <c r="G30" s="7" t="s">
        <v>14</v>
      </c>
      <c r="H30" s="7" t="s">
        <v>15</v>
      </c>
      <c r="I30" s="7" t="s">
        <v>16</v>
      </c>
      <c r="J30" s="7" t="s">
        <v>17</v>
      </c>
      <c r="K30" s="7" t="s">
        <v>18</v>
      </c>
      <c r="L30" s="7" t="s">
        <v>19</v>
      </c>
      <c r="M30" s="7" t="s">
        <v>20</v>
      </c>
      <c r="N30" s="7" t="s">
        <v>21</v>
      </c>
    </row>
    <row r="31" spans="1:14" x14ac:dyDescent="0.35">
      <c r="A31" s="6" t="str">
        <f>B23</f>
        <v>Au ore mining and Au production in Australia</v>
      </c>
      <c r="B31" s="6" t="str">
        <f>B24</f>
        <v>Refined Au</v>
      </c>
      <c r="C31" s="6" t="str">
        <f>B25</f>
        <v>AU</v>
      </c>
      <c r="D31" s="6">
        <v>1</v>
      </c>
      <c r="E31" s="6" t="s">
        <v>8</v>
      </c>
      <c r="F31" s="9" t="str">
        <f>F9</f>
        <v>Gold</v>
      </c>
      <c r="G31" s="6" t="s">
        <v>22</v>
      </c>
    </row>
    <row r="32" spans="1:14" x14ac:dyDescent="0.35">
      <c r="A32" s="6" t="str">
        <f>A9</f>
        <v>[M+C+P+R] Gold (Au) production (from ore)</v>
      </c>
      <c r="B32" s="6" t="str">
        <f>B9</f>
        <v>Refined Au</v>
      </c>
      <c r="C32" s="6" t="str">
        <f>C9</f>
        <v>AU</v>
      </c>
      <c r="D32" s="6">
        <v>1</v>
      </c>
      <c r="E32" s="6" t="str">
        <f>E9</f>
        <v>kilogram</v>
      </c>
      <c r="F32" s="9" t="str">
        <f>F9</f>
        <v>Gold</v>
      </c>
      <c r="G32" s="6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B753-B4AC-4C54-9538-903207B7F82A}">
  <sheetPr>
    <tabColor theme="8" tint="0.39997558519241921"/>
  </sheetPr>
  <dimension ref="A1:N33"/>
  <sheetViews>
    <sheetView topLeftCell="A14" workbookViewId="0">
      <selection activeCell="D17" sqref="D17"/>
    </sheetView>
  </sheetViews>
  <sheetFormatPr baseColWidth="10" defaultColWidth="9.1796875" defaultRowHeight="14.5" x14ac:dyDescent="0.35"/>
  <cols>
    <col min="1" max="1" width="60.81640625" style="6" bestFit="1" customWidth="1"/>
    <col min="2" max="2" width="58" style="6" customWidth="1"/>
    <col min="3" max="3" width="8.179687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10.179687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213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43.5" x14ac:dyDescent="0.35">
      <c r="A6" s="8" t="s">
        <v>9</v>
      </c>
      <c r="B6" s="14" t="s">
        <v>221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[M+C+P+R] Gold (Au) production (from ore)</v>
      </c>
      <c r="B9" s="6" t="str">
        <f>B2</f>
        <v>Refined Au</v>
      </c>
      <c r="C9" s="6" t="str">
        <f>B3</f>
        <v>ZA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x14ac:dyDescent="0.35">
      <c r="A10" s="11" t="s">
        <v>60</v>
      </c>
      <c r="B10" s="11" t="s">
        <v>61</v>
      </c>
      <c r="C10" s="11" t="s">
        <v>34</v>
      </c>
      <c r="D10" s="16">
        <v>-377.22297722944933</v>
      </c>
      <c r="E10" s="11" t="s">
        <v>8</v>
      </c>
      <c r="F10" s="11" t="s">
        <v>23</v>
      </c>
      <c r="G10" s="11" t="s">
        <v>24</v>
      </c>
      <c r="J10" s="6" t="s">
        <v>203</v>
      </c>
    </row>
    <row r="11" spans="1:14" x14ac:dyDescent="0.35">
      <c r="A11" s="6" t="s">
        <v>204</v>
      </c>
      <c r="B11" s="6" t="s">
        <v>205</v>
      </c>
      <c r="C11" s="6" t="s">
        <v>28</v>
      </c>
      <c r="D11" s="16">
        <v>215.23899288974442</v>
      </c>
      <c r="E11" s="6" t="s">
        <v>8</v>
      </c>
      <c r="F11" s="6" t="s">
        <v>23</v>
      </c>
      <c r="G11" s="6" t="s">
        <v>24</v>
      </c>
      <c r="J11" s="6" t="s">
        <v>203</v>
      </c>
    </row>
    <row r="12" spans="1:14" x14ac:dyDescent="0.35">
      <c r="A12" s="6" t="s">
        <v>210</v>
      </c>
      <c r="B12" s="6" t="s">
        <v>211</v>
      </c>
      <c r="C12" s="6" t="s">
        <v>28</v>
      </c>
      <c r="D12" s="16">
        <v>6.6568760687549852E-3</v>
      </c>
      <c r="E12" s="6" t="s">
        <v>8</v>
      </c>
      <c r="F12" s="6" t="s">
        <v>23</v>
      </c>
      <c r="G12" s="6" t="s">
        <v>24</v>
      </c>
      <c r="J12" s="6" t="s">
        <v>203</v>
      </c>
    </row>
    <row r="13" spans="1:14" x14ac:dyDescent="0.35">
      <c r="A13" s="6" t="s">
        <v>32</v>
      </c>
      <c r="B13" s="6" t="s">
        <v>33</v>
      </c>
      <c r="C13" s="6" t="s">
        <v>34</v>
      </c>
      <c r="D13" s="16">
        <v>46.598132481284878</v>
      </c>
      <c r="E13" s="6" t="s">
        <v>8</v>
      </c>
      <c r="F13" s="6" t="s">
        <v>23</v>
      </c>
      <c r="G13" s="6" t="s">
        <v>24</v>
      </c>
      <c r="J13" s="6" t="s">
        <v>203</v>
      </c>
    </row>
    <row r="14" spans="1:14" x14ac:dyDescent="0.35">
      <c r="A14" s="6" t="s">
        <v>130</v>
      </c>
      <c r="B14" s="6" t="s">
        <v>131</v>
      </c>
      <c r="C14" s="6" t="s">
        <v>34</v>
      </c>
      <c r="D14" s="16">
        <v>157.54606696053466</v>
      </c>
      <c r="E14" s="6" t="s">
        <v>8</v>
      </c>
      <c r="F14" s="6" t="s">
        <v>23</v>
      </c>
      <c r="G14" s="6" t="s">
        <v>24</v>
      </c>
      <c r="J14" s="6" t="s">
        <v>203</v>
      </c>
    </row>
    <row r="15" spans="1:14" x14ac:dyDescent="0.35">
      <c r="A15" s="6" t="s">
        <v>128</v>
      </c>
      <c r="B15" s="6" t="s">
        <v>129</v>
      </c>
      <c r="C15" s="6" t="s">
        <v>34</v>
      </c>
      <c r="D15" s="16">
        <v>26.627504275019941</v>
      </c>
      <c r="E15" s="6" t="s">
        <v>8</v>
      </c>
      <c r="F15" s="6" t="s">
        <v>23</v>
      </c>
      <c r="G15" s="6" t="s">
        <v>24</v>
      </c>
      <c r="J15" s="6" t="s">
        <v>203</v>
      </c>
    </row>
    <row r="16" spans="1:14" x14ac:dyDescent="0.35">
      <c r="A16" s="6" t="s">
        <v>60</v>
      </c>
      <c r="B16" s="6" t="s">
        <v>61</v>
      </c>
      <c r="C16" s="6" t="s">
        <v>34</v>
      </c>
      <c r="D16" s="16">
        <v>0.66568760687549844</v>
      </c>
      <c r="E16" s="6" t="s">
        <v>8</v>
      </c>
      <c r="F16" s="6" t="s">
        <v>23</v>
      </c>
      <c r="G16" s="6" t="s">
        <v>24</v>
      </c>
      <c r="J16" s="6" t="s">
        <v>203</v>
      </c>
    </row>
    <row r="17" spans="1:14" x14ac:dyDescent="0.35">
      <c r="A17" s="6" t="s">
        <v>206</v>
      </c>
      <c r="B17" s="6" t="s">
        <v>207</v>
      </c>
      <c r="C17" s="6" t="s">
        <v>28</v>
      </c>
      <c r="D17" s="16">
        <v>42.160215102114897</v>
      </c>
      <c r="E17" s="6" t="s">
        <v>8</v>
      </c>
      <c r="F17" s="6" t="s">
        <v>23</v>
      </c>
      <c r="G17" s="6" t="s">
        <v>24</v>
      </c>
      <c r="J17" s="6" t="s">
        <v>203</v>
      </c>
    </row>
    <row r="18" spans="1:14" x14ac:dyDescent="0.35">
      <c r="A18" s="6" t="s">
        <v>49</v>
      </c>
      <c r="B18" s="6" t="s">
        <v>50</v>
      </c>
      <c r="C18" s="6" t="s">
        <v>34</v>
      </c>
      <c r="D18" s="16">
        <v>33.284380343774934</v>
      </c>
      <c r="E18" s="6" t="s">
        <v>8</v>
      </c>
      <c r="F18" s="6" t="s">
        <v>23</v>
      </c>
      <c r="G18" s="6" t="s">
        <v>24</v>
      </c>
      <c r="J18" s="6" t="s">
        <v>203</v>
      </c>
    </row>
    <row r="19" spans="1:14" x14ac:dyDescent="0.35">
      <c r="A19" s="6" t="s">
        <v>208</v>
      </c>
      <c r="B19" s="6" t="s">
        <v>209</v>
      </c>
      <c r="C19" s="6" t="s">
        <v>34</v>
      </c>
      <c r="D19" s="16">
        <v>643.49801997964846</v>
      </c>
      <c r="E19" s="6" t="s">
        <v>8</v>
      </c>
      <c r="F19" s="6" t="s">
        <v>23</v>
      </c>
      <c r="G19" s="6" t="s">
        <v>24</v>
      </c>
      <c r="J19" s="6" t="s">
        <v>203</v>
      </c>
    </row>
    <row r="20" spans="1:14" x14ac:dyDescent="0.35">
      <c r="A20" s="6" t="s">
        <v>89</v>
      </c>
      <c r="B20" s="6" t="s">
        <v>90</v>
      </c>
      <c r="C20" s="6" t="s">
        <v>28</v>
      </c>
      <c r="D20" s="16">
        <v>1.0651001710007978E-8</v>
      </c>
      <c r="E20" s="6" t="s">
        <v>8</v>
      </c>
      <c r="F20" s="6" t="s">
        <v>23</v>
      </c>
      <c r="G20" s="6" t="s">
        <v>24</v>
      </c>
      <c r="J20" s="6" t="s">
        <v>203</v>
      </c>
    </row>
    <row r="21" spans="1:14" x14ac:dyDescent="0.35">
      <c r="A21" s="6" t="s">
        <v>210</v>
      </c>
      <c r="B21" s="6" t="s">
        <v>211</v>
      </c>
      <c r="C21" s="6" t="s">
        <v>28</v>
      </c>
      <c r="D21" s="16">
        <v>7.1006678066719831</v>
      </c>
      <c r="E21" s="6" t="s">
        <v>8</v>
      </c>
      <c r="F21" s="6" t="s">
        <v>23</v>
      </c>
      <c r="G21" s="6" t="s">
        <v>24</v>
      </c>
      <c r="J21" s="6" t="s">
        <v>203</v>
      </c>
    </row>
    <row r="22" spans="1:14" x14ac:dyDescent="0.35">
      <c r="A22" s="6" t="s">
        <v>121</v>
      </c>
      <c r="B22" s="6" t="s">
        <v>40</v>
      </c>
      <c r="C22" s="6" t="s">
        <v>213</v>
      </c>
      <c r="D22" s="16">
        <v>9541.5223652154764</v>
      </c>
      <c r="E22" s="6" t="s">
        <v>41</v>
      </c>
      <c r="F22" s="6" t="s">
        <v>23</v>
      </c>
      <c r="G22" s="6" t="s">
        <v>24</v>
      </c>
      <c r="J22" s="6" t="s">
        <v>203</v>
      </c>
    </row>
    <row r="23" spans="1:14" s="10" customFormat="1" x14ac:dyDescent="0.35"/>
    <row r="24" spans="1:14" x14ac:dyDescent="0.35">
      <c r="A24" s="7" t="s">
        <v>0</v>
      </c>
      <c r="B24" s="7" t="s">
        <v>214</v>
      </c>
    </row>
    <row r="25" spans="1:14" x14ac:dyDescent="0.35">
      <c r="A25" s="8" t="s">
        <v>2</v>
      </c>
      <c r="B25" s="6" t="s">
        <v>3</v>
      </c>
    </row>
    <row r="26" spans="1:14" x14ac:dyDescent="0.35">
      <c r="A26" s="8" t="s">
        <v>4</v>
      </c>
      <c r="B26" s="6" t="s">
        <v>213</v>
      </c>
    </row>
    <row r="27" spans="1:14" x14ac:dyDescent="0.35">
      <c r="A27" s="8" t="s">
        <v>6</v>
      </c>
      <c r="B27" s="6">
        <v>1</v>
      </c>
    </row>
    <row r="28" spans="1:14" x14ac:dyDescent="0.35">
      <c r="A28" s="8" t="s">
        <v>7</v>
      </c>
      <c r="B28" s="6" t="s">
        <v>8</v>
      </c>
    </row>
    <row r="29" spans="1:14" x14ac:dyDescent="0.35">
      <c r="A29" s="8" t="s">
        <v>9</v>
      </c>
      <c r="B29" s="6" t="s">
        <v>10</v>
      </c>
    </row>
    <row r="30" spans="1:14" x14ac:dyDescent="0.35">
      <c r="A30" s="8" t="s">
        <v>11</v>
      </c>
    </row>
    <row r="31" spans="1:14" x14ac:dyDescent="0.35">
      <c r="A31" s="7" t="s">
        <v>12</v>
      </c>
      <c r="B31" s="7" t="s">
        <v>2</v>
      </c>
      <c r="C31" s="7" t="s">
        <v>4</v>
      </c>
      <c r="D31" s="7" t="s">
        <v>6</v>
      </c>
      <c r="E31" s="7" t="s">
        <v>7</v>
      </c>
      <c r="F31" s="7" t="s">
        <v>13</v>
      </c>
      <c r="G31" s="7" t="s">
        <v>14</v>
      </c>
      <c r="H31" s="7" t="s">
        <v>15</v>
      </c>
      <c r="I31" s="7" t="s">
        <v>16</v>
      </c>
      <c r="J31" s="7" t="s">
        <v>17</v>
      </c>
      <c r="K31" s="7" t="s">
        <v>18</v>
      </c>
      <c r="L31" s="7" t="s">
        <v>19</v>
      </c>
      <c r="M31" s="7" t="s">
        <v>20</v>
      </c>
      <c r="N31" s="7" t="s">
        <v>21</v>
      </c>
    </row>
    <row r="32" spans="1:14" x14ac:dyDescent="0.35">
      <c r="A32" s="6" t="str">
        <f>B24</f>
        <v>Au ore mining and Au production in South Africa</v>
      </c>
      <c r="B32" s="6" t="str">
        <f>B25</f>
        <v>Refined Au</v>
      </c>
      <c r="C32" s="6" t="str">
        <f>B26</f>
        <v>ZA</v>
      </c>
      <c r="D32" s="6">
        <v>1</v>
      </c>
      <c r="E32" s="6" t="s">
        <v>8</v>
      </c>
      <c r="F32" s="9" t="str">
        <f>F9</f>
        <v>Gold</v>
      </c>
      <c r="G32" s="6" t="s">
        <v>22</v>
      </c>
    </row>
    <row r="33" spans="1:7" x14ac:dyDescent="0.35">
      <c r="A33" s="6" t="str">
        <f>A9</f>
        <v>[M+C+P+R] Gold (Au) production (from ore)</v>
      </c>
      <c r="B33" s="6" t="str">
        <f>B9</f>
        <v>Refined Au</v>
      </c>
      <c r="C33" s="6" t="str">
        <f>C9</f>
        <v>ZA</v>
      </c>
      <c r="D33" s="6">
        <v>1</v>
      </c>
      <c r="E33" s="6" t="str">
        <f>E9</f>
        <v>kilogram</v>
      </c>
      <c r="F33" s="9" t="str">
        <f>F9</f>
        <v>Gold</v>
      </c>
      <c r="G33" s="6" t="s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5F66-8675-41E8-99C5-459A563BE6B8}">
  <sheetPr>
    <tabColor theme="8" tint="0.39997558519241921"/>
  </sheetPr>
  <dimension ref="A1:N141"/>
  <sheetViews>
    <sheetView workbookViewId="0"/>
  </sheetViews>
  <sheetFormatPr baseColWidth="10" defaultColWidth="8.7265625" defaultRowHeight="14.5" x14ac:dyDescent="0.35"/>
  <cols>
    <col min="1" max="1" width="56.1796875" style="6" bestFit="1" customWidth="1"/>
    <col min="2" max="2" width="91.26953125" style="6" customWidth="1"/>
    <col min="3" max="3" width="25.81640625" style="6" bestFit="1" customWidth="1"/>
    <col min="4" max="4" width="12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10.179687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8.7265625" style="6"/>
  </cols>
  <sheetData>
    <row r="1" spans="1:14" x14ac:dyDescent="0.35">
      <c r="A1" s="17" t="s">
        <v>0</v>
      </c>
      <c r="B1" s="17" t="s">
        <v>222</v>
      </c>
    </row>
    <row r="2" spans="1:14" x14ac:dyDescent="0.35">
      <c r="A2" s="8" t="s">
        <v>2</v>
      </c>
      <c r="B2" s="6" t="s">
        <v>223</v>
      </c>
    </row>
    <row r="3" spans="1:14" x14ac:dyDescent="0.35">
      <c r="A3" s="8" t="s">
        <v>4</v>
      </c>
      <c r="B3" s="6" t="s">
        <v>224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ht="29" x14ac:dyDescent="0.35">
      <c r="A6" s="8" t="s">
        <v>9</v>
      </c>
      <c r="B6" s="20" t="s">
        <v>225</v>
      </c>
    </row>
    <row r="7" spans="1:14" x14ac:dyDescent="0.35">
      <c r="A7" s="8" t="s">
        <v>11</v>
      </c>
    </row>
    <row r="8" spans="1:14" x14ac:dyDescent="0.35">
      <c r="A8" s="17" t="s">
        <v>12</v>
      </c>
      <c r="B8" s="17" t="s">
        <v>2</v>
      </c>
      <c r="C8" s="17" t="s">
        <v>4</v>
      </c>
      <c r="D8" s="17" t="s">
        <v>6</v>
      </c>
      <c r="E8" s="17" t="s">
        <v>7</v>
      </c>
      <c r="F8" s="17" t="s">
        <v>13</v>
      </c>
      <c r="G8" s="17" t="s">
        <v>14</v>
      </c>
      <c r="H8" s="17" t="s">
        <v>15</v>
      </c>
      <c r="I8" s="17" t="s">
        <v>16</v>
      </c>
      <c r="J8" s="17" t="s">
        <v>17</v>
      </c>
      <c r="K8" s="17" t="s">
        <v>18</v>
      </c>
      <c r="L8" s="17" t="s">
        <v>19</v>
      </c>
      <c r="M8" s="17" t="s">
        <v>20</v>
      </c>
      <c r="N8" s="17" t="s">
        <v>21</v>
      </c>
    </row>
    <row r="9" spans="1:14" x14ac:dyDescent="0.35">
      <c r="A9" s="6" t="str">
        <f>B1</f>
        <v>High-grade waste electrical and electronic equipment (WEEE)</v>
      </c>
      <c r="B9" s="6" t="str">
        <f>B2</f>
        <v>High-grade WEEE</v>
      </c>
      <c r="C9" s="6" t="s">
        <v>224</v>
      </c>
      <c r="D9" s="6">
        <v>1</v>
      </c>
      <c r="E9" s="6" t="s">
        <v>8</v>
      </c>
      <c r="F9" s="9" t="str">
        <f>Au_Market_GLO!B1</f>
        <v>Gold</v>
      </c>
      <c r="G9" s="6" t="s">
        <v>22</v>
      </c>
    </row>
    <row r="10" spans="1:14" s="13" customFormat="1" x14ac:dyDescent="0.35"/>
    <row r="11" spans="1:14" x14ac:dyDescent="0.35">
      <c r="A11" s="17" t="s">
        <v>0</v>
      </c>
      <c r="B11" s="17" t="s">
        <v>226</v>
      </c>
    </row>
    <row r="12" spans="1:14" x14ac:dyDescent="0.35">
      <c r="A12" s="8" t="s">
        <v>2</v>
      </c>
      <c r="B12" s="6" t="s">
        <v>227</v>
      </c>
    </row>
    <row r="13" spans="1:14" x14ac:dyDescent="0.35">
      <c r="A13" s="8" t="s">
        <v>4</v>
      </c>
      <c r="B13" s="6" t="s">
        <v>224</v>
      </c>
    </row>
    <row r="14" spans="1:14" x14ac:dyDescent="0.35">
      <c r="A14" s="8" t="s">
        <v>6</v>
      </c>
      <c r="B14" s="6">
        <v>1</v>
      </c>
    </row>
    <row r="15" spans="1:14" x14ac:dyDescent="0.35">
      <c r="A15" s="8" t="s">
        <v>7</v>
      </c>
      <c r="B15" s="6" t="s">
        <v>8</v>
      </c>
    </row>
    <row r="16" spans="1:14" ht="43.5" x14ac:dyDescent="0.35">
      <c r="A16" s="8" t="s">
        <v>9</v>
      </c>
      <c r="B16" s="15" t="s">
        <v>269</v>
      </c>
    </row>
    <row r="17" spans="1:14" x14ac:dyDescent="0.35">
      <c r="A17" s="8" t="s">
        <v>11</v>
      </c>
    </row>
    <row r="18" spans="1:14" x14ac:dyDescent="0.35">
      <c r="A18" s="17" t="s">
        <v>12</v>
      </c>
      <c r="B18" s="17" t="s">
        <v>2</v>
      </c>
      <c r="C18" s="17" t="s">
        <v>4</v>
      </c>
      <c r="D18" s="17" t="s">
        <v>6</v>
      </c>
      <c r="E18" s="17" t="s">
        <v>7</v>
      </c>
      <c r="F18" s="17" t="s">
        <v>13</v>
      </c>
      <c r="G18" s="17" t="s">
        <v>14</v>
      </c>
      <c r="H18" s="17" t="s">
        <v>15</v>
      </c>
      <c r="I18" s="17" t="s">
        <v>16</v>
      </c>
      <c r="J18" s="17" t="s">
        <v>17</v>
      </c>
      <c r="K18" s="17" t="s">
        <v>18</v>
      </c>
      <c r="L18" s="17" t="s">
        <v>19</v>
      </c>
      <c r="M18" s="17" t="s">
        <v>20</v>
      </c>
      <c r="N18" s="17" t="s">
        <v>21</v>
      </c>
    </row>
    <row r="19" spans="1:14" x14ac:dyDescent="0.35">
      <c r="A19" s="6" t="str">
        <f>B11</f>
        <v xml:space="preserve">[C] WEEE pre-treatment </v>
      </c>
      <c r="B19" s="6" t="str">
        <f>B12</f>
        <v>Metal fraction</v>
      </c>
      <c r="C19" s="6" t="s">
        <v>224</v>
      </c>
      <c r="D19" s="6">
        <v>1</v>
      </c>
      <c r="E19" s="6" t="s">
        <v>8</v>
      </c>
      <c r="F19" s="9" t="str">
        <f>F9</f>
        <v>Gold</v>
      </c>
      <c r="G19" s="6" t="s">
        <v>22</v>
      </c>
    </row>
    <row r="20" spans="1:14" x14ac:dyDescent="0.35">
      <c r="A20" s="6" t="s">
        <v>121</v>
      </c>
      <c r="B20" s="6" t="s">
        <v>40</v>
      </c>
      <c r="C20" s="6" t="s">
        <v>228</v>
      </c>
      <c r="D20" s="16">
        <v>1.0537449769283722</v>
      </c>
      <c r="E20" s="6" t="s">
        <v>41</v>
      </c>
      <c r="F20" s="6" t="s">
        <v>23</v>
      </c>
      <c r="G20" s="6" t="s">
        <v>24</v>
      </c>
      <c r="J20" s="6" t="s">
        <v>229</v>
      </c>
    </row>
    <row r="21" spans="1:14" x14ac:dyDescent="0.35">
      <c r="A21" s="6" t="s">
        <v>230</v>
      </c>
      <c r="D21" s="16">
        <v>1.5965832983763218E-5</v>
      </c>
      <c r="E21" s="6" t="s">
        <v>8</v>
      </c>
      <c r="F21" s="6" t="s">
        <v>63</v>
      </c>
      <c r="G21" s="6" t="s">
        <v>64</v>
      </c>
      <c r="H21" s="6" t="s">
        <v>72</v>
      </c>
      <c r="J21" s="6" t="s">
        <v>229</v>
      </c>
    </row>
    <row r="22" spans="1:14" x14ac:dyDescent="0.35">
      <c r="A22" s="6" t="s">
        <v>231</v>
      </c>
      <c r="D22" s="16">
        <v>1.5965832983763216E-6</v>
      </c>
      <c r="E22" s="6" t="s">
        <v>8</v>
      </c>
      <c r="F22" s="6" t="s">
        <v>63</v>
      </c>
      <c r="G22" s="6" t="s">
        <v>64</v>
      </c>
      <c r="H22" s="6" t="s">
        <v>72</v>
      </c>
      <c r="J22" s="6" t="s">
        <v>229</v>
      </c>
    </row>
    <row r="23" spans="1:14" x14ac:dyDescent="0.35">
      <c r="A23" s="6" t="s">
        <v>232</v>
      </c>
      <c r="D23" s="16">
        <v>3.1931665967526431E-6</v>
      </c>
      <c r="E23" s="6" t="s">
        <v>8</v>
      </c>
      <c r="F23" s="6" t="s">
        <v>63</v>
      </c>
      <c r="G23" s="6" t="s">
        <v>64</v>
      </c>
      <c r="H23" s="6" t="s">
        <v>72</v>
      </c>
      <c r="J23" s="6" t="s">
        <v>229</v>
      </c>
    </row>
    <row r="24" spans="1:14" x14ac:dyDescent="0.35">
      <c r="A24" s="6" t="s">
        <v>233</v>
      </c>
      <c r="D24" s="16">
        <v>3.1931665967526439E-7</v>
      </c>
      <c r="E24" s="6" t="s">
        <v>8</v>
      </c>
      <c r="F24" s="6" t="s">
        <v>63</v>
      </c>
      <c r="G24" s="6" t="s">
        <v>64</v>
      </c>
      <c r="H24" s="6" t="s">
        <v>72</v>
      </c>
      <c r="J24" s="6" t="s">
        <v>229</v>
      </c>
    </row>
    <row r="25" spans="1:14" x14ac:dyDescent="0.35">
      <c r="A25" s="6" t="s">
        <v>234</v>
      </c>
      <c r="D25" s="16">
        <v>4.7897498951289662E-6</v>
      </c>
      <c r="E25" s="6" t="s">
        <v>8</v>
      </c>
      <c r="F25" s="6" t="s">
        <v>63</v>
      </c>
      <c r="G25" s="6" t="s">
        <v>64</v>
      </c>
      <c r="H25" s="6" t="s">
        <v>72</v>
      </c>
      <c r="J25" s="6" t="s">
        <v>229</v>
      </c>
    </row>
    <row r="26" spans="1:14" x14ac:dyDescent="0.35">
      <c r="A26" s="6" t="s">
        <v>235</v>
      </c>
      <c r="D26" s="16">
        <v>7.9829164918816078E-7</v>
      </c>
      <c r="E26" s="6" t="s">
        <v>8</v>
      </c>
      <c r="F26" s="6" t="s">
        <v>63</v>
      </c>
      <c r="G26" s="6" t="s">
        <v>64</v>
      </c>
      <c r="H26" s="6" t="s">
        <v>72</v>
      </c>
      <c r="J26" s="6" t="s">
        <v>229</v>
      </c>
    </row>
    <row r="27" spans="1:14" x14ac:dyDescent="0.35">
      <c r="A27" s="6" t="s">
        <v>236</v>
      </c>
      <c r="D27" s="16">
        <v>6.3863331935052871E-6</v>
      </c>
      <c r="E27" s="6" t="s">
        <v>8</v>
      </c>
      <c r="F27" s="6" t="s">
        <v>63</v>
      </c>
      <c r="G27" s="6" t="s">
        <v>64</v>
      </c>
      <c r="H27" s="6" t="s">
        <v>72</v>
      </c>
      <c r="J27" s="6" t="s">
        <v>229</v>
      </c>
    </row>
    <row r="28" spans="1:14" x14ac:dyDescent="0.35">
      <c r="A28" s="6" t="s">
        <v>237</v>
      </c>
      <c r="D28" s="16">
        <v>7.9829164918816109E-5</v>
      </c>
      <c r="E28" s="6" t="s">
        <v>8</v>
      </c>
      <c r="F28" s="6" t="s">
        <v>63</v>
      </c>
      <c r="G28" s="6" t="s">
        <v>64</v>
      </c>
      <c r="H28" s="6" t="s">
        <v>72</v>
      </c>
      <c r="J28" s="6" t="s">
        <v>229</v>
      </c>
    </row>
    <row r="29" spans="1:14" x14ac:dyDescent="0.35">
      <c r="A29" s="6" t="s">
        <v>238</v>
      </c>
      <c r="D29" s="16">
        <v>6.3863331935052871E-6</v>
      </c>
      <c r="E29" s="6" t="s">
        <v>8</v>
      </c>
      <c r="F29" s="6" t="s">
        <v>63</v>
      </c>
      <c r="G29" s="6" t="s">
        <v>64</v>
      </c>
      <c r="H29" s="6" t="s">
        <v>72</v>
      </c>
      <c r="J29" s="6" t="s">
        <v>229</v>
      </c>
    </row>
    <row r="30" spans="1:14" x14ac:dyDescent="0.35">
      <c r="A30" s="6" t="s">
        <v>93</v>
      </c>
      <c r="D30" s="16">
        <v>1.5965832983763217E-9</v>
      </c>
      <c r="E30" s="6" t="s">
        <v>8</v>
      </c>
      <c r="F30" s="6" t="s">
        <v>63</v>
      </c>
      <c r="G30" s="6" t="s">
        <v>64</v>
      </c>
      <c r="H30" s="6" t="s">
        <v>72</v>
      </c>
      <c r="J30" s="6" t="s">
        <v>229</v>
      </c>
    </row>
    <row r="31" spans="1:14" x14ac:dyDescent="0.35">
      <c r="A31" s="6" t="s">
        <v>93</v>
      </c>
      <c r="D31" s="16">
        <v>3.1931665967526431E-6</v>
      </c>
      <c r="E31" s="6" t="s">
        <v>8</v>
      </c>
      <c r="F31" s="6" t="s">
        <v>63</v>
      </c>
      <c r="G31" s="6" t="s">
        <v>64</v>
      </c>
      <c r="H31" s="6" t="s">
        <v>72</v>
      </c>
      <c r="J31" s="6" t="s">
        <v>229</v>
      </c>
    </row>
    <row r="32" spans="1:14" x14ac:dyDescent="0.35">
      <c r="A32" s="6" t="s">
        <v>239</v>
      </c>
      <c r="D32" s="16">
        <v>1.5965832983763219E-7</v>
      </c>
      <c r="E32" s="6" t="s">
        <v>8</v>
      </c>
      <c r="F32" s="6" t="s">
        <v>63</v>
      </c>
      <c r="G32" s="6" t="s">
        <v>64</v>
      </c>
      <c r="H32" s="6" t="s">
        <v>72</v>
      </c>
      <c r="J32" s="6" t="s">
        <v>229</v>
      </c>
    </row>
    <row r="33" spans="1:14" x14ac:dyDescent="0.35">
      <c r="A33" s="6" t="s">
        <v>240</v>
      </c>
      <c r="D33" s="16">
        <v>3.1931665967526441E-8</v>
      </c>
      <c r="E33" s="6" t="s">
        <v>8</v>
      </c>
      <c r="F33" s="6" t="s">
        <v>63</v>
      </c>
      <c r="G33" s="6" t="s">
        <v>64</v>
      </c>
      <c r="H33" s="6" t="s">
        <v>72</v>
      </c>
      <c r="J33" s="6" t="s">
        <v>229</v>
      </c>
    </row>
    <row r="34" spans="1:14" x14ac:dyDescent="0.35">
      <c r="A34" s="6" t="s">
        <v>241</v>
      </c>
      <c r="D34" s="16">
        <v>4.7897498951289662E-6</v>
      </c>
      <c r="E34" s="6" t="s">
        <v>8</v>
      </c>
      <c r="F34" s="6" t="s">
        <v>63</v>
      </c>
      <c r="G34" s="6" t="s">
        <v>64</v>
      </c>
      <c r="H34" s="6" t="s">
        <v>72</v>
      </c>
      <c r="J34" s="6" t="s">
        <v>229</v>
      </c>
    </row>
    <row r="35" spans="1:14" x14ac:dyDescent="0.35">
      <c r="A35" s="6" t="s">
        <v>242</v>
      </c>
      <c r="D35" s="16">
        <v>1.5965832983763218E-5</v>
      </c>
      <c r="E35" s="6" t="s">
        <v>8</v>
      </c>
      <c r="F35" s="6" t="s">
        <v>63</v>
      </c>
      <c r="G35" s="6" t="s">
        <v>64</v>
      </c>
      <c r="H35" s="6" t="s">
        <v>72</v>
      </c>
      <c r="J35" s="6" t="s">
        <v>229</v>
      </c>
    </row>
    <row r="36" spans="1:14" s="13" customFormat="1" x14ac:dyDescent="0.35"/>
    <row r="37" spans="1:14" x14ac:dyDescent="0.35">
      <c r="A37" s="17" t="s">
        <v>0</v>
      </c>
      <c r="B37" s="17" t="s">
        <v>243</v>
      </c>
    </row>
    <row r="38" spans="1:14" x14ac:dyDescent="0.35">
      <c r="A38" s="8" t="s">
        <v>2</v>
      </c>
      <c r="B38" s="6" t="s">
        <v>244</v>
      </c>
    </row>
    <row r="39" spans="1:14" x14ac:dyDescent="0.35">
      <c r="A39" s="8" t="s">
        <v>4</v>
      </c>
      <c r="B39" s="6" t="s">
        <v>224</v>
      </c>
    </row>
    <row r="40" spans="1:14" x14ac:dyDescent="0.35">
      <c r="A40" s="8" t="s">
        <v>6</v>
      </c>
      <c r="B40" s="6">
        <v>1</v>
      </c>
    </row>
    <row r="41" spans="1:14" x14ac:dyDescent="0.35">
      <c r="A41" s="8" t="s">
        <v>7</v>
      </c>
      <c r="B41" s="6" t="s">
        <v>8</v>
      </c>
    </row>
    <row r="42" spans="1:14" ht="43.5" x14ac:dyDescent="0.35">
      <c r="A42" s="8" t="s">
        <v>9</v>
      </c>
      <c r="B42" s="15" t="s">
        <v>270</v>
      </c>
    </row>
    <row r="43" spans="1:14" x14ac:dyDescent="0.35">
      <c r="A43" s="8" t="s">
        <v>11</v>
      </c>
    </row>
    <row r="44" spans="1:14" x14ac:dyDescent="0.35">
      <c r="A44" s="17" t="s">
        <v>12</v>
      </c>
      <c r="B44" s="17" t="s">
        <v>2</v>
      </c>
      <c r="C44" s="17" t="s">
        <v>4</v>
      </c>
      <c r="D44" s="17" t="s">
        <v>6</v>
      </c>
      <c r="E44" s="17" t="s">
        <v>7</v>
      </c>
      <c r="F44" s="17" t="s">
        <v>13</v>
      </c>
      <c r="G44" s="17" t="s">
        <v>14</v>
      </c>
      <c r="H44" s="17" t="s">
        <v>15</v>
      </c>
      <c r="I44" s="17" t="s">
        <v>16</v>
      </c>
      <c r="J44" s="17" t="s">
        <v>17</v>
      </c>
      <c r="K44" s="17" t="s">
        <v>18</v>
      </c>
      <c r="L44" s="17" t="s">
        <v>19</v>
      </c>
      <c r="M44" s="17" t="s">
        <v>20</v>
      </c>
      <c r="N44" s="17" t="s">
        <v>21</v>
      </c>
    </row>
    <row r="45" spans="1:14" x14ac:dyDescent="0.35">
      <c r="A45" s="6" t="str">
        <f>B37</f>
        <v>[P] Melting - Kaldo Plant</v>
      </c>
      <c r="B45" s="6" t="str">
        <f>B38</f>
        <v>Melted metals</v>
      </c>
      <c r="C45" s="6" t="s">
        <v>224</v>
      </c>
      <c r="D45" s="6">
        <v>1</v>
      </c>
      <c r="E45" s="6" t="s">
        <v>8</v>
      </c>
      <c r="F45" s="9" t="str">
        <f>F19</f>
        <v>Gold</v>
      </c>
      <c r="G45" s="6" t="s">
        <v>22</v>
      </c>
    </row>
    <row r="46" spans="1:14" x14ac:dyDescent="0.35">
      <c r="A46" s="6" t="s">
        <v>121</v>
      </c>
      <c r="B46" s="6" t="s">
        <v>40</v>
      </c>
      <c r="C46" s="6" t="s">
        <v>228</v>
      </c>
      <c r="D46" s="16">
        <v>7.6045908456879741E-3</v>
      </c>
      <c r="E46" s="6" t="s">
        <v>41</v>
      </c>
      <c r="F46" s="6" t="s">
        <v>23</v>
      </c>
      <c r="G46" s="6" t="s">
        <v>24</v>
      </c>
      <c r="J46" s="6" t="s">
        <v>245</v>
      </c>
    </row>
    <row r="47" spans="1:14" x14ac:dyDescent="0.35">
      <c r="A47" s="6" t="s">
        <v>246</v>
      </c>
      <c r="B47" s="6" t="s">
        <v>247</v>
      </c>
      <c r="C47" s="6" t="s">
        <v>248</v>
      </c>
      <c r="D47" s="16">
        <v>0.95057385571099673</v>
      </c>
      <c r="E47" s="6" t="s">
        <v>8</v>
      </c>
      <c r="F47" s="6" t="s">
        <v>23</v>
      </c>
      <c r="G47" s="6" t="s">
        <v>24</v>
      </c>
      <c r="J47" s="6" t="s">
        <v>249</v>
      </c>
    </row>
    <row r="48" spans="1:14" x14ac:dyDescent="0.35">
      <c r="A48" s="6" t="s">
        <v>73</v>
      </c>
      <c r="D48" s="16">
        <v>7.6045908456879743E-7</v>
      </c>
      <c r="E48" s="6" t="s">
        <v>8</v>
      </c>
      <c r="F48" s="6" t="s">
        <v>63</v>
      </c>
      <c r="G48" s="6" t="s">
        <v>64</v>
      </c>
      <c r="H48" s="6" t="s">
        <v>72</v>
      </c>
      <c r="J48" s="6" t="s">
        <v>249</v>
      </c>
    </row>
    <row r="49" spans="1:10" x14ac:dyDescent="0.35">
      <c r="A49" s="6" t="s">
        <v>233</v>
      </c>
      <c r="D49" s="16">
        <v>7.6045908456879743E-7</v>
      </c>
      <c r="E49" s="6" t="s">
        <v>8</v>
      </c>
      <c r="F49" s="6" t="s">
        <v>63</v>
      </c>
      <c r="G49" s="6" t="s">
        <v>64</v>
      </c>
      <c r="H49" s="6" t="s">
        <v>72</v>
      </c>
      <c r="J49" s="6" t="s">
        <v>249</v>
      </c>
    </row>
    <row r="50" spans="1:10" x14ac:dyDescent="0.35">
      <c r="A50" s="6" t="s">
        <v>234</v>
      </c>
      <c r="D50" s="16">
        <v>5.7034431342659822E-5</v>
      </c>
      <c r="E50" s="6" t="s">
        <v>8</v>
      </c>
      <c r="F50" s="6" t="s">
        <v>63</v>
      </c>
      <c r="G50" s="6" t="s">
        <v>64</v>
      </c>
      <c r="H50" s="6" t="s">
        <v>72</v>
      </c>
      <c r="J50" s="6" t="s">
        <v>249</v>
      </c>
    </row>
    <row r="51" spans="1:10" x14ac:dyDescent="0.35">
      <c r="A51" s="6" t="s">
        <v>236</v>
      </c>
      <c r="D51" s="16">
        <v>9.5057385571099714E-6</v>
      </c>
      <c r="E51" s="6" t="s">
        <v>8</v>
      </c>
      <c r="F51" s="6" t="s">
        <v>63</v>
      </c>
      <c r="G51" s="6" t="s">
        <v>64</v>
      </c>
      <c r="H51" s="6" t="s">
        <v>72</v>
      </c>
      <c r="J51" s="6" t="s">
        <v>249</v>
      </c>
    </row>
    <row r="52" spans="1:10" x14ac:dyDescent="0.35">
      <c r="A52" s="6" t="s">
        <v>250</v>
      </c>
      <c r="D52" s="16">
        <v>1.9011477114219936E-11</v>
      </c>
      <c r="E52" s="6" t="s">
        <v>8</v>
      </c>
      <c r="F52" s="6" t="s">
        <v>63</v>
      </c>
      <c r="G52" s="6" t="s">
        <v>64</v>
      </c>
      <c r="H52" s="6" t="s">
        <v>72</v>
      </c>
      <c r="J52" s="6" t="s">
        <v>249</v>
      </c>
    </row>
    <row r="53" spans="1:10" x14ac:dyDescent="0.35">
      <c r="A53" s="6" t="s">
        <v>238</v>
      </c>
      <c r="D53" s="16">
        <v>1.7110329402797941E-6</v>
      </c>
      <c r="E53" s="6" t="s">
        <v>8</v>
      </c>
      <c r="F53" s="6" t="s">
        <v>63</v>
      </c>
      <c r="G53" s="6" t="s">
        <v>64</v>
      </c>
      <c r="H53" s="6" t="s">
        <v>72</v>
      </c>
      <c r="J53" s="6" t="s">
        <v>249</v>
      </c>
    </row>
    <row r="54" spans="1:10" x14ac:dyDescent="0.35">
      <c r="A54" s="6" t="s">
        <v>93</v>
      </c>
      <c r="D54" s="16">
        <v>3.8022954228439877E-7</v>
      </c>
      <c r="E54" s="6" t="s">
        <v>8</v>
      </c>
      <c r="F54" s="6" t="s">
        <v>63</v>
      </c>
      <c r="G54" s="6" t="s">
        <v>64</v>
      </c>
      <c r="H54" s="6" t="s">
        <v>72</v>
      </c>
      <c r="J54" s="6" t="s">
        <v>249</v>
      </c>
    </row>
    <row r="55" spans="1:10" x14ac:dyDescent="0.35">
      <c r="A55" s="6" t="s">
        <v>75</v>
      </c>
      <c r="D55" s="16">
        <v>7.6045908456879741E-3</v>
      </c>
      <c r="E55" s="6" t="s">
        <v>8</v>
      </c>
      <c r="F55" s="6" t="s">
        <v>63</v>
      </c>
      <c r="G55" s="6" t="s">
        <v>64</v>
      </c>
      <c r="H55" s="6" t="s">
        <v>72</v>
      </c>
      <c r="J55" s="6" t="s">
        <v>249</v>
      </c>
    </row>
    <row r="56" spans="1:10" x14ac:dyDescent="0.35">
      <c r="A56" s="6" t="s">
        <v>251</v>
      </c>
      <c r="D56" s="16">
        <v>1.9011477114219937E-4</v>
      </c>
      <c r="E56" s="6" t="s">
        <v>8</v>
      </c>
      <c r="F56" s="6" t="s">
        <v>63</v>
      </c>
      <c r="G56" s="6" t="s">
        <v>64</v>
      </c>
      <c r="H56" s="6" t="s">
        <v>72</v>
      </c>
      <c r="J56" s="6" t="s">
        <v>249</v>
      </c>
    </row>
    <row r="57" spans="1:10" x14ac:dyDescent="0.35">
      <c r="A57" s="6" t="s">
        <v>252</v>
      </c>
      <c r="D57" s="16">
        <v>1.5209181691375949E-4</v>
      </c>
      <c r="E57" s="6" t="s">
        <v>8</v>
      </c>
      <c r="F57" s="6" t="s">
        <v>63</v>
      </c>
      <c r="G57" s="6" t="s">
        <v>64</v>
      </c>
      <c r="H57" s="6" t="s">
        <v>72</v>
      </c>
      <c r="J57" s="6" t="s">
        <v>249</v>
      </c>
    </row>
    <row r="58" spans="1:10" x14ac:dyDescent="0.35">
      <c r="A58" s="6" t="s">
        <v>74</v>
      </c>
      <c r="D58" s="16">
        <v>7.6045908456879744E-5</v>
      </c>
      <c r="E58" s="6" t="s">
        <v>8</v>
      </c>
      <c r="F58" s="6" t="s">
        <v>63</v>
      </c>
      <c r="G58" s="6" t="s">
        <v>64</v>
      </c>
      <c r="H58" s="6" t="s">
        <v>72</v>
      </c>
      <c r="J58" s="6" t="s">
        <v>249</v>
      </c>
    </row>
    <row r="59" spans="1:10" x14ac:dyDescent="0.35">
      <c r="A59" s="6" t="s">
        <v>71</v>
      </c>
      <c r="D59" s="16">
        <v>3.8022954228439876E-2</v>
      </c>
      <c r="E59" s="6" t="s">
        <v>8</v>
      </c>
      <c r="F59" s="6" t="s">
        <v>63</v>
      </c>
      <c r="G59" s="6" t="s">
        <v>64</v>
      </c>
      <c r="H59" s="6" t="s">
        <v>72</v>
      </c>
      <c r="J59" s="6" t="s">
        <v>249</v>
      </c>
    </row>
    <row r="60" spans="1:10" x14ac:dyDescent="0.35">
      <c r="A60" s="6" t="s">
        <v>242</v>
      </c>
      <c r="D60" s="16">
        <v>1.901147711421994E-5</v>
      </c>
      <c r="E60" s="6" t="s">
        <v>8</v>
      </c>
      <c r="F60" s="6" t="s">
        <v>63</v>
      </c>
      <c r="G60" s="6" t="s">
        <v>64</v>
      </c>
      <c r="H60" s="6" t="s">
        <v>72</v>
      </c>
      <c r="J60" s="6" t="s">
        <v>249</v>
      </c>
    </row>
    <row r="61" spans="1:10" s="13" customFormat="1" x14ac:dyDescent="0.35"/>
    <row r="62" spans="1:10" x14ac:dyDescent="0.35">
      <c r="A62" s="17" t="s">
        <v>0</v>
      </c>
      <c r="B62" s="17" t="s">
        <v>253</v>
      </c>
    </row>
    <row r="63" spans="1:10" x14ac:dyDescent="0.35">
      <c r="A63" s="8" t="s">
        <v>2</v>
      </c>
      <c r="B63" s="6" t="s">
        <v>254</v>
      </c>
    </row>
    <row r="64" spans="1:10" x14ac:dyDescent="0.35">
      <c r="A64" s="8" t="s">
        <v>4</v>
      </c>
      <c r="B64" s="6" t="s">
        <v>224</v>
      </c>
    </row>
    <row r="65" spans="1:14" x14ac:dyDescent="0.35">
      <c r="A65" s="8" t="s">
        <v>6</v>
      </c>
      <c r="B65" s="6">
        <v>1</v>
      </c>
    </row>
    <row r="66" spans="1:14" x14ac:dyDescent="0.35">
      <c r="A66" s="8" t="s">
        <v>7</v>
      </c>
      <c r="B66" s="6" t="s">
        <v>8</v>
      </c>
    </row>
    <row r="67" spans="1:14" ht="29" x14ac:dyDescent="0.35">
      <c r="A67" s="8" t="s">
        <v>9</v>
      </c>
      <c r="B67" s="15" t="s">
        <v>271</v>
      </c>
    </row>
    <row r="68" spans="1:14" x14ac:dyDescent="0.35">
      <c r="A68" s="8" t="s">
        <v>11</v>
      </c>
    </row>
    <row r="69" spans="1:14" x14ac:dyDescent="0.35">
      <c r="A69" s="17" t="s">
        <v>12</v>
      </c>
      <c r="B69" s="17" t="s">
        <v>2</v>
      </c>
      <c r="C69" s="17" t="s">
        <v>4</v>
      </c>
      <c r="D69" s="17" t="s">
        <v>6</v>
      </c>
      <c r="E69" s="17" t="s">
        <v>7</v>
      </c>
      <c r="F69" s="17" t="s">
        <v>13</v>
      </c>
      <c r="G69" s="17" t="s">
        <v>14</v>
      </c>
      <c r="H69" s="17" t="s">
        <v>15</v>
      </c>
      <c r="I69" s="17" t="s">
        <v>16</v>
      </c>
      <c r="J69" s="17" t="s">
        <v>17</v>
      </c>
      <c r="K69" s="17" t="s">
        <v>18</v>
      </c>
      <c r="L69" s="17" t="s">
        <v>19</v>
      </c>
      <c r="M69" s="17" t="s">
        <v>20</v>
      </c>
      <c r="N69" s="17" t="s">
        <v>21</v>
      </c>
    </row>
    <row r="70" spans="1:14" x14ac:dyDescent="0.35">
      <c r="A70" s="6" t="str">
        <f>B62</f>
        <v>[R] Metals refining</v>
      </c>
      <c r="B70" s="6" t="str">
        <f>B63</f>
        <v>Precious metals</v>
      </c>
      <c r="C70" s="6" t="s">
        <v>224</v>
      </c>
      <c r="D70" s="6">
        <v>1</v>
      </c>
      <c r="E70" s="6" t="s">
        <v>8</v>
      </c>
      <c r="F70" s="9" t="str">
        <f>F45</f>
        <v>Gold</v>
      </c>
      <c r="G70" s="6" t="s">
        <v>22</v>
      </c>
    </row>
    <row r="71" spans="1:14" x14ac:dyDescent="0.35">
      <c r="A71" s="6" t="s">
        <v>121</v>
      </c>
      <c r="B71" s="6" t="s">
        <v>40</v>
      </c>
      <c r="C71" s="6" t="s">
        <v>228</v>
      </c>
      <c r="D71" s="16">
        <v>3.4869685984054826</v>
      </c>
      <c r="E71" s="6" t="s">
        <v>41</v>
      </c>
      <c r="F71" s="6" t="s">
        <v>23</v>
      </c>
      <c r="G71" s="6" t="s">
        <v>24</v>
      </c>
      <c r="J71" s="6" t="s">
        <v>245</v>
      </c>
    </row>
    <row r="72" spans="1:14" x14ac:dyDescent="0.35">
      <c r="A72" s="6" t="s">
        <v>255</v>
      </c>
      <c r="B72" s="6" t="s">
        <v>256</v>
      </c>
      <c r="C72" s="6" t="s">
        <v>257</v>
      </c>
      <c r="D72" s="16">
        <v>4.4993143205232018E-4</v>
      </c>
      <c r="E72" s="6" t="s">
        <v>48</v>
      </c>
      <c r="F72" s="6" t="s">
        <v>23</v>
      </c>
      <c r="G72" s="6" t="s">
        <v>24</v>
      </c>
      <c r="J72" s="6" t="s">
        <v>245</v>
      </c>
    </row>
    <row r="73" spans="1:14" x14ac:dyDescent="0.35">
      <c r="A73" s="6" t="s">
        <v>60</v>
      </c>
      <c r="B73" s="6" t="s">
        <v>61</v>
      </c>
      <c r="C73" s="6" t="s">
        <v>248</v>
      </c>
      <c r="D73" s="16">
        <v>0.44993143205232022</v>
      </c>
      <c r="E73" s="6" t="s">
        <v>8</v>
      </c>
      <c r="F73" s="6" t="s">
        <v>23</v>
      </c>
      <c r="G73" s="6" t="s">
        <v>24</v>
      </c>
      <c r="J73" s="6" t="s">
        <v>245</v>
      </c>
    </row>
    <row r="74" spans="1:14" x14ac:dyDescent="0.35">
      <c r="A74" s="6" t="s">
        <v>73</v>
      </c>
      <c r="D74" s="16">
        <v>2.2496571602616009E-6</v>
      </c>
      <c r="E74" s="6" t="s">
        <v>8</v>
      </c>
      <c r="F74" s="6" t="s">
        <v>63</v>
      </c>
      <c r="G74" s="6" t="s">
        <v>64</v>
      </c>
      <c r="H74" s="6" t="s">
        <v>72</v>
      </c>
      <c r="J74" s="6" t="s">
        <v>249</v>
      </c>
    </row>
    <row r="75" spans="1:14" x14ac:dyDescent="0.35">
      <c r="A75" s="6" t="s">
        <v>233</v>
      </c>
      <c r="D75" s="16">
        <v>1.1248285801308004E-6</v>
      </c>
      <c r="E75" s="6" t="s">
        <v>8</v>
      </c>
      <c r="F75" s="6" t="s">
        <v>63</v>
      </c>
      <c r="G75" s="6" t="s">
        <v>64</v>
      </c>
      <c r="H75" s="6" t="s">
        <v>72</v>
      </c>
      <c r="J75" s="6" t="s">
        <v>249</v>
      </c>
    </row>
    <row r="76" spans="1:14" x14ac:dyDescent="0.35">
      <c r="A76" s="6" t="s">
        <v>236</v>
      </c>
      <c r="D76" s="16">
        <v>1.1248285801308006E-5</v>
      </c>
      <c r="E76" s="6" t="s">
        <v>8</v>
      </c>
      <c r="F76" s="6" t="s">
        <v>63</v>
      </c>
      <c r="G76" s="6" t="s">
        <v>64</v>
      </c>
      <c r="H76" s="6" t="s">
        <v>72</v>
      </c>
      <c r="J76" s="6" t="s">
        <v>249</v>
      </c>
    </row>
    <row r="77" spans="1:14" x14ac:dyDescent="0.35">
      <c r="A77" s="6" t="s">
        <v>250</v>
      </c>
      <c r="D77" s="16">
        <v>4.4993143205232022E-12</v>
      </c>
      <c r="E77" s="6" t="s">
        <v>8</v>
      </c>
      <c r="F77" s="6" t="s">
        <v>63</v>
      </c>
      <c r="G77" s="6" t="s">
        <v>64</v>
      </c>
      <c r="H77" s="6" t="s">
        <v>72</v>
      </c>
      <c r="J77" s="6" t="s">
        <v>249</v>
      </c>
    </row>
    <row r="78" spans="1:14" x14ac:dyDescent="0.35">
      <c r="A78" s="6" t="s">
        <v>238</v>
      </c>
      <c r="D78" s="16">
        <v>1.1248285801308006E-5</v>
      </c>
      <c r="E78" s="6" t="s">
        <v>8</v>
      </c>
      <c r="F78" s="6" t="s">
        <v>63</v>
      </c>
      <c r="G78" s="6" t="s">
        <v>64</v>
      </c>
      <c r="H78" s="6" t="s">
        <v>72</v>
      </c>
      <c r="J78" s="6" t="s">
        <v>249</v>
      </c>
    </row>
    <row r="79" spans="1:14" x14ac:dyDescent="0.35">
      <c r="A79" s="6" t="s">
        <v>75</v>
      </c>
      <c r="D79" s="16">
        <v>8.9986286410464035E-4</v>
      </c>
      <c r="E79" s="6" t="s">
        <v>8</v>
      </c>
      <c r="F79" s="6" t="s">
        <v>63</v>
      </c>
      <c r="G79" s="6" t="s">
        <v>64</v>
      </c>
      <c r="H79" s="6" t="s">
        <v>72</v>
      </c>
      <c r="J79" s="6" t="s">
        <v>249</v>
      </c>
    </row>
    <row r="80" spans="1:14" x14ac:dyDescent="0.35">
      <c r="A80" s="6" t="s">
        <v>251</v>
      </c>
      <c r="D80" s="16">
        <v>7.873800060915604E-5</v>
      </c>
      <c r="E80" s="6" t="s">
        <v>8</v>
      </c>
      <c r="F80" s="6" t="s">
        <v>63</v>
      </c>
      <c r="G80" s="6" t="s">
        <v>64</v>
      </c>
      <c r="H80" s="6" t="s">
        <v>72</v>
      </c>
      <c r="J80" s="6" t="s">
        <v>249</v>
      </c>
    </row>
    <row r="81" spans="1:10" x14ac:dyDescent="0.35">
      <c r="A81" s="6" t="s">
        <v>252</v>
      </c>
      <c r="D81" s="16">
        <v>4.4993143205232016E-5</v>
      </c>
      <c r="E81" s="6" t="s">
        <v>8</v>
      </c>
      <c r="F81" s="6" t="s">
        <v>63</v>
      </c>
      <c r="G81" s="6" t="s">
        <v>64</v>
      </c>
      <c r="H81" s="6" t="s">
        <v>72</v>
      </c>
      <c r="J81" s="6" t="s">
        <v>249</v>
      </c>
    </row>
    <row r="82" spans="1:10" x14ac:dyDescent="0.35">
      <c r="A82" s="6" t="s">
        <v>74</v>
      </c>
      <c r="D82" s="16">
        <v>2.2496571602616011E-5</v>
      </c>
      <c r="E82" s="6" t="s">
        <v>8</v>
      </c>
      <c r="F82" s="6" t="s">
        <v>63</v>
      </c>
      <c r="G82" s="6" t="s">
        <v>64</v>
      </c>
      <c r="H82" s="6" t="s">
        <v>72</v>
      </c>
      <c r="J82" s="6" t="s">
        <v>249</v>
      </c>
    </row>
    <row r="83" spans="1:10" x14ac:dyDescent="0.35">
      <c r="A83" s="6" t="s">
        <v>71</v>
      </c>
      <c r="D83" s="16">
        <v>5.6241429006540021E-2</v>
      </c>
      <c r="E83" s="6" t="s">
        <v>8</v>
      </c>
      <c r="F83" s="6" t="s">
        <v>63</v>
      </c>
      <c r="G83" s="6" t="s">
        <v>64</v>
      </c>
      <c r="H83" s="6" t="s">
        <v>72</v>
      </c>
      <c r="J83" s="6" t="s">
        <v>249</v>
      </c>
    </row>
    <row r="84" spans="1:10" x14ac:dyDescent="0.35">
      <c r="A84" s="6" t="s">
        <v>242</v>
      </c>
      <c r="D84" s="16">
        <v>1.1248285801308006E-5</v>
      </c>
      <c r="E84" s="6" t="s">
        <v>8</v>
      </c>
      <c r="F84" s="6" t="s">
        <v>63</v>
      </c>
      <c r="G84" s="6" t="s">
        <v>64</v>
      </c>
      <c r="H84" s="6" t="s">
        <v>72</v>
      </c>
      <c r="J84" s="6" t="s">
        <v>249</v>
      </c>
    </row>
    <row r="85" spans="1:10" x14ac:dyDescent="0.35">
      <c r="A85" s="6" t="s">
        <v>73</v>
      </c>
      <c r="D85" s="16">
        <v>2.2496571602616017E-8</v>
      </c>
      <c r="E85" s="6" t="s">
        <v>8</v>
      </c>
      <c r="F85" s="6" t="s">
        <v>63</v>
      </c>
      <c r="G85" s="6" t="s">
        <v>64</v>
      </c>
      <c r="H85" s="6" t="s">
        <v>105</v>
      </c>
      <c r="J85" s="6" t="s">
        <v>258</v>
      </c>
    </row>
    <row r="86" spans="1:10" x14ac:dyDescent="0.35">
      <c r="A86" s="6" t="s">
        <v>233</v>
      </c>
      <c r="D86" s="16">
        <v>1.0123457221177204E-9</v>
      </c>
      <c r="E86" s="6" t="s">
        <v>8</v>
      </c>
      <c r="F86" s="6" t="s">
        <v>63</v>
      </c>
      <c r="G86" s="6" t="s">
        <v>64</v>
      </c>
      <c r="H86" s="6" t="s">
        <v>105</v>
      </c>
      <c r="J86" s="6" t="s">
        <v>258</v>
      </c>
    </row>
    <row r="87" spans="1:10" x14ac:dyDescent="0.35">
      <c r="A87" s="6" t="s">
        <v>236</v>
      </c>
      <c r="D87" s="16">
        <v>2.2496571602616014E-7</v>
      </c>
      <c r="E87" s="6" t="s">
        <v>8</v>
      </c>
      <c r="F87" s="6" t="s">
        <v>63</v>
      </c>
      <c r="G87" s="6" t="s">
        <v>64</v>
      </c>
      <c r="H87" s="6" t="s">
        <v>105</v>
      </c>
      <c r="J87" s="6" t="s">
        <v>258</v>
      </c>
    </row>
    <row r="88" spans="1:10" x14ac:dyDescent="0.35">
      <c r="A88" s="6" t="s">
        <v>238</v>
      </c>
      <c r="D88" s="16">
        <v>1.0123457221177207E-7</v>
      </c>
      <c r="E88" s="6" t="s">
        <v>8</v>
      </c>
      <c r="F88" s="6" t="s">
        <v>63</v>
      </c>
      <c r="G88" s="6" t="s">
        <v>64</v>
      </c>
      <c r="H88" s="6" t="s">
        <v>105</v>
      </c>
      <c r="J88" s="6" t="s">
        <v>258</v>
      </c>
    </row>
    <row r="89" spans="1:10" x14ac:dyDescent="0.35">
      <c r="A89" s="6" t="s">
        <v>93</v>
      </c>
      <c r="D89" s="16">
        <v>5.6241429006540022E-10</v>
      </c>
      <c r="E89" s="6" t="s">
        <v>8</v>
      </c>
      <c r="F89" s="6" t="s">
        <v>63</v>
      </c>
      <c r="G89" s="6" t="s">
        <v>64</v>
      </c>
      <c r="H89" s="6" t="s">
        <v>105</v>
      </c>
      <c r="J89" s="6" t="s">
        <v>258</v>
      </c>
    </row>
    <row r="90" spans="1:10" x14ac:dyDescent="0.35">
      <c r="A90" s="6" t="s">
        <v>242</v>
      </c>
      <c r="D90" s="16">
        <v>1.0123457221177207E-7</v>
      </c>
      <c r="E90" s="6" t="s">
        <v>8</v>
      </c>
      <c r="F90" s="6" t="s">
        <v>63</v>
      </c>
      <c r="G90" s="6" t="s">
        <v>64</v>
      </c>
      <c r="H90" s="6" t="s">
        <v>105</v>
      </c>
      <c r="J90" s="6" t="s">
        <v>258</v>
      </c>
    </row>
    <row r="91" spans="1:10" x14ac:dyDescent="0.35">
      <c r="A91" s="6" t="s">
        <v>259</v>
      </c>
      <c r="D91" s="16">
        <v>3.3744857403924021E-9</v>
      </c>
      <c r="E91" s="6" t="s">
        <v>8</v>
      </c>
      <c r="F91" s="6" t="s">
        <v>63</v>
      </c>
      <c r="G91" s="6" t="s">
        <v>64</v>
      </c>
      <c r="H91" s="6" t="s">
        <v>105</v>
      </c>
      <c r="J91" s="6" t="s">
        <v>258</v>
      </c>
    </row>
    <row r="92" spans="1:10" x14ac:dyDescent="0.35">
      <c r="A92" s="6" t="s">
        <v>73</v>
      </c>
      <c r="D92" s="16">
        <v>6.7489714807848016E-7</v>
      </c>
      <c r="E92" s="6" t="s">
        <v>8</v>
      </c>
      <c r="F92" s="6" t="s">
        <v>63</v>
      </c>
      <c r="G92" s="6" t="s">
        <v>64</v>
      </c>
      <c r="H92" s="6" t="s">
        <v>72</v>
      </c>
      <c r="J92" s="6" t="s">
        <v>249</v>
      </c>
    </row>
    <row r="93" spans="1:10" x14ac:dyDescent="0.35">
      <c r="A93" s="6" t="s">
        <v>236</v>
      </c>
      <c r="D93" s="16">
        <v>1.1248285801308004E-6</v>
      </c>
      <c r="E93" s="6" t="s">
        <v>8</v>
      </c>
      <c r="F93" s="6" t="s">
        <v>63</v>
      </c>
      <c r="G93" s="6" t="s">
        <v>64</v>
      </c>
      <c r="H93" s="6" t="s">
        <v>72</v>
      </c>
      <c r="J93" s="6" t="s">
        <v>249</v>
      </c>
    </row>
    <row r="94" spans="1:10" x14ac:dyDescent="0.35">
      <c r="A94" s="6" t="s">
        <v>238</v>
      </c>
      <c r="D94" s="16">
        <v>2.2496571602616009E-6</v>
      </c>
      <c r="E94" s="6" t="s">
        <v>8</v>
      </c>
      <c r="F94" s="6" t="s">
        <v>63</v>
      </c>
      <c r="G94" s="6" t="s">
        <v>64</v>
      </c>
      <c r="H94" s="6" t="s">
        <v>72</v>
      </c>
      <c r="J94" s="6" t="s">
        <v>249</v>
      </c>
    </row>
    <row r="95" spans="1:10" x14ac:dyDescent="0.35">
      <c r="A95" s="6" t="s">
        <v>259</v>
      </c>
      <c r="D95" s="16">
        <v>4.4993143205232023E-7</v>
      </c>
      <c r="E95" s="6" t="s">
        <v>8</v>
      </c>
      <c r="F95" s="6" t="s">
        <v>63</v>
      </c>
      <c r="G95" s="6" t="s">
        <v>64</v>
      </c>
      <c r="H95" s="6" t="s">
        <v>72</v>
      </c>
      <c r="J95" s="6" t="s">
        <v>249</v>
      </c>
    </row>
    <row r="96" spans="1:10" x14ac:dyDescent="0.35">
      <c r="A96" s="6" t="s">
        <v>251</v>
      </c>
      <c r="D96" s="16">
        <v>3.3744857403924024E-5</v>
      </c>
      <c r="E96" s="6" t="s">
        <v>8</v>
      </c>
      <c r="F96" s="6" t="s">
        <v>63</v>
      </c>
      <c r="G96" s="6" t="s">
        <v>64</v>
      </c>
      <c r="H96" s="6" t="s">
        <v>72</v>
      </c>
      <c r="J96" s="6" t="s">
        <v>249</v>
      </c>
    </row>
    <row r="97" spans="1:10" x14ac:dyDescent="0.35">
      <c r="A97" s="6" t="s">
        <v>252</v>
      </c>
      <c r="D97" s="16">
        <v>2.2496571602616011E-5</v>
      </c>
      <c r="E97" s="6" t="s">
        <v>8</v>
      </c>
      <c r="F97" s="6" t="s">
        <v>63</v>
      </c>
      <c r="G97" s="6" t="s">
        <v>64</v>
      </c>
      <c r="H97" s="6" t="s">
        <v>72</v>
      </c>
      <c r="J97" s="6" t="s">
        <v>249</v>
      </c>
    </row>
    <row r="98" spans="1:10" x14ac:dyDescent="0.35">
      <c r="A98" s="6" t="s">
        <v>74</v>
      </c>
      <c r="D98" s="16">
        <v>1.0123457221177202E-5</v>
      </c>
      <c r="E98" s="6" t="s">
        <v>8</v>
      </c>
      <c r="F98" s="6" t="s">
        <v>63</v>
      </c>
      <c r="G98" s="6" t="s">
        <v>64</v>
      </c>
      <c r="H98" s="6" t="s">
        <v>72</v>
      </c>
      <c r="J98" s="6" t="s">
        <v>249</v>
      </c>
    </row>
    <row r="99" spans="1:10" x14ac:dyDescent="0.35">
      <c r="A99" s="6" t="s">
        <v>73</v>
      </c>
      <c r="D99" s="16">
        <v>8.9986286410464068E-7</v>
      </c>
      <c r="E99" s="6" t="s">
        <v>8</v>
      </c>
      <c r="F99" s="6" t="s">
        <v>63</v>
      </c>
      <c r="G99" s="6" t="s">
        <v>64</v>
      </c>
      <c r="H99" s="6" t="s">
        <v>105</v>
      </c>
      <c r="J99" s="6" t="s">
        <v>258</v>
      </c>
    </row>
    <row r="100" spans="1:10" x14ac:dyDescent="0.35">
      <c r="A100" s="6" t="s">
        <v>233</v>
      </c>
      <c r="D100" s="16">
        <v>5.6241429006540042E-4</v>
      </c>
      <c r="E100" s="6" t="s">
        <v>8</v>
      </c>
      <c r="F100" s="6" t="s">
        <v>63</v>
      </c>
      <c r="G100" s="6" t="s">
        <v>64</v>
      </c>
      <c r="H100" s="6" t="s">
        <v>105</v>
      </c>
      <c r="J100" s="6" t="s">
        <v>258</v>
      </c>
    </row>
    <row r="101" spans="1:10" x14ac:dyDescent="0.35">
      <c r="A101" s="6" t="s">
        <v>236</v>
      </c>
      <c r="D101" s="16">
        <v>1.1248285801308006E-5</v>
      </c>
      <c r="E101" s="6" t="s">
        <v>8</v>
      </c>
      <c r="F101" s="6" t="s">
        <v>63</v>
      </c>
      <c r="G101" s="6" t="s">
        <v>64</v>
      </c>
      <c r="H101" s="6" t="s">
        <v>105</v>
      </c>
      <c r="J101" s="6" t="s">
        <v>258</v>
      </c>
    </row>
    <row r="102" spans="1:10" x14ac:dyDescent="0.35">
      <c r="A102" s="6" t="s">
        <v>238</v>
      </c>
      <c r="D102" s="16">
        <v>7.8738000609156042E-7</v>
      </c>
      <c r="E102" s="6" t="s">
        <v>8</v>
      </c>
      <c r="F102" s="6" t="s">
        <v>63</v>
      </c>
      <c r="G102" s="6" t="s">
        <v>64</v>
      </c>
      <c r="H102" s="6" t="s">
        <v>105</v>
      </c>
      <c r="J102" s="6" t="s">
        <v>258</v>
      </c>
    </row>
    <row r="103" spans="1:10" x14ac:dyDescent="0.35">
      <c r="A103" s="6" t="s">
        <v>93</v>
      </c>
      <c r="D103" s="16">
        <v>1.1248285801308006E-9</v>
      </c>
      <c r="E103" s="6" t="s">
        <v>8</v>
      </c>
      <c r="F103" s="6" t="s">
        <v>63</v>
      </c>
      <c r="G103" s="6" t="s">
        <v>64</v>
      </c>
      <c r="H103" s="6" t="s">
        <v>105</v>
      </c>
      <c r="J103" s="6" t="s">
        <v>258</v>
      </c>
    </row>
    <row r="104" spans="1:10" x14ac:dyDescent="0.35">
      <c r="A104" s="6" t="s">
        <v>259</v>
      </c>
      <c r="D104" s="16">
        <v>1.1248285801308004E-6</v>
      </c>
      <c r="E104" s="6" t="s">
        <v>8</v>
      </c>
      <c r="F104" s="6" t="s">
        <v>63</v>
      </c>
      <c r="G104" s="6" t="s">
        <v>64</v>
      </c>
      <c r="H104" s="6" t="s">
        <v>105</v>
      </c>
      <c r="J104" s="6" t="s">
        <v>258</v>
      </c>
    </row>
    <row r="105" spans="1:10" x14ac:dyDescent="0.35">
      <c r="A105" s="6" t="s">
        <v>242</v>
      </c>
      <c r="D105" s="16">
        <v>3.374485740392402E-6</v>
      </c>
      <c r="E105" s="6" t="s">
        <v>8</v>
      </c>
      <c r="F105" s="6" t="s">
        <v>63</v>
      </c>
      <c r="G105" s="6" t="s">
        <v>64</v>
      </c>
      <c r="H105" s="6" t="s">
        <v>105</v>
      </c>
      <c r="J105" s="6" t="s">
        <v>258</v>
      </c>
    </row>
    <row r="106" spans="1:10" s="13" customFormat="1" x14ac:dyDescent="0.35"/>
    <row r="107" spans="1:10" x14ac:dyDescent="0.35">
      <c r="A107" s="17" t="s">
        <v>0</v>
      </c>
      <c r="B107" s="17" t="s">
        <v>260</v>
      </c>
    </row>
    <row r="108" spans="1:10" x14ac:dyDescent="0.35">
      <c r="A108" s="8" t="s">
        <v>2</v>
      </c>
      <c r="B108" s="6" t="s">
        <v>261</v>
      </c>
    </row>
    <row r="109" spans="1:10" x14ac:dyDescent="0.35">
      <c r="A109" s="8" t="s">
        <v>4</v>
      </c>
      <c r="B109" s="6" t="s">
        <v>224</v>
      </c>
    </row>
    <row r="110" spans="1:10" x14ac:dyDescent="0.35">
      <c r="A110" s="8" t="s">
        <v>6</v>
      </c>
      <c r="B110" s="6">
        <v>1</v>
      </c>
    </row>
    <row r="111" spans="1:10" x14ac:dyDescent="0.35">
      <c r="A111" s="8" t="s">
        <v>7</v>
      </c>
      <c r="B111" s="6" t="s">
        <v>8</v>
      </c>
    </row>
    <row r="112" spans="1:10" ht="29" x14ac:dyDescent="0.35">
      <c r="A112" s="8" t="s">
        <v>9</v>
      </c>
      <c r="B112" s="15" t="s">
        <v>272</v>
      </c>
    </row>
    <row r="113" spans="1:14" x14ac:dyDescent="0.35">
      <c r="A113" s="8" t="s">
        <v>11</v>
      </c>
    </row>
    <row r="114" spans="1:14" x14ac:dyDescent="0.35">
      <c r="A114" s="17" t="s">
        <v>12</v>
      </c>
      <c r="B114" s="17" t="s">
        <v>2</v>
      </c>
      <c r="C114" s="17" t="s">
        <v>4</v>
      </c>
      <c r="D114" s="17" t="s">
        <v>6</v>
      </c>
      <c r="E114" s="17" t="s">
        <v>7</v>
      </c>
      <c r="F114" s="17" t="s">
        <v>13</v>
      </c>
      <c r="G114" s="17" t="s">
        <v>14</v>
      </c>
      <c r="H114" s="17" t="s">
        <v>15</v>
      </c>
      <c r="I114" s="17" t="s">
        <v>16</v>
      </c>
      <c r="J114" s="17" t="s">
        <v>17</v>
      </c>
      <c r="K114" s="17" t="s">
        <v>18</v>
      </c>
      <c r="L114" s="17" t="s">
        <v>19</v>
      </c>
      <c r="M114" s="17" t="s">
        <v>20</v>
      </c>
      <c r="N114" s="17" t="s">
        <v>21</v>
      </c>
    </row>
    <row r="115" spans="1:14" x14ac:dyDescent="0.35">
      <c r="A115" s="6" t="str">
        <f>B107</f>
        <v>[R] Precious metals refining</v>
      </c>
      <c r="B115" s="6" t="str">
        <f>B108</f>
        <v>Refined Gold (Au)</v>
      </c>
      <c r="C115" s="6" t="s">
        <v>224</v>
      </c>
      <c r="D115" s="6">
        <v>1</v>
      </c>
      <c r="E115" s="6" t="s">
        <v>8</v>
      </c>
      <c r="F115" s="9" t="str">
        <f>F70</f>
        <v>Gold</v>
      </c>
      <c r="G115" s="6" t="s">
        <v>22</v>
      </c>
    </row>
    <row r="116" spans="1:14" x14ac:dyDescent="0.35">
      <c r="A116" s="6" t="s">
        <v>121</v>
      </c>
      <c r="B116" s="6" t="s">
        <v>40</v>
      </c>
      <c r="C116" s="6" t="s">
        <v>228</v>
      </c>
      <c r="D116" s="16">
        <v>22063.242910955923</v>
      </c>
      <c r="E116" s="6" t="s">
        <v>41</v>
      </c>
      <c r="F116" s="6" t="s">
        <v>23</v>
      </c>
      <c r="G116" s="6" t="s">
        <v>24</v>
      </c>
      <c r="J116" s="6" t="s">
        <v>245</v>
      </c>
    </row>
    <row r="117" spans="1:14" x14ac:dyDescent="0.35">
      <c r="A117" s="6" t="s">
        <v>44</v>
      </c>
      <c r="B117" s="6" t="s">
        <v>45</v>
      </c>
      <c r="C117" s="6" t="s">
        <v>257</v>
      </c>
      <c r="D117" s="16">
        <v>2496.4416085935504</v>
      </c>
      <c r="E117" s="6" t="s">
        <v>8</v>
      </c>
      <c r="F117" s="6" t="s">
        <v>23</v>
      </c>
      <c r="G117" s="6" t="s">
        <v>24</v>
      </c>
      <c r="J117" s="6" t="s">
        <v>245</v>
      </c>
    </row>
    <row r="118" spans="1:14" x14ac:dyDescent="0.35">
      <c r="A118" s="6" t="s">
        <v>262</v>
      </c>
      <c r="B118" s="6" t="s">
        <v>263</v>
      </c>
      <c r="C118" s="6" t="s">
        <v>248</v>
      </c>
      <c r="D118" s="16">
        <v>6805221.0277299099</v>
      </c>
      <c r="E118" s="6" t="s">
        <v>8</v>
      </c>
      <c r="F118" s="6" t="s">
        <v>23</v>
      </c>
      <c r="G118" s="6" t="s">
        <v>24</v>
      </c>
      <c r="J118" s="6" t="s">
        <v>249</v>
      </c>
    </row>
    <row r="119" spans="1:14" x14ac:dyDescent="0.35">
      <c r="A119" s="6" t="s">
        <v>238</v>
      </c>
      <c r="D119" s="16">
        <v>0.7163390555505168</v>
      </c>
      <c r="E119" s="6" t="s">
        <v>8</v>
      </c>
      <c r="F119" s="6" t="s">
        <v>63</v>
      </c>
      <c r="G119" s="6" t="s">
        <v>64</v>
      </c>
      <c r="H119" s="6" t="s">
        <v>72</v>
      </c>
      <c r="J119" s="6" t="s">
        <v>249</v>
      </c>
    </row>
    <row r="120" spans="1:14" x14ac:dyDescent="0.35">
      <c r="A120" s="6" t="s">
        <v>264</v>
      </c>
      <c r="D120" s="16">
        <v>0.7163390555505168</v>
      </c>
      <c r="E120" s="6" t="s">
        <v>8</v>
      </c>
      <c r="F120" s="6" t="s">
        <v>63</v>
      </c>
      <c r="G120" s="6" t="s">
        <v>64</v>
      </c>
      <c r="H120" s="6" t="s">
        <v>72</v>
      </c>
      <c r="J120" s="6" t="s">
        <v>249</v>
      </c>
    </row>
    <row r="121" spans="1:14" x14ac:dyDescent="0.35">
      <c r="A121" s="6" t="s">
        <v>265</v>
      </c>
      <c r="D121" s="16">
        <v>2.1490171666515505</v>
      </c>
      <c r="E121" s="6" t="s">
        <v>8</v>
      </c>
      <c r="F121" s="6" t="s">
        <v>63</v>
      </c>
      <c r="G121" s="6" t="s">
        <v>64</v>
      </c>
      <c r="H121" s="6" t="s">
        <v>72</v>
      </c>
      <c r="J121" s="6" t="s">
        <v>249</v>
      </c>
    </row>
    <row r="122" spans="1:14" x14ac:dyDescent="0.35">
      <c r="A122" s="6" t="s">
        <v>251</v>
      </c>
      <c r="D122" s="16">
        <v>5.7307124444041344</v>
      </c>
      <c r="E122" s="6" t="s">
        <v>8</v>
      </c>
      <c r="F122" s="6" t="s">
        <v>63</v>
      </c>
      <c r="G122" s="6" t="s">
        <v>64</v>
      </c>
      <c r="H122" s="6" t="s">
        <v>72</v>
      </c>
      <c r="J122" s="6" t="s">
        <v>249</v>
      </c>
    </row>
    <row r="123" spans="1:14" x14ac:dyDescent="0.35">
      <c r="A123" s="6" t="s">
        <v>252</v>
      </c>
      <c r="D123" s="16">
        <v>3.5816952777525852</v>
      </c>
      <c r="E123" s="6" t="s">
        <v>8</v>
      </c>
      <c r="F123" s="6" t="s">
        <v>63</v>
      </c>
      <c r="G123" s="6" t="s">
        <v>64</v>
      </c>
      <c r="H123" s="6" t="s">
        <v>72</v>
      </c>
      <c r="J123" s="6" t="s">
        <v>249</v>
      </c>
    </row>
    <row r="124" spans="1:14" x14ac:dyDescent="0.35">
      <c r="A124" s="6" t="s">
        <v>74</v>
      </c>
      <c r="D124" s="16">
        <v>2.1490171666515505</v>
      </c>
      <c r="E124" s="6" t="s">
        <v>8</v>
      </c>
      <c r="F124" s="6" t="s">
        <v>63</v>
      </c>
      <c r="G124" s="6" t="s">
        <v>64</v>
      </c>
      <c r="H124" s="6" t="s">
        <v>72</v>
      </c>
      <c r="J124" s="6" t="s">
        <v>249</v>
      </c>
    </row>
    <row r="125" spans="1:14" x14ac:dyDescent="0.35">
      <c r="A125" s="6" t="s">
        <v>266</v>
      </c>
      <c r="D125" s="16">
        <v>42.980343333031001</v>
      </c>
      <c r="E125" s="6" t="s">
        <v>8</v>
      </c>
      <c r="F125" s="6" t="s">
        <v>63</v>
      </c>
      <c r="G125" s="6" t="s">
        <v>64</v>
      </c>
      <c r="H125" s="6" t="s">
        <v>72</v>
      </c>
      <c r="J125" s="6" t="s">
        <v>249</v>
      </c>
    </row>
    <row r="126" spans="1:14" x14ac:dyDescent="0.35">
      <c r="A126" s="6" t="s">
        <v>71</v>
      </c>
      <c r="D126" s="16">
        <v>143.26781111010337</v>
      </c>
      <c r="E126" s="6" t="s">
        <v>8</v>
      </c>
      <c r="F126" s="6" t="s">
        <v>63</v>
      </c>
      <c r="G126" s="6" t="s">
        <v>64</v>
      </c>
      <c r="H126" s="6" t="s">
        <v>72</v>
      </c>
      <c r="J126" s="6" t="s">
        <v>249</v>
      </c>
    </row>
    <row r="127" spans="1:14" s="18" customFormat="1" x14ac:dyDescent="0.35"/>
    <row r="128" spans="1:14" x14ac:dyDescent="0.35">
      <c r="A128" s="17" t="s">
        <v>0</v>
      </c>
      <c r="B128" s="17" t="s">
        <v>267</v>
      </c>
    </row>
    <row r="129" spans="1:14" x14ac:dyDescent="0.35">
      <c r="A129" s="8" t="s">
        <v>2</v>
      </c>
      <c r="B129" s="6" t="s">
        <v>3</v>
      </c>
    </row>
    <row r="130" spans="1:14" x14ac:dyDescent="0.35">
      <c r="A130" s="8" t="s">
        <v>4</v>
      </c>
      <c r="B130" s="6" t="s">
        <v>224</v>
      </c>
    </row>
    <row r="131" spans="1:14" x14ac:dyDescent="0.35">
      <c r="A131" s="8" t="s">
        <v>6</v>
      </c>
      <c r="B131" s="6">
        <v>1</v>
      </c>
    </row>
    <row r="132" spans="1:14" x14ac:dyDescent="0.35">
      <c r="A132" s="8" t="s">
        <v>7</v>
      </c>
      <c r="B132" s="6" t="s">
        <v>8</v>
      </c>
    </row>
    <row r="133" spans="1:14" ht="29" x14ac:dyDescent="0.35">
      <c r="A133" s="8" t="s">
        <v>9</v>
      </c>
      <c r="B133" s="15" t="s">
        <v>268</v>
      </c>
    </row>
    <row r="134" spans="1:14" x14ac:dyDescent="0.35">
      <c r="A134" s="8" t="s">
        <v>11</v>
      </c>
    </row>
    <row r="135" spans="1:14" x14ac:dyDescent="0.35">
      <c r="A135" s="17" t="s">
        <v>12</v>
      </c>
      <c r="B135" s="17" t="s">
        <v>2</v>
      </c>
      <c r="C135" s="17" t="s">
        <v>4</v>
      </c>
      <c r="D135" s="17" t="s">
        <v>6</v>
      </c>
      <c r="E135" s="17" t="s">
        <v>7</v>
      </c>
      <c r="F135" s="17" t="s">
        <v>13</v>
      </c>
      <c r="G135" s="17" t="s">
        <v>14</v>
      </c>
      <c r="H135" s="17" t="s">
        <v>15</v>
      </c>
      <c r="I135" s="17" t="s">
        <v>16</v>
      </c>
      <c r="J135" s="17" t="s">
        <v>17</v>
      </c>
      <c r="K135" s="17" t="s">
        <v>18</v>
      </c>
      <c r="L135" s="17" t="s">
        <v>19</v>
      </c>
      <c r="M135" s="17" t="s">
        <v>20</v>
      </c>
      <c r="N135" s="17" t="s">
        <v>21</v>
      </c>
    </row>
    <row r="136" spans="1:14" x14ac:dyDescent="0.35">
      <c r="A136" s="6" t="str">
        <f>B128</f>
        <v>Au production in Europe through WEEE recycling</v>
      </c>
      <c r="B136" s="6" t="str">
        <f>B129</f>
        <v>Refined Au</v>
      </c>
      <c r="C136" s="6" t="s">
        <v>224</v>
      </c>
      <c r="D136" s="6">
        <v>1</v>
      </c>
      <c r="E136" s="6" t="s">
        <v>8</v>
      </c>
      <c r="F136" s="9" t="str">
        <f>F115</f>
        <v>Gold</v>
      </c>
      <c r="G136" s="6" t="s">
        <v>22</v>
      </c>
    </row>
    <row r="137" spans="1:14" s="9" customFormat="1" x14ac:dyDescent="0.35">
      <c r="A137" s="19" t="str">
        <f>A115</f>
        <v>[R] Precious metals refining</v>
      </c>
      <c r="B137" s="19" t="str">
        <f>B115</f>
        <v>Refined Gold (Au)</v>
      </c>
      <c r="C137" s="19" t="str">
        <f>C115</f>
        <v>Europe</v>
      </c>
      <c r="D137" s="19">
        <v>1</v>
      </c>
      <c r="E137" s="19" t="str">
        <f>E115</f>
        <v>kilogram</v>
      </c>
      <c r="F137" s="9" t="str">
        <f>F115</f>
        <v>Gold</v>
      </c>
      <c r="G137" s="6" t="s">
        <v>24</v>
      </c>
    </row>
    <row r="138" spans="1:14" x14ac:dyDescent="0.35">
      <c r="A138" s="6" t="str">
        <f>A70</f>
        <v>[R] Metals refining</v>
      </c>
      <c r="B138" s="6" t="str">
        <f t="shared" ref="B138:F138" si="0">B70</f>
        <v>Precious metals</v>
      </c>
      <c r="C138" s="6" t="str">
        <f t="shared" si="0"/>
        <v>Europe</v>
      </c>
      <c r="D138" s="16">
        <v>2109.3405510100938</v>
      </c>
      <c r="E138" s="6" t="str">
        <f t="shared" si="0"/>
        <v>kilogram</v>
      </c>
      <c r="F138" s="9" t="str">
        <f t="shared" si="0"/>
        <v>Gold</v>
      </c>
      <c r="G138" s="6" t="s">
        <v>24</v>
      </c>
    </row>
    <row r="139" spans="1:14" x14ac:dyDescent="0.35">
      <c r="A139" s="6" t="str">
        <f>A45</f>
        <v>[P] Melting - Kaldo Plant</v>
      </c>
      <c r="B139" s="6" t="str">
        <f t="shared" ref="B139:F139" si="1">B45</f>
        <v>Melted metals</v>
      </c>
      <c r="C139" s="6" t="str">
        <f t="shared" si="1"/>
        <v>Europe</v>
      </c>
      <c r="D139" s="16">
        <v>1510.3557630859673</v>
      </c>
      <c r="E139" s="6" t="str">
        <f t="shared" si="1"/>
        <v>kilogram</v>
      </c>
      <c r="F139" s="9" t="str">
        <f t="shared" si="1"/>
        <v>Gold</v>
      </c>
      <c r="G139" s="6" t="s">
        <v>24</v>
      </c>
    </row>
    <row r="140" spans="1:14" x14ac:dyDescent="0.35">
      <c r="A140" s="6" t="str">
        <f>A19</f>
        <v xml:space="preserve">[C] WEEE pre-treatment </v>
      </c>
      <c r="B140" s="6" t="str">
        <f t="shared" ref="B140:F140" si="2">B19</f>
        <v>Metal fraction</v>
      </c>
      <c r="C140" s="6" t="str">
        <f t="shared" si="2"/>
        <v>Europe</v>
      </c>
      <c r="D140" s="16">
        <v>14304.235380739081</v>
      </c>
      <c r="E140" s="6" t="str">
        <f t="shared" si="2"/>
        <v>kilogram</v>
      </c>
      <c r="F140" s="9" t="str">
        <f t="shared" si="2"/>
        <v>Gold</v>
      </c>
      <c r="G140" s="6" t="s">
        <v>24</v>
      </c>
    </row>
    <row r="141" spans="1:14" x14ac:dyDescent="0.35">
      <c r="A141" s="6" t="str">
        <f>A9</f>
        <v>High-grade waste electrical and electronic equipment (WEEE)</v>
      </c>
      <c r="B141" s="6" t="str">
        <f t="shared" ref="B141:F141" si="3">B9</f>
        <v>High-grade WEEE</v>
      </c>
      <c r="C141" s="6" t="str">
        <f t="shared" si="3"/>
        <v>Europe</v>
      </c>
      <c r="D141" s="16">
        <v>72804.198405960269</v>
      </c>
      <c r="E141" s="6" t="str">
        <f t="shared" si="3"/>
        <v>kilogram</v>
      </c>
      <c r="F141" s="9" t="str">
        <f t="shared" si="3"/>
        <v>Gold</v>
      </c>
      <c r="G141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75D27E-1B87-400D-886F-79FE66C57CA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7D5D9AEE-8585-41F3-BE4C-E4D8F6078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BB77A6-F983-4E6C-A842-C9B9848B06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Note</vt:lpstr>
      <vt:lpstr>Au_Market_GLO</vt:lpstr>
      <vt:lpstr>PR1_Au_CN_Qinghai</vt:lpstr>
      <vt:lpstr>PR2_Au_PE_Alluvial_Carretilla</vt:lpstr>
      <vt:lpstr>PR3_Au_PE_Alluvial_Traca</vt:lpstr>
      <vt:lpstr>PR4_Au_PE_Alluvial_Caranchera</vt:lpstr>
      <vt:lpstr>PR5_Au_PE_Alluvial_Dredge</vt:lpstr>
      <vt:lpstr>PR6_Au_PE_Alluvial_PartialChute</vt:lpstr>
      <vt:lpstr>PR7_Au_PE_Alluvial_Chute</vt:lpstr>
      <vt:lpstr>PR8_Au_CO_OpenPit</vt:lpstr>
      <vt:lpstr>PR9_Au_CO_Alluvial</vt:lpstr>
      <vt:lpstr>PR10_Au_PE_OpenPit</vt:lpstr>
      <vt:lpstr>PR11_Au_CN_CuSlime</vt:lpstr>
      <vt:lpstr>PR12_Au_AU</vt:lpstr>
      <vt:lpstr>PR13_Au_ZA</vt:lpstr>
      <vt:lpstr>PR14_Au_RER_Recycling_WEEE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2025-06-30T08:06:55Z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