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Li_Lithium/"/>
    </mc:Choice>
  </mc:AlternateContent>
  <xr:revisionPtr revIDLastSave="241" documentId="8_{255C1BCC-A7B9-48A3-AB09-6B2D5560E7BF}" xr6:coauthVersionLast="47" xr6:coauthVersionMax="47" xr10:uidLastSave="{9466FB24-4EC1-4A77-A8B6-33FCBAEFC1A3}"/>
  <bookViews>
    <workbookView xWindow="-120" yWindow="-120" windowWidth="29040" windowHeight="15840" tabRatio="885" xr2:uid="{00000000-000D-0000-FFFF-FFFF00000000}"/>
  </bookViews>
  <sheets>
    <sheet name="Note" sheetId="1" r:id="rId1"/>
    <sheet name="Li_Market_GLO" sheetId="8" r:id="rId2"/>
    <sheet name="PR1_Li2CO3_AR_Cauchari_Brines" sheetId="18" r:id="rId3"/>
    <sheet name="PR2_Li2CO3_CL_Atacama_Brines" sheetId="19" r:id="rId4"/>
    <sheet name="PR3_LiOH_CL_Atacama_Brines" sheetId="20" r:id="rId5"/>
    <sheet name="PR4_Li2CO3_AU_CN_She_Spodumene" sheetId="21" r:id="rId6"/>
    <sheet name="PR5_LiOH_AU_CN_She_Spodumene" sheetId="22" r:id="rId7"/>
    <sheet name="PR6_Li2CO3_CN_Zha" sheetId="23" r:id="rId8"/>
    <sheet name="PR7_Li2CO3_AR_Olaroz_Brines" sheetId="13" r:id="rId9"/>
    <sheet name="PR8_Li2CO3_CN_Chaerhan_Brines" sheetId="15" r:id="rId10"/>
    <sheet name="PR9_Li2CO3_AR_HombreM_Brine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C39" i="8"/>
  <c r="E39" i="8"/>
  <c r="F39" i="8"/>
  <c r="A39" i="8"/>
  <c r="B38" i="8"/>
  <c r="C38" i="8"/>
  <c r="E38" i="8"/>
  <c r="F38" i="8"/>
  <c r="A38" i="8"/>
  <c r="B37" i="8"/>
  <c r="C37" i="8"/>
  <c r="E37" i="8"/>
  <c r="F37" i="8"/>
  <c r="A37" i="8"/>
  <c r="B36" i="8"/>
  <c r="C36" i="8"/>
  <c r="E36" i="8"/>
  <c r="F36" i="8"/>
  <c r="A36" i="8"/>
  <c r="B35" i="8"/>
  <c r="C35" i="8"/>
  <c r="E35" i="8"/>
  <c r="F35" i="8"/>
  <c r="A35" i="8"/>
  <c r="B34" i="8"/>
  <c r="C34" i="8"/>
  <c r="E34" i="8"/>
  <c r="F34" i="8"/>
  <c r="A34" i="8"/>
  <c r="B33" i="8"/>
  <c r="C33" i="8"/>
  <c r="E33" i="8"/>
  <c r="F33" i="8"/>
  <c r="A33" i="8"/>
  <c r="B32" i="8"/>
  <c r="C32" i="8"/>
  <c r="E32" i="8"/>
  <c r="F32" i="8"/>
  <c r="A32" i="8"/>
  <c r="B31" i="8"/>
  <c r="C31" i="8"/>
  <c r="E31" i="8"/>
  <c r="F31" i="8"/>
  <c r="A31" i="8"/>
  <c r="B20" i="8" l="1"/>
  <c r="C20" i="8"/>
  <c r="E20" i="8"/>
  <c r="F20" i="8"/>
  <c r="A20" i="8"/>
  <c r="B19" i="8"/>
  <c r="C19" i="8"/>
  <c r="E19" i="8"/>
  <c r="F19" i="8"/>
  <c r="A19" i="8"/>
  <c r="B18" i="8"/>
  <c r="C18" i="8"/>
  <c r="E18" i="8"/>
  <c r="F18" i="8"/>
  <c r="A18" i="8"/>
  <c r="B17" i="8"/>
  <c r="C17" i="8"/>
  <c r="E17" i="8"/>
  <c r="F17" i="8"/>
  <c r="A17" i="8"/>
  <c r="B16" i="8"/>
  <c r="C16" i="8"/>
  <c r="E16" i="8"/>
  <c r="F16" i="8"/>
  <c r="A16" i="8"/>
  <c r="B15" i="8"/>
  <c r="C15" i="8"/>
  <c r="E15" i="8"/>
  <c r="F15" i="8"/>
  <c r="A15" i="8"/>
  <c r="B14" i="8"/>
  <c r="C14" i="8"/>
  <c r="E14" i="8"/>
  <c r="F14" i="8"/>
  <c r="A14" i="8"/>
  <c r="B13" i="8"/>
  <c r="C13" i="8"/>
  <c r="E13" i="8"/>
  <c r="F13" i="8"/>
  <c r="A13" i="8"/>
  <c r="B12" i="8"/>
  <c r="C12" i="8"/>
  <c r="E12" i="8"/>
  <c r="F12" i="8"/>
  <c r="A12" i="8"/>
  <c r="F9" i="15"/>
  <c r="F9" i="13"/>
  <c r="F87" i="13" s="1"/>
  <c r="F99" i="13" s="1"/>
  <c r="C97" i="13"/>
  <c r="B97" i="13"/>
  <c r="A97" i="13"/>
  <c r="E87" i="13"/>
  <c r="E99" i="13" s="1"/>
  <c r="E86" i="13"/>
  <c r="E98" i="13" s="1"/>
  <c r="C85" i="13"/>
  <c r="B85" i="13"/>
  <c r="A85" i="13"/>
  <c r="C73" i="13"/>
  <c r="B73" i="13"/>
  <c r="A73" i="13"/>
  <c r="C27" i="13"/>
  <c r="C86" i="13" s="1"/>
  <c r="C98" i="13" s="1"/>
  <c r="B27" i="13"/>
  <c r="B86" i="13" s="1"/>
  <c r="B98" i="13" s="1"/>
  <c r="A27" i="13"/>
  <c r="A86" i="13" s="1"/>
  <c r="A98" i="13" s="1"/>
  <c r="C9" i="13"/>
  <c r="C87" i="13" s="1"/>
  <c r="C99" i="13" s="1"/>
  <c r="B9" i="13"/>
  <c r="B87" i="13" s="1"/>
  <c r="B99" i="13" s="1"/>
  <c r="A9" i="13"/>
  <c r="A87" i="13" s="1"/>
  <c r="A99" i="13" s="1"/>
  <c r="F27" i="13" l="1"/>
  <c r="F85" i="13" l="1"/>
  <c r="F97" i="13" s="1"/>
  <c r="F73" i="13"/>
  <c r="F86" i="13"/>
  <c r="F98" i="13" s="1"/>
  <c r="G76" i="23" l="1"/>
  <c r="G75" i="23"/>
  <c r="C74" i="23"/>
  <c r="B74" i="23"/>
  <c r="A74" i="23"/>
  <c r="C64" i="23"/>
  <c r="C76" i="23" s="1"/>
  <c r="E64" i="23"/>
  <c r="E76" i="23" s="1"/>
  <c r="C62" i="23"/>
  <c r="B62" i="23"/>
  <c r="A62" i="23"/>
  <c r="E63" i="23"/>
  <c r="E75" i="23" s="1"/>
  <c r="A63" i="23"/>
  <c r="A75" i="23" s="1"/>
  <c r="F9" i="23"/>
  <c r="F62" i="23" s="1"/>
  <c r="F74" i="23" s="1"/>
  <c r="C9" i="23"/>
  <c r="C63" i="23" s="1"/>
  <c r="C75" i="23" s="1"/>
  <c r="B9" i="23"/>
  <c r="B63" i="23" s="1"/>
  <c r="B75" i="23" s="1"/>
  <c r="A9" i="23"/>
  <c r="G42" i="22"/>
  <c r="B41" i="22"/>
  <c r="G41" i="22"/>
  <c r="C40" i="22"/>
  <c r="B40" i="22"/>
  <c r="A40" i="22"/>
  <c r="B30" i="22"/>
  <c r="B42" i="22" s="1"/>
  <c r="E30" i="22"/>
  <c r="E42" i="22" s="1"/>
  <c r="B29" i="22"/>
  <c r="C29" i="22"/>
  <c r="C41" i="22" s="1"/>
  <c r="E29" i="22"/>
  <c r="E41" i="22" s="1"/>
  <c r="F29" i="22"/>
  <c r="F41" i="22" s="1"/>
  <c r="F28" i="22"/>
  <c r="F40" i="22" s="1"/>
  <c r="C28" i="22"/>
  <c r="B28" i="22"/>
  <c r="A28" i="22"/>
  <c r="F9" i="22"/>
  <c r="C9" i="22"/>
  <c r="B9" i="22"/>
  <c r="A9" i="22"/>
  <c r="A29" i="22" s="1"/>
  <c r="A41" i="22" s="1"/>
  <c r="G68" i="21"/>
  <c r="G67" i="21"/>
  <c r="C66" i="21"/>
  <c r="B66" i="21"/>
  <c r="A66" i="21"/>
  <c r="C56" i="21"/>
  <c r="C68" i="21" s="1"/>
  <c r="E56" i="21"/>
  <c r="E68" i="21" s="1"/>
  <c r="E55" i="21"/>
  <c r="E67" i="21" s="1"/>
  <c r="C54" i="21"/>
  <c r="B54" i="21"/>
  <c r="A54" i="21"/>
  <c r="C35" i="21"/>
  <c r="C55" i="21" s="1"/>
  <c r="C67" i="21" s="1"/>
  <c r="B35" i="21"/>
  <c r="B55" i="21" s="1"/>
  <c r="B67" i="21" s="1"/>
  <c r="A35" i="21"/>
  <c r="A55" i="21" s="1"/>
  <c r="A67" i="21" s="1"/>
  <c r="F9" i="21"/>
  <c r="F35" i="21" s="1"/>
  <c r="F54" i="21" s="1"/>
  <c r="F66" i="21" s="1"/>
  <c r="C9" i="21"/>
  <c r="C30" i="22" s="1"/>
  <c r="C42" i="22" s="1"/>
  <c r="B9" i="21"/>
  <c r="B64" i="23" s="1"/>
  <c r="B76" i="23" s="1"/>
  <c r="A9" i="21"/>
  <c r="A56" i="21" s="1"/>
  <c r="A68" i="21" s="1"/>
  <c r="G41" i="20"/>
  <c r="G42" i="20"/>
  <c r="G40" i="20"/>
  <c r="C39" i="20"/>
  <c r="B39" i="20"/>
  <c r="A39" i="20"/>
  <c r="E29" i="20"/>
  <c r="E42" i="20" s="1"/>
  <c r="E28" i="20"/>
  <c r="E41" i="20" s="1"/>
  <c r="E27" i="20"/>
  <c r="E40" i="20" s="1"/>
  <c r="C26" i="20"/>
  <c r="B26" i="20"/>
  <c r="A26" i="20"/>
  <c r="F9" i="20"/>
  <c r="F27" i="20" s="1"/>
  <c r="F40" i="20" s="1"/>
  <c r="C9" i="20"/>
  <c r="C27" i="20" s="1"/>
  <c r="C40" i="20" s="1"/>
  <c r="B9" i="20"/>
  <c r="B27" i="20" s="1"/>
  <c r="B40" i="20" s="1"/>
  <c r="A9" i="20"/>
  <c r="A27" i="20" s="1"/>
  <c r="A40" i="20" s="1"/>
  <c r="G61" i="19"/>
  <c r="G60" i="19"/>
  <c r="C59" i="19"/>
  <c r="B59" i="19"/>
  <c r="A59" i="19"/>
  <c r="E49" i="19"/>
  <c r="E61" i="19" s="1"/>
  <c r="E48" i="19"/>
  <c r="E60" i="19" s="1"/>
  <c r="C47" i="19"/>
  <c r="B47" i="19"/>
  <c r="A47" i="19"/>
  <c r="C27" i="19"/>
  <c r="C28" i="20" s="1"/>
  <c r="C41" i="20" s="1"/>
  <c r="B27" i="19"/>
  <c r="B28" i="20" s="1"/>
  <c r="B41" i="20" s="1"/>
  <c r="A27" i="19"/>
  <c r="A48" i="19" s="1"/>
  <c r="A60" i="19" s="1"/>
  <c r="F9" i="19"/>
  <c r="F27" i="19" s="1"/>
  <c r="F47" i="19" s="1"/>
  <c r="F59" i="19" s="1"/>
  <c r="C9" i="19"/>
  <c r="C49" i="19" s="1"/>
  <c r="C61" i="19" s="1"/>
  <c r="B9" i="19"/>
  <c r="B49" i="19" s="1"/>
  <c r="B61" i="19" s="1"/>
  <c r="A9" i="19"/>
  <c r="A49" i="19" s="1"/>
  <c r="A61" i="19" s="1"/>
  <c r="G62" i="18"/>
  <c r="G61" i="18"/>
  <c r="C60" i="18"/>
  <c r="B60" i="18"/>
  <c r="A60" i="18"/>
  <c r="E50" i="18"/>
  <c r="E62" i="18" s="1"/>
  <c r="B49" i="18"/>
  <c r="B61" i="18" s="1"/>
  <c r="E49" i="18"/>
  <c r="E61" i="18" s="1"/>
  <c r="C48" i="18"/>
  <c r="B48" i="18"/>
  <c r="A48" i="18"/>
  <c r="C30" i="18"/>
  <c r="C49" i="18" s="1"/>
  <c r="C61" i="18" s="1"/>
  <c r="B30" i="18"/>
  <c r="A30" i="18"/>
  <c r="A49" i="18" s="1"/>
  <c r="A61" i="18" s="1"/>
  <c r="F9" i="18"/>
  <c r="F30" i="18" s="1"/>
  <c r="C9" i="18"/>
  <c r="C50" i="18" s="1"/>
  <c r="C62" i="18" s="1"/>
  <c r="B9" i="18"/>
  <c r="B50" i="18" s="1"/>
  <c r="B62" i="18" s="1"/>
  <c r="A9" i="18"/>
  <c r="A50" i="18" s="1"/>
  <c r="A62" i="18" s="1"/>
  <c r="C60" i="17"/>
  <c r="B60" i="17"/>
  <c r="A60" i="17"/>
  <c r="F9" i="17"/>
  <c r="F85" i="17" s="1"/>
  <c r="F97" i="17" s="1"/>
  <c r="C95" i="17"/>
  <c r="B95" i="17"/>
  <c r="A95" i="17"/>
  <c r="E85" i="17"/>
  <c r="E97" i="17" s="1"/>
  <c r="E84" i="17"/>
  <c r="E96" i="17" s="1"/>
  <c r="C83" i="17"/>
  <c r="B83" i="17"/>
  <c r="A83" i="17"/>
  <c r="C72" i="17"/>
  <c r="B72" i="17"/>
  <c r="A72" i="17"/>
  <c r="C27" i="17"/>
  <c r="C84" i="17" s="1"/>
  <c r="C96" i="17" s="1"/>
  <c r="B27" i="17"/>
  <c r="B84" i="17" s="1"/>
  <c r="B96" i="17" s="1"/>
  <c r="A27" i="17"/>
  <c r="A84" i="17" s="1"/>
  <c r="A96" i="17" s="1"/>
  <c r="C9" i="17"/>
  <c r="C85" i="17" s="1"/>
  <c r="C97" i="17" s="1"/>
  <c r="B9" i="17"/>
  <c r="B85" i="17" s="1"/>
  <c r="B97" i="17" s="1"/>
  <c r="A9" i="17"/>
  <c r="A85" i="17" s="1"/>
  <c r="A97" i="17" l="1"/>
  <c r="F63" i="23"/>
  <c r="F75" i="23" s="1"/>
  <c r="F56" i="21"/>
  <c r="F68" i="21" s="1"/>
  <c r="F64" i="23"/>
  <c r="F76" i="23" s="1"/>
  <c r="B56" i="21"/>
  <c r="B68" i="21" s="1"/>
  <c r="A64" i="23"/>
  <c r="A76" i="23" s="1"/>
  <c r="F55" i="21"/>
  <c r="F67" i="21" s="1"/>
  <c r="A30" i="22"/>
  <c r="A42" i="22" s="1"/>
  <c r="F30" i="22"/>
  <c r="F42" i="22" s="1"/>
  <c r="F26" i="20"/>
  <c r="F39" i="20" s="1"/>
  <c r="C48" i="19"/>
  <c r="C60" i="19" s="1"/>
  <c r="B48" i="19"/>
  <c r="B60" i="19" s="1"/>
  <c r="C29" i="20"/>
  <c r="C42" i="20" s="1"/>
  <c r="B29" i="20"/>
  <c r="B42" i="20" s="1"/>
  <c r="A28" i="20"/>
  <c r="A41" i="20" s="1"/>
  <c r="F28" i="20"/>
  <c r="F41" i="20" s="1"/>
  <c r="F48" i="19"/>
  <c r="F60" i="19" s="1"/>
  <c r="A29" i="20"/>
  <c r="A42" i="20" s="1"/>
  <c r="F29" i="20"/>
  <c r="F42" i="20" s="1"/>
  <c r="F48" i="18"/>
  <c r="F60" i="18" s="1"/>
  <c r="F49" i="18"/>
  <c r="F61" i="18" s="1"/>
  <c r="F50" i="18"/>
  <c r="F62" i="18" s="1"/>
  <c r="F49" i="19"/>
  <c r="F61" i="19" s="1"/>
  <c r="F27" i="17"/>
  <c r="F60" i="17" s="1"/>
  <c r="F72" i="17" s="1"/>
  <c r="F71" i="15"/>
  <c r="F83" i="15" s="1"/>
  <c r="C81" i="15"/>
  <c r="B81" i="15"/>
  <c r="A81" i="15"/>
  <c r="E71" i="15"/>
  <c r="E83" i="15" s="1"/>
  <c r="E70" i="15"/>
  <c r="E82" i="15" s="1"/>
  <c r="C69" i="15"/>
  <c r="B69" i="15"/>
  <c r="A69" i="15"/>
  <c r="C57" i="15"/>
  <c r="B57" i="15"/>
  <c r="A57" i="15"/>
  <c r="C33" i="15"/>
  <c r="C70" i="15" s="1"/>
  <c r="C82" i="15" s="1"/>
  <c r="B33" i="15"/>
  <c r="B70" i="15" s="1"/>
  <c r="B82" i="15" s="1"/>
  <c r="A33" i="15"/>
  <c r="A70" i="15" s="1"/>
  <c r="A82" i="15" s="1"/>
  <c r="C9" i="15"/>
  <c r="C71" i="15" s="1"/>
  <c r="C83" i="15" s="1"/>
  <c r="B9" i="15"/>
  <c r="B71" i="15" s="1"/>
  <c r="B83" i="15" s="1"/>
  <c r="A9" i="15"/>
  <c r="A71" i="15" s="1"/>
  <c r="A83" i="15" s="1"/>
  <c r="F83" i="17" l="1"/>
  <c r="F95" i="17" s="1"/>
  <c r="F84" i="17"/>
  <c r="F96" i="17" s="1"/>
  <c r="F33" i="15"/>
  <c r="F70" i="15" s="1"/>
  <c r="F82" i="15" s="1"/>
  <c r="F57" i="15" l="1"/>
  <c r="F69" i="15"/>
  <c r="F81" i="15" s="1"/>
  <c r="E30" i="8" l="1"/>
  <c r="C30" i="8"/>
  <c r="B30" i="8"/>
  <c r="A30" i="8"/>
  <c r="F11" i="8"/>
  <c r="F30" i="8" s="1"/>
  <c r="E11" i="8"/>
  <c r="C11" i="8"/>
  <c r="B11" i="8"/>
  <c r="A11" i="8"/>
</calcChain>
</file>

<file path=xl/sharedStrings.xml><?xml version="1.0" encoding="utf-8"?>
<sst xmlns="http://schemas.openxmlformats.org/spreadsheetml/2006/main" count="2674" uniqueCount="224">
  <si>
    <t>Activity</t>
  </si>
  <si>
    <t>reference product</t>
  </si>
  <si>
    <t>location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</si>
  <si>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</si>
  <si>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</si>
  <si>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</si>
  <si>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</si>
  <si>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</si>
  <si>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</si>
  <si>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</si>
  <si>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</si>
  <si>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</si>
  <si>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</si>
  <si>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</si>
  <si>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</si>
  <si>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</si>
  <si>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</si>
  <si>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</si>
  <si>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</si>
  <si>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</si>
  <si>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GLO</t>
  </si>
  <si>
    <t>megajoule</t>
  </si>
  <si>
    <t>ecoinvent 3.10 cutoff</t>
  </si>
  <si>
    <t>technosphere</t>
  </si>
  <si>
    <t>kilowatt hour</t>
  </si>
  <si>
    <t>RoW</t>
  </si>
  <si>
    <t>Water, unspecified natural origin</t>
  </si>
  <si>
    <t>cubic meter</t>
  </si>
  <si>
    <t>biosphere3</t>
  </si>
  <si>
    <t>biosphere</t>
  </si>
  <si>
    <t>natural resource::in ground</t>
  </si>
  <si>
    <t>water</t>
  </si>
  <si>
    <t>air</t>
  </si>
  <si>
    <t>Lithium</t>
  </si>
  <si>
    <t>Lithium (Li) global market</t>
  </si>
  <si>
    <t>Li commodities</t>
  </si>
  <si>
    <t>Lithium (Li) global market (Li content)</t>
  </si>
  <si>
    <t>Li content</t>
  </si>
  <si>
    <t>Activity expressed for 1 kg Li contained</t>
  </si>
  <si>
    <t>AR</t>
  </si>
  <si>
    <t>heat and power co-generation, natural gas, 1MW electrical, lean burn</t>
  </si>
  <si>
    <t>electricity, high voltage</t>
  </si>
  <si>
    <t>machine operation, diesel, &gt;= 74.57 kW, high load factor</t>
  </si>
  <si>
    <t>hour</t>
  </si>
  <si>
    <t>market for quicklime, milled, packed</t>
  </si>
  <si>
    <t>quicklime, milled, packed</t>
  </si>
  <si>
    <t>Occupation, mineral extraction site</t>
  </si>
  <si>
    <t>square meter-year</t>
  </si>
  <si>
    <t>natural resource::land</t>
  </si>
  <si>
    <t>square meter</t>
  </si>
  <si>
    <t>Transformation, to mineral extraction site</t>
  </si>
  <si>
    <t>heat, district or industrial, natural gas</t>
  </si>
  <si>
    <t>market for hydrochloric acid, without water, in 30% solution state</t>
  </si>
  <si>
    <t>hydrochloric acid, without water, in 30% solution state</t>
  </si>
  <si>
    <t>market for sodium hydroxide, without water, in 50% solution state</t>
  </si>
  <si>
    <t>sodium hydroxide, without water, in 50% solution state</t>
  </si>
  <si>
    <t>Heat, waste</t>
  </si>
  <si>
    <t>Chlorine</t>
  </si>
  <si>
    <t>Li brine</t>
  </si>
  <si>
    <t>[M+C] Lithium (Li) brine concentration (Salar de Olaroz)</t>
  </si>
  <si>
    <t>(2,2,3,4,5)</t>
  </si>
  <si>
    <t>(2,2,4,1,1)</t>
  </si>
  <si>
    <t>(2,2,1,1,1)</t>
  </si>
  <si>
    <t>(4,5,5,3,3)</t>
  </si>
  <si>
    <t>Transformation, from unspecified</t>
  </si>
  <si>
    <t>Battery-grade Li2CO3</t>
  </si>
  <si>
    <t>[P] Battery-grade Li carbonate (Li2CO3) production (Salar de Olaroz)</t>
  </si>
  <si>
    <t>(5,5,5,5,5)</t>
  </si>
  <si>
    <t>(3,3,5,5,5)</t>
  </si>
  <si>
    <t>(3,5,5,3,4)</t>
  </si>
  <si>
    <t>Sodium I</t>
  </si>
  <si>
    <t>(3,5,5,5,5)</t>
  </si>
  <si>
    <t>market for soda ash, light</t>
  </si>
  <si>
    <t>soda ash, light</t>
  </si>
  <si>
    <t xml:space="preserve">Li2CO3 production in Argentina/Salar de Olaroz </t>
  </si>
  <si>
    <t>Li2CO3 production in Argentina/Salar de Olaroz (Li content)</t>
  </si>
  <si>
    <t>Battery-grade Li2CO3 (Li content)</t>
  </si>
  <si>
    <t>Water</t>
  </si>
  <si>
    <t>(4,5,5,5,3)</t>
  </si>
  <si>
    <t>CN</t>
  </si>
  <si>
    <t>electricity, high voltage, production mix</t>
  </si>
  <si>
    <t>heat production, natural gas, at industrial furnace &gt;100kW</t>
  </si>
  <si>
    <t>market for ammonium chloride</t>
  </si>
  <si>
    <t>ammonium chloride</t>
  </si>
  <si>
    <t>[M+C] Lithium (Li) brine purification and concentration (Chaerhan)</t>
  </si>
  <si>
    <t>CN-NWG</t>
  </si>
  <si>
    <t>(2,5,3,3,3)</t>
  </si>
  <si>
    <t>(3,3,1,1,3)</t>
  </si>
  <si>
    <t>[P] Battery-grade Li carbonate (Li2CO3) production (Chaerhan)</t>
  </si>
  <si>
    <t>(3,3,5,5,3)</t>
  </si>
  <si>
    <t>(2,5,5,1,2)</t>
  </si>
  <si>
    <t>Water reverse osmosis (Salar de Olaroz)</t>
  </si>
  <si>
    <t>Water reverse osmosis (Chaerhan)</t>
  </si>
  <si>
    <t xml:space="preserve">Li2CO3 production in China/Chaerhan Salt Lake </t>
  </si>
  <si>
    <t>Li2CO3 production in China/Chaerhan Salt Lake (Li content)</t>
  </si>
  <si>
    <t>market for electricity, high voltage</t>
  </si>
  <si>
    <t>ESCAID</t>
  </si>
  <si>
    <t>sodium hydroxide to generic market for neutralising agent</t>
  </si>
  <si>
    <t>neutralising agent, sodium hydroxide-equivalent</t>
  </si>
  <si>
    <t>market for kerosene</t>
  </si>
  <si>
    <t>kerosene</t>
  </si>
  <si>
    <t>[M+C] Lithium (Li) brine concentration (Salar del Hombre Muerto)</t>
  </si>
  <si>
    <t>[P] Battery-grade Li carbonate (Li2CO3) production (Salar del Hombre Muerto)</t>
  </si>
  <si>
    <t>Water reverse osmosis (Salar del Hombre Muerto)</t>
  </si>
  <si>
    <t>Organic solvent</t>
  </si>
  <si>
    <t>Li2CO3 production in Argentina/Salar del Hombre Muerto</t>
  </si>
  <si>
    <t>Li2CO3 production in Argentina/Salar del Hombre Muerto (Li content)</t>
  </si>
  <si>
    <t>[M+C] Lithium (Li) brine concentration (Salar de Cauchari)</t>
  </si>
  <si>
    <t>market for electricity, medium voltage</t>
  </si>
  <si>
    <t>electricity, medium voltage</t>
  </si>
  <si>
    <t>(1,1,1,1,1)</t>
  </si>
  <si>
    <t>market for calcium chloride</t>
  </si>
  <si>
    <t>calcium chloride</t>
  </si>
  <si>
    <t>market for wastewater, average</t>
  </si>
  <si>
    <t>wastewater, average</t>
  </si>
  <si>
    <t>market for inert waste, for final disposal</t>
  </si>
  <si>
    <t>inert waste, for final disposal</t>
  </si>
  <si>
    <t>(3,3,1,1,1)</t>
  </si>
  <si>
    <t>[P] Battery-grade Li carbonate (Li2CO3) production (Salar de Cauchari)</t>
  </si>
  <si>
    <t>market for soda ash, dense</t>
  </si>
  <si>
    <t>soda ash, dense</t>
  </si>
  <si>
    <t>market for sulfuric acid</t>
  </si>
  <si>
    <t>sulfuric acid</t>
  </si>
  <si>
    <t>Li2CO3 production in Argentina/Salar de Cauchari</t>
  </si>
  <si>
    <t>Li2CO3 production in Argentina/Salar de Cauchari (Li content)</t>
  </si>
  <si>
    <t>[M+C] Lithium (Li) brine concentration (Salar de Atacama)</t>
  </si>
  <si>
    <t>CL</t>
  </si>
  <si>
    <t>(4.0,1.0,1.0,1.0,1.0)</t>
  </si>
  <si>
    <t>market for diesel, burned in building machine</t>
  </si>
  <si>
    <t>diesel, burned in building machine</t>
  </si>
  <si>
    <t>potash salt production</t>
  </si>
  <si>
    <t>potash salt</t>
  </si>
  <si>
    <t>(2.0,2.0,1.0,1.0,1.0)</t>
  </si>
  <si>
    <t>[P] Battery-grade Li carbonate (Li2CO3) production (Salar de Atacama)</t>
  </si>
  <si>
    <t>market for lime, packed</t>
  </si>
  <si>
    <t>lime, packed</t>
  </si>
  <si>
    <t>market for chemical, organic</t>
  </si>
  <si>
    <t>chemical, organic</t>
  </si>
  <si>
    <t>market for heat, district or industrial, natural gas</t>
  </si>
  <si>
    <t>Particulate Matter, &gt; 2.5 um and &lt; 10um</t>
  </si>
  <si>
    <t>Particulate Matter, &lt; 2.5 um</t>
  </si>
  <si>
    <t xml:space="preserve">Li2CO3 production in Chile/Salar de Atacama </t>
  </si>
  <si>
    <t>Li2CO3 production in Chile/Salar de Atacama (Li content)</t>
  </si>
  <si>
    <t>[P] Battery-grade Li hydroxide (LiOH.H2O) production (Salar de Atacama)</t>
  </si>
  <si>
    <t>Battery-grade LiOH.H2O</t>
  </si>
  <si>
    <t>(4,1,1,1,1)</t>
  </si>
  <si>
    <t xml:space="preserve">LiOH.H2O production in Chile/Salar de Atacama </t>
  </si>
  <si>
    <t>LiOH.H2O production in Chile/Salar de Atacama (Li content)</t>
  </si>
  <si>
    <t>Battery-grade LiOH.H2O (Li content)</t>
  </si>
  <si>
    <t>[M+C] Spodumene ore mining and concentration</t>
  </si>
  <si>
    <t>Spodumene concentrate</t>
  </si>
  <si>
    <t>AU</t>
  </si>
  <si>
    <t>market for recultivation, iron mine</t>
  </si>
  <si>
    <t>recultivation, iron mine</t>
  </si>
  <si>
    <t>(2.0,5.0,5.0,5.0,5.0)</t>
  </si>
  <si>
    <t>market for mine infrastructure, iron</t>
  </si>
  <si>
    <t>mine infrastructure, iron</t>
  </si>
  <si>
    <t>market for blasting</t>
  </si>
  <si>
    <t>blasting</t>
  </si>
  <si>
    <t>(4.0,1.0,5.0,5.0,5.0)</t>
  </si>
  <si>
    <t>(2.0,1.0,1.0,1.0,1.0)</t>
  </si>
  <si>
    <t>market for non-sulfidic tailing, off-site</t>
  </si>
  <si>
    <t>non-sulfidic tailing, off-site</t>
  </si>
  <si>
    <t>Transformation, from forest, extensive</t>
  </si>
  <si>
    <t>Particulate Matter, &gt; 10 um</t>
  </si>
  <si>
    <t>[P] Battery-grade Li carbonate (Li2CO3) production (Shehong plant)</t>
  </si>
  <si>
    <t>(1.0,1.0,2.0,1.0,1.0)</t>
  </si>
  <si>
    <t>market group for electricity, medium voltage</t>
  </si>
  <si>
    <t>heat production, at hard coal industrial furnace 1-10MW</t>
  </si>
  <si>
    <t>heat, district or industrial, other than natural gas</t>
  </si>
  <si>
    <t>market for heat, from steam, in chemical industry</t>
  </si>
  <si>
    <t>heat, from steam, in chemical industry</t>
  </si>
  <si>
    <t>sodium sulfate production, from natural sources</t>
  </si>
  <si>
    <t>sodium sulfate, anhydrite</t>
  </si>
  <si>
    <t>(nan,nan,nan,nan,nan)</t>
  </si>
  <si>
    <t>Spodumene ore mining in Australia/Greenbushes and Li2CO3 production in China/Shehong</t>
  </si>
  <si>
    <t>AU-CN</t>
  </si>
  <si>
    <t>Spodumene ore mining in Australia/Greenbushes and Li2CO3 production in China/Shehong (Li content)</t>
  </si>
  <si>
    <t>[P] Battery-grade Lithium (Li) hydroxide (LiOH.H2O) production (Shehong plant)</t>
  </si>
  <si>
    <t>Spodumene ore mining in Australia/Greenbushes and LiOH.H2O production in China/Shehong</t>
  </si>
  <si>
    <t>Spodumene ore mining in Australia/Greenbushes and LiOH.H2O production in China/Shehong (Li content)</t>
  </si>
  <si>
    <t>[P] Battery-grade Li carbonate (Li2CO3) production (Zhangjiagang plant)</t>
  </si>
  <si>
    <t>(1,4,3,1,1)</t>
  </si>
  <si>
    <t>market for natural gas, high pressure</t>
  </si>
  <si>
    <t>natural gas, high pressure</t>
  </si>
  <si>
    <t>market for steam, in chemical industry</t>
  </si>
  <si>
    <t>steam, in chemical industry</t>
  </si>
  <si>
    <t>market for chemical, inorganic</t>
  </si>
  <si>
    <t>chemical, inorganic</t>
  </si>
  <si>
    <t>market for hydrogen peroxide, without water, in 50% solution state</t>
  </si>
  <si>
    <t>hydrogen peroxide, without water, in 50% solution state</t>
  </si>
  <si>
    <t>market for lime, hydrated, packed</t>
  </si>
  <si>
    <t>lime, hydrated, packed</t>
  </si>
  <si>
    <t>market for carbon dioxide, in chemical industry</t>
  </si>
  <si>
    <t>carbon dioxide, in chemical industry</t>
  </si>
  <si>
    <t>market for leachate, SLF, refinery sludge</t>
  </si>
  <si>
    <t>leachate, SLF, refinery sludge</t>
  </si>
  <si>
    <t>(2,4,5,1,1)</t>
  </si>
  <si>
    <t>Sulfuric acid</t>
  </si>
  <si>
    <t>Sulfur dioxide</t>
  </si>
  <si>
    <t>Nitrogen oxides</t>
  </si>
  <si>
    <t>COD, Chemical Oxygen Demand</t>
  </si>
  <si>
    <t>Suspended solids, unspecified</t>
  </si>
  <si>
    <t>Ammonium</t>
  </si>
  <si>
    <t>Phosphorus</t>
  </si>
  <si>
    <t xml:space="preserve">Li2CO3 production in China/Zhangjiagang </t>
  </si>
  <si>
    <t>Li2CO3 production in China/Zhangjiagang (Li content)</t>
  </si>
  <si>
    <t>The co-produced potash is dealt through substitution.</t>
  </si>
  <si>
    <t>The co-produced sodium sulfate is dealt through substitution.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</si>
  <si>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</si>
  <si>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</si>
  <si>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</si>
  <si>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Lithium (Li)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</si>
  <si>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Li global market</t>
  </si>
  <si>
    <t>Li_Market_GLO</t>
  </si>
  <si>
    <t>PR1_Li2CO3_AR_Cauchari_Brines</t>
  </si>
  <si>
    <t>PR2_Li2CO3_CL_Atacama_Brines</t>
  </si>
  <si>
    <t>PR3_LiOH_CL_Atacama_Brines</t>
  </si>
  <si>
    <t>PR4_Li2CO3_AU_CN_She_Spodumene</t>
  </si>
  <si>
    <t>PR5_LiOH_AU_CN_She_Spodumene</t>
  </si>
  <si>
    <t>PR6_Li2CO3_CN_Zha</t>
  </si>
  <si>
    <t>PR7_Li2CO3_AR_Olaroz_Brines</t>
  </si>
  <si>
    <t>PR8_Li2CO3_CN_Chaerhan_Brines</t>
  </si>
  <si>
    <t>PR9_Li2CO3_AR_HombreM_Brines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</si>
</sst>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4" xfId="2" applyBorder="1" applyAlignment="1">
      <alignment horizontal="left" vertical="center"/>
    </xf>
    <xf numFmtId="0" fontId="9" fillId="0" borderId="6" xfId="2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3">
    <cellStyle name="Lien hypertexte" xfId="2" builtinId="8"/>
    <cellStyle name="Milliers 2" xfId="1" xr:uid="{931EA476-F0FB-4FD5-AA24-64AA8145ACC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3"/>
  <sheetViews>
    <sheetView showGridLines="0" tabSelected="1" zoomScaleNormal="100" workbookViewId="0">
      <selection activeCell="F47" sqref="F47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209</v>
      </c>
    </row>
    <row r="2" spans="1:17" ht="15" customHeight="1" x14ac:dyDescent="0.25">
      <c r="B2" s="21" t="s">
        <v>212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x14ac:dyDescent="0.25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 x14ac:dyDescent="0.25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17" x14ac:dyDescent="0.25"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</row>
    <row r="6" spans="1:17" x14ac:dyDescent="0.2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</row>
    <row r="7" spans="1:17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</row>
    <row r="8" spans="1:17" x14ac:dyDescent="0.2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/>
    </row>
    <row r="9" spans="1:17" x14ac:dyDescent="0.25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</row>
    <row r="10" spans="1:17" x14ac:dyDescent="0.25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1:17" x14ac:dyDescent="0.25"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1:17" x14ac:dyDescent="0.25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1:17" x14ac:dyDescent="0.25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</row>
    <row r="14" spans="1:17" x14ac:dyDescent="0.25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</row>
    <row r="15" spans="1:17" x14ac:dyDescent="0.2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</row>
    <row r="16" spans="1:17" x14ac:dyDescent="0.2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  <row r="17" spans="2:17" x14ac:dyDescent="0.25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2:17" x14ac:dyDescent="0.2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</row>
    <row r="19" spans="2:17" x14ac:dyDescent="0.25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  <row r="20" spans="2:17" x14ac:dyDescent="0.25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</row>
    <row r="21" spans="2:17" x14ac:dyDescent="0.25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2:17" x14ac:dyDescent="0.25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</row>
    <row r="23" spans="2:17" x14ac:dyDescent="0.25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</row>
    <row r="24" spans="2:17" ht="15" customHeight="1" x14ac:dyDescent="0.25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x14ac:dyDescent="0.25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</row>
    <row r="26" spans="2:17" x14ac:dyDescent="0.25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</row>
    <row r="27" spans="2:17" x14ac:dyDescent="0.25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</row>
    <row r="28" spans="2:17" x14ac:dyDescent="0.25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</row>
    <row r="29" spans="2:17" x14ac:dyDescent="0.25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</row>
    <row r="30" spans="2:17" x14ac:dyDescent="0.25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</row>
    <row r="31" spans="2:17" ht="15.75" thickBo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</row>
    <row r="32" spans="2:17" ht="15.75" thickBot="1" x14ac:dyDescent="0.3"/>
    <row r="33" spans="2:10" x14ac:dyDescent="0.25">
      <c r="B33" s="10" t="s">
        <v>210</v>
      </c>
      <c r="C33" s="11" t="s">
        <v>211</v>
      </c>
      <c r="D33" s="12"/>
      <c r="E33" s="12"/>
      <c r="F33" s="12"/>
      <c r="G33" s="12"/>
      <c r="H33" s="12"/>
      <c r="I33" s="12"/>
      <c r="J33" s="18"/>
    </row>
    <row r="34" spans="2:10" x14ac:dyDescent="0.25">
      <c r="B34" s="13" t="s">
        <v>214</v>
      </c>
      <c r="C34" s="1" t="s">
        <v>213</v>
      </c>
      <c r="D34" s="17"/>
      <c r="E34" s="17"/>
      <c r="F34" s="17"/>
      <c r="G34" s="17"/>
      <c r="H34" s="17"/>
      <c r="I34" s="17"/>
      <c r="J34" s="19"/>
    </row>
    <row r="35" spans="2:10" x14ac:dyDescent="0.25">
      <c r="B35" s="13" t="s">
        <v>215</v>
      </c>
      <c r="C35" s="1" t="s">
        <v>123</v>
      </c>
      <c r="D35" s="17"/>
      <c r="E35" s="17"/>
      <c r="F35" s="17"/>
      <c r="G35" s="17"/>
      <c r="H35" s="17"/>
      <c r="I35" s="17"/>
      <c r="J35" s="19"/>
    </row>
    <row r="36" spans="2:10" x14ac:dyDescent="0.25">
      <c r="B36" s="13" t="s">
        <v>216</v>
      </c>
      <c r="C36" s="1" t="s">
        <v>141</v>
      </c>
      <c r="D36" s="17"/>
      <c r="E36" s="17"/>
      <c r="F36" s="17"/>
      <c r="G36" s="17"/>
      <c r="H36" s="17"/>
      <c r="I36" s="17"/>
      <c r="J36" s="19"/>
    </row>
    <row r="37" spans="2:10" x14ac:dyDescent="0.25">
      <c r="B37" s="13" t="s">
        <v>217</v>
      </c>
      <c r="C37" s="1" t="s">
        <v>146</v>
      </c>
      <c r="D37" s="17"/>
      <c r="E37" s="17"/>
      <c r="F37" s="17"/>
      <c r="G37" s="17"/>
      <c r="H37" s="17"/>
      <c r="I37" s="17"/>
      <c r="J37" s="19"/>
    </row>
    <row r="38" spans="2:10" x14ac:dyDescent="0.25">
      <c r="B38" s="13" t="s">
        <v>218</v>
      </c>
      <c r="C38" s="1" t="s">
        <v>175</v>
      </c>
      <c r="D38" s="17"/>
      <c r="E38" s="17"/>
      <c r="F38" s="17"/>
      <c r="G38" s="17"/>
      <c r="H38" s="17"/>
      <c r="I38" s="17"/>
      <c r="J38" s="19"/>
    </row>
    <row r="39" spans="2:10" x14ac:dyDescent="0.25">
      <c r="B39" s="13" t="s">
        <v>219</v>
      </c>
      <c r="C39" s="1" t="s">
        <v>179</v>
      </c>
      <c r="D39" s="17"/>
      <c r="E39" s="17"/>
      <c r="F39" s="17"/>
      <c r="G39" s="17"/>
      <c r="H39" s="17"/>
      <c r="I39" s="17"/>
      <c r="J39" s="19"/>
    </row>
    <row r="40" spans="2:10" x14ac:dyDescent="0.25">
      <c r="B40" s="13" t="s">
        <v>220</v>
      </c>
      <c r="C40" s="1" t="s">
        <v>205</v>
      </c>
      <c r="D40" s="17"/>
      <c r="E40" s="17"/>
      <c r="F40" s="17"/>
      <c r="G40" s="17"/>
      <c r="H40" s="17"/>
      <c r="I40" s="17"/>
      <c r="J40" s="19"/>
    </row>
    <row r="41" spans="2:10" x14ac:dyDescent="0.25">
      <c r="B41" s="13" t="s">
        <v>221</v>
      </c>
      <c r="C41" s="1" t="s">
        <v>74</v>
      </c>
      <c r="D41" s="17"/>
      <c r="E41" s="17"/>
      <c r="F41" s="17"/>
      <c r="G41" s="17"/>
      <c r="H41" s="17"/>
      <c r="I41" s="17"/>
      <c r="J41" s="19"/>
    </row>
    <row r="42" spans="2:10" x14ac:dyDescent="0.25">
      <c r="B42" s="13" t="s">
        <v>222</v>
      </c>
      <c r="C42" s="1" t="s">
        <v>93</v>
      </c>
      <c r="D42" s="17"/>
      <c r="E42" s="17"/>
      <c r="F42" s="17"/>
      <c r="G42" s="17"/>
      <c r="H42" s="17"/>
      <c r="I42" s="17"/>
      <c r="J42" s="19"/>
    </row>
    <row r="43" spans="2:10" ht="15.75" thickBot="1" x14ac:dyDescent="0.3">
      <c r="B43" s="14" t="s">
        <v>223</v>
      </c>
      <c r="C43" s="15" t="s">
        <v>105</v>
      </c>
      <c r="D43" s="16"/>
      <c r="E43" s="16"/>
      <c r="F43" s="16"/>
      <c r="G43" s="16"/>
      <c r="H43" s="16"/>
      <c r="I43" s="16"/>
      <c r="J43" s="20"/>
    </row>
  </sheetData>
  <mergeCells count="1">
    <mergeCell ref="B2:Q31"/>
  </mergeCells>
  <hyperlinks>
    <hyperlink ref="B34" location="Li_Market_GLO!A1" display="Li_Market_GLO" xr:uid="{0FEFB7E4-75ED-4571-A40E-B74F97F8DBCF}"/>
    <hyperlink ref="B35" location="PR1_Li2CO3_AR_Cauchari_Brines!A1" display="PR1_Li2CO3_AR_Cauchari_Brines" xr:uid="{2CD20F6D-A9E6-46D2-B335-F27B4F364774}"/>
    <hyperlink ref="B36" location="PR2_Li2CO3_CL_Atacama_Brines!A1" display="PR2_Li2CO3_CL_Atacama_Brines" xr:uid="{1F7DAC21-33A4-48C5-827E-E5ABA3372142}"/>
    <hyperlink ref="B37" location="PR3_LiOH_CL_Atacama_Brines!A1" display="PR3_LiOH_CL_Atacama_Brines" xr:uid="{1D5D8F13-1659-4426-B63F-3CD339B70388}"/>
    <hyperlink ref="B38" location="PR4_Li2CO3_AU_CN_She_Spodumene!A1" display="PR4_Li2CO3_AU_CN_She_Spodumene" xr:uid="{8D5B240F-019C-423A-8461-72468C99E263}"/>
    <hyperlink ref="B39" location="PR5_LiOH_AU_CN_She_Spodumene!A1" display="PR5_LiOH_AU_CN_She_Spodumene" xr:uid="{6C9CF05E-33B7-4316-877B-0FF1365A3FDA}"/>
    <hyperlink ref="B40" location="PR6_Li2CO3_CN_Zha!A1" display="PR6_Li2CO3_CN_Zha" xr:uid="{DEFF3F31-6EEC-49A8-870D-2E1B86C129AF}"/>
    <hyperlink ref="B41" location="PR7_Li2CO3_AR_Olaroz_Brines!A1" display="PR7_Li2CO3_AR_Olaroz_Brines" xr:uid="{33617291-AD73-46DB-AE0B-70DC4B8E7B5F}"/>
    <hyperlink ref="B42" location="PR8_Li2CO3_CN_Chaerhan_Brines!A1" display="PR8_Li2CO3_CN_Chaerhan_Brines" xr:uid="{2C8595F3-ABD3-4D16-BB5E-31F8C452A53B}"/>
    <hyperlink ref="B43" location="PR9_Li2CO3_AR_HombreM_Brines!A1" display="PR9_Li2CO3_AR_HombreM_Brines" xr:uid="{437DD8B7-D6CB-4CAE-BF52-6035A75992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90EB-7E61-4F0E-B0C0-C662D3FDE49B}">
  <sheetPr>
    <tabColor theme="8" tint="0.39997558519241921"/>
  </sheetPr>
  <dimension ref="A1:N39"/>
  <sheetViews>
    <sheetView workbookViewId="0">
      <selection activeCell="A24" sqref="A24"/>
    </sheetView>
  </sheetViews>
  <sheetFormatPr baseColWidth="10" defaultColWidth="10.85546875" defaultRowHeight="15" x14ac:dyDescent="0.25"/>
  <cols>
    <col min="1" max="1" width="96.42578125" style="1" bestFit="1" customWidth="1"/>
    <col min="2" max="2" width="35.85546875" style="1" bestFit="1" customWidth="1"/>
    <col min="3" max="3" width="8.140625" style="1" bestFit="1" customWidth="1"/>
    <col min="4" max="4" width="12" style="1" bestFit="1" customWidth="1"/>
    <col min="5" max="5" width="8.7109375" style="1" bestFit="1" customWidth="1"/>
    <col min="6" max="6" width="9" style="1" bestFit="1" customWidth="1"/>
    <col min="7" max="7" width="13.28515625" style="1" bestFit="1" customWidth="1"/>
    <col min="8" max="8" width="10.140625" style="1" bestFit="1" customWidth="1"/>
    <col min="9" max="9" width="15.5703125" style="1" bestFit="1" customWidth="1"/>
    <col min="10" max="10" width="9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10.85546875" style="1"/>
  </cols>
  <sheetData>
    <row r="1" spans="1:14" x14ac:dyDescent="0.25">
      <c r="A1" s="1" t="s">
        <v>10</v>
      </c>
      <c r="B1" s="4" t="s">
        <v>33</v>
      </c>
    </row>
    <row r="2" spans="1:14" s="6" customFormat="1" x14ac:dyDescent="0.25"/>
    <row r="3" spans="1:14" x14ac:dyDescent="0.25">
      <c r="A3" s="9" t="s">
        <v>0</v>
      </c>
      <c r="B3" s="2" t="s">
        <v>34</v>
      </c>
    </row>
    <row r="4" spans="1:14" x14ac:dyDescent="0.25">
      <c r="A4" s="3" t="s">
        <v>1</v>
      </c>
      <c r="B4" s="1" t="s">
        <v>35</v>
      </c>
    </row>
    <row r="5" spans="1:14" x14ac:dyDescent="0.25">
      <c r="A5" s="3" t="s">
        <v>2</v>
      </c>
      <c r="B5" s="1" t="s">
        <v>20</v>
      </c>
    </row>
    <row r="6" spans="1:14" x14ac:dyDescent="0.25">
      <c r="A6" s="3" t="s">
        <v>3</v>
      </c>
      <c r="B6" s="1">
        <v>1</v>
      </c>
    </row>
    <row r="7" spans="1:14" x14ac:dyDescent="0.25">
      <c r="A7" s="3" t="s">
        <v>4</v>
      </c>
      <c r="B7" s="1" t="s">
        <v>5</v>
      </c>
    </row>
    <row r="8" spans="1:14" x14ac:dyDescent="0.25">
      <c r="A8" s="3" t="s">
        <v>6</v>
      </c>
      <c r="B8" s="1" t="s">
        <v>7</v>
      </c>
    </row>
    <row r="9" spans="1:14" x14ac:dyDescent="0.25">
      <c r="A9" s="3" t="s">
        <v>8</v>
      </c>
    </row>
    <row r="10" spans="1:14" x14ac:dyDescent="0.25">
      <c r="A10" s="9" t="s">
        <v>9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18</v>
      </c>
    </row>
    <row r="11" spans="1:14" x14ac:dyDescent="0.25">
      <c r="A11" s="1" t="str">
        <f>B3</f>
        <v>Lithium (Li) global market</v>
      </c>
      <c r="B11" s="1" t="str">
        <f>B4</f>
        <v>Li commodities</v>
      </c>
      <c r="C11" s="1" t="str">
        <f>B5</f>
        <v>GLO</v>
      </c>
      <c r="D11" s="1">
        <v>1</v>
      </c>
      <c r="E11" s="1" t="str">
        <f>B7</f>
        <v>kilogram</v>
      </c>
      <c r="F11" s="4" t="str">
        <f>B1</f>
        <v>Lithium</v>
      </c>
      <c r="G11" s="1" t="s">
        <v>19</v>
      </c>
    </row>
    <row r="12" spans="1:14" x14ac:dyDescent="0.25">
      <c r="A12" s="1" t="str">
        <f>PR1_Li2CO3_AR_Cauchari_Brines!A48</f>
        <v>Li2CO3 production in Argentina/Salar de Cauchari</v>
      </c>
      <c r="B12" s="1" t="str">
        <f>PR1_Li2CO3_AR_Cauchari_Brines!B48</f>
        <v>Battery-grade Li2CO3</v>
      </c>
      <c r="C12" s="1" t="str">
        <f>PR1_Li2CO3_AR_Cauchari_Brines!C48</f>
        <v>AR</v>
      </c>
      <c r="D12" s="1">
        <v>1.4624098615061511E-2</v>
      </c>
      <c r="E12" s="1" t="str">
        <f>PR1_Li2CO3_AR_Cauchari_Brines!E48</f>
        <v>kilogram</v>
      </c>
      <c r="F12" s="4" t="str">
        <f>PR1_Li2CO3_AR_Cauchari_Brines!F48</f>
        <v>Lithium</v>
      </c>
      <c r="G12" s="1" t="s">
        <v>23</v>
      </c>
    </row>
    <row r="13" spans="1:14" x14ac:dyDescent="0.25">
      <c r="A13" s="1" t="str">
        <f>PR2_Li2CO3_CL_Atacama_Brines!A47</f>
        <v xml:space="preserve">Li2CO3 production in Chile/Salar de Atacama </v>
      </c>
      <c r="B13" s="1" t="str">
        <f>PR2_Li2CO3_CL_Atacama_Brines!B47</f>
        <v>Battery-grade Li2CO3</v>
      </c>
      <c r="C13" s="1" t="str">
        <f>PR2_Li2CO3_CL_Atacama_Brines!C47</f>
        <v>CL</v>
      </c>
      <c r="D13" s="1">
        <v>0.27973785425101216</v>
      </c>
      <c r="E13" s="1" t="str">
        <f>PR2_Li2CO3_CL_Atacama_Brines!E47</f>
        <v>kilogram</v>
      </c>
      <c r="F13" s="4" t="str">
        <f>PR2_Li2CO3_CL_Atacama_Brines!F47</f>
        <v>Lithium</v>
      </c>
      <c r="G13" s="1" t="s">
        <v>23</v>
      </c>
    </row>
    <row r="14" spans="1:14" x14ac:dyDescent="0.25">
      <c r="A14" s="1" t="str">
        <f>PR3_LiOH_CL_Atacama_Brines!A26</f>
        <v xml:space="preserve">LiOH.H2O production in Chile/Salar de Atacama </v>
      </c>
      <c r="B14" s="1" t="str">
        <f>PR3_LiOH_CL_Atacama_Brines!B26</f>
        <v>Battery-grade LiOH.H2O</v>
      </c>
      <c r="C14" s="1" t="str">
        <f>PR3_LiOH_CL_Atacama_Brines!C26</f>
        <v>CL</v>
      </c>
      <c r="D14" s="1">
        <v>4.5160931174089078E-2</v>
      </c>
      <c r="E14" s="1" t="str">
        <f>PR3_LiOH_CL_Atacama_Brines!E26</f>
        <v>kilogram</v>
      </c>
      <c r="F14" s="4" t="str">
        <f>PR3_LiOH_CL_Atacama_Brines!F26</f>
        <v>Lithium</v>
      </c>
      <c r="G14" s="1" t="s">
        <v>23</v>
      </c>
    </row>
    <row r="15" spans="1:14" x14ac:dyDescent="0.25">
      <c r="A15" s="1" t="str">
        <f>PR4_Li2CO3_AU_CN_She_Spodumene!A54</f>
        <v>Spodumene ore mining in Australia/Greenbushes and Li2CO3 production in China/Shehong</v>
      </c>
      <c r="B15" s="1" t="str">
        <f>PR4_Li2CO3_AU_CN_She_Spodumene!B54</f>
        <v>Battery-grade Li2CO3</v>
      </c>
      <c r="C15" s="1" t="str">
        <f>PR4_Li2CO3_AU_CN_She_Spodumene!C54</f>
        <v>AU-CN</v>
      </c>
      <c r="D15" s="1">
        <v>0.20718982481138803</v>
      </c>
      <c r="E15" s="1" t="str">
        <f>PR4_Li2CO3_AU_CN_She_Spodumene!E54</f>
        <v>kilogram</v>
      </c>
      <c r="F15" s="4" t="str">
        <f>PR4_Li2CO3_AU_CN_She_Spodumene!F54</f>
        <v>Lithium</v>
      </c>
      <c r="G15" s="1" t="s">
        <v>23</v>
      </c>
    </row>
    <row r="16" spans="1:14" x14ac:dyDescent="0.25">
      <c r="A16" s="1" t="str">
        <f>PR5_LiOH_AU_CN_She_Spodumene!A28</f>
        <v>Spodumene ore mining in Australia/Greenbushes and LiOH.H2O production in China/Shehong</v>
      </c>
      <c r="B16" s="1" t="str">
        <f>PR5_LiOH_AU_CN_She_Spodumene!B28</f>
        <v>Battery-grade LiOH.H2O</v>
      </c>
      <c r="C16" s="1" t="str">
        <f>PR5_LiOH_AU_CN_She_Spodumene!C28</f>
        <v>AU-CN</v>
      </c>
      <c r="D16" s="1">
        <v>5.919709280325372E-2</v>
      </c>
      <c r="E16" s="1" t="str">
        <f>PR5_LiOH_AU_CN_She_Spodumene!E28</f>
        <v>kilogram</v>
      </c>
      <c r="F16" s="4" t="str">
        <f>PR5_LiOH_AU_CN_She_Spodumene!F28</f>
        <v>Lithium</v>
      </c>
      <c r="G16" s="1" t="s">
        <v>23</v>
      </c>
    </row>
    <row r="17" spans="1:14" x14ac:dyDescent="0.25">
      <c r="A17" s="1" t="str">
        <f>PR6_Li2CO3_CN_Zha!A62</f>
        <v xml:space="preserve">Li2CO3 production in China/Zhangjiagang </v>
      </c>
      <c r="B17" s="1" t="str">
        <f>PR6_Li2CO3_CN_Zha!B62</f>
        <v>Battery-grade Li2CO3</v>
      </c>
      <c r="C17" s="1" t="str">
        <f>PR6_Li2CO3_CN_Zha!C62</f>
        <v>AU-CN</v>
      </c>
      <c r="D17" s="1">
        <v>0.22015447736747248</v>
      </c>
      <c r="E17" s="1" t="str">
        <f>PR6_Li2CO3_CN_Zha!E62</f>
        <v>kilogram</v>
      </c>
      <c r="F17" s="4" t="str">
        <f>PR6_Li2CO3_CN_Zha!F62</f>
        <v>Lithium</v>
      </c>
      <c r="G17" s="1" t="s">
        <v>23</v>
      </c>
    </row>
    <row r="18" spans="1:14" x14ac:dyDescent="0.25">
      <c r="A18" s="1" t="str">
        <f>PR7_Li2CO3_AR_Olaroz_Brines!A85</f>
        <v xml:space="preserve">Li2CO3 production in Argentina/Salar de Olaroz </v>
      </c>
      <c r="B18" s="1" t="str">
        <f>PR7_Li2CO3_AR_Olaroz_Brines!B85</f>
        <v>Battery-grade Li2CO3</v>
      </c>
      <c r="C18" s="1" t="str">
        <f>PR7_Li2CO3_AR_Olaroz_Brines!C85</f>
        <v>AR</v>
      </c>
      <c r="D18" s="1">
        <v>4.2921343914152414E-2</v>
      </c>
      <c r="E18" s="1" t="str">
        <f>PR7_Li2CO3_AR_Olaroz_Brines!E85</f>
        <v>kilogram</v>
      </c>
      <c r="F18" s="4" t="str">
        <f>PR7_Li2CO3_AR_Olaroz_Brines!F85</f>
        <v>Lithium</v>
      </c>
      <c r="G18" s="1" t="s">
        <v>23</v>
      </c>
    </row>
    <row r="19" spans="1:14" x14ac:dyDescent="0.25">
      <c r="A19" s="1" t="str">
        <f>PR8_Li2CO3_CN_Chaerhan_Brines!A69</f>
        <v xml:space="preserve">Li2CO3 production in China/Chaerhan Salt Lake </v>
      </c>
      <c r="B19" s="1" t="str">
        <f>PR8_Li2CO3_CN_Chaerhan_Brines!B69</f>
        <v>Battery-grade Li2CO3</v>
      </c>
      <c r="C19" s="1" t="str">
        <f>PR8_Li2CO3_CN_Chaerhan_Brines!C69</f>
        <v>CN</v>
      </c>
      <c r="D19" s="1">
        <v>8.2284515949059917E-2</v>
      </c>
      <c r="E19" s="1" t="str">
        <f>PR8_Li2CO3_CN_Chaerhan_Brines!E69</f>
        <v>kilogram</v>
      </c>
      <c r="F19" s="4" t="str">
        <f>PR8_Li2CO3_CN_Chaerhan_Brines!F69</f>
        <v>Lithium</v>
      </c>
      <c r="G19" s="1" t="s">
        <v>23</v>
      </c>
    </row>
    <row r="20" spans="1:14" x14ac:dyDescent="0.25">
      <c r="A20" s="1" t="str">
        <f>PR9_Li2CO3_AR_HombreM_Brines!A83</f>
        <v>Li2CO3 production in Argentina/Salar del Hombre Muerto</v>
      </c>
      <c r="B20" s="1" t="str">
        <f>PR9_Li2CO3_AR_HombreM_Brines!B83</f>
        <v>Battery-grade Li2CO3</v>
      </c>
      <c r="C20" s="1" t="str">
        <f>PR9_Li2CO3_AR_HombreM_Brines!C83</f>
        <v>AR</v>
      </c>
      <c r="D20" s="1">
        <v>4.8729861114510761E-2</v>
      </c>
      <c r="E20" s="1" t="str">
        <f>PR9_Li2CO3_AR_HombreM_Brines!E83</f>
        <v>kilogram</v>
      </c>
      <c r="F20" s="4" t="str">
        <f>PR9_Li2CO3_AR_HombreM_Brines!F83</f>
        <v>Lithium</v>
      </c>
      <c r="G20" s="1" t="s">
        <v>23</v>
      </c>
    </row>
    <row r="21" spans="1:14" s="6" customFormat="1" x14ac:dyDescent="0.25"/>
    <row r="22" spans="1:14" x14ac:dyDescent="0.25">
      <c r="A22" s="9" t="s">
        <v>0</v>
      </c>
      <c r="B22" s="2" t="s">
        <v>36</v>
      </c>
    </row>
    <row r="23" spans="1:14" x14ac:dyDescent="0.25">
      <c r="A23" s="3" t="s">
        <v>1</v>
      </c>
      <c r="B23" s="1" t="s">
        <v>37</v>
      </c>
    </row>
    <row r="24" spans="1:14" x14ac:dyDescent="0.25">
      <c r="A24" s="3" t="s">
        <v>2</v>
      </c>
      <c r="B24" s="1" t="s">
        <v>20</v>
      </c>
    </row>
    <row r="25" spans="1:14" x14ac:dyDescent="0.25">
      <c r="A25" s="3" t="s">
        <v>3</v>
      </c>
      <c r="B25" s="1">
        <v>1</v>
      </c>
    </row>
    <row r="26" spans="1:14" x14ac:dyDescent="0.25">
      <c r="A26" s="3" t="s">
        <v>4</v>
      </c>
      <c r="B26" s="1" t="s">
        <v>5</v>
      </c>
    </row>
    <row r="27" spans="1:14" x14ac:dyDescent="0.25">
      <c r="A27" s="3" t="s">
        <v>6</v>
      </c>
      <c r="B27" s="1" t="s">
        <v>38</v>
      </c>
    </row>
    <row r="28" spans="1:14" x14ac:dyDescent="0.25">
      <c r="A28" s="3" t="s">
        <v>8</v>
      </c>
    </row>
    <row r="29" spans="1:14" x14ac:dyDescent="0.25">
      <c r="A29" s="9" t="s">
        <v>9</v>
      </c>
      <c r="B29" s="9" t="s">
        <v>1</v>
      </c>
      <c r="C29" s="9" t="s">
        <v>2</v>
      </c>
      <c r="D29" s="9" t="s">
        <v>3</v>
      </c>
      <c r="E29" s="9" t="s">
        <v>4</v>
      </c>
      <c r="F29" s="9" t="s">
        <v>10</v>
      </c>
      <c r="G29" s="9" t="s">
        <v>11</v>
      </c>
      <c r="H29" s="9" t="s">
        <v>12</v>
      </c>
      <c r="I29" s="9" t="s">
        <v>13</v>
      </c>
      <c r="J29" s="9" t="s">
        <v>14</v>
      </c>
      <c r="K29" s="9" t="s">
        <v>15</v>
      </c>
      <c r="L29" s="9" t="s">
        <v>16</v>
      </c>
      <c r="M29" s="9" t="s">
        <v>17</v>
      </c>
      <c r="N29" s="9" t="s">
        <v>18</v>
      </c>
    </row>
    <row r="30" spans="1:14" x14ac:dyDescent="0.25">
      <c r="A30" s="1" t="str">
        <f>B22</f>
        <v>Lithium (Li) global market (Li content)</v>
      </c>
      <c r="B30" s="1" t="str">
        <f>B23</f>
        <v>Li content</v>
      </c>
      <c r="C30" s="1" t="str">
        <f>B24</f>
        <v>GLO</v>
      </c>
      <c r="D30" s="1">
        <v>1</v>
      </c>
      <c r="E30" s="1" t="str">
        <f>B26</f>
        <v>kilogram</v>
      </c>
      <c r="F30" s="4" t="str">
        <f>F11</f>
        <v>Lithium</v>
      </c>
      <c r="G30" s="1" t="s">
        <v>19</v>
      </c>
    </row>
    <row r="31" spans="1:14" x14ac:dyDescent="0.25">
      <c r="A31" s="1" t="str">
        <f>PR1_Li2CO3_AR_Cauchari_Brines!A60</f>
        <v>Li2CO3 production in Argentina/Salar de Cauchari (Li content)</v>
      </c>
      <c r="B31" s="1" t="str">
        <f>PR1_Li2CO3_AR_Cauchari_Brines!B60</f>
        <v>Battery-grade Li2CO3 (Li content)</v>
      </c>
      <c r="C31" s="1" t="str">
        <f>PR1_Li2CO3_AR_Cauchari_Brines!C60</f>
        <v>AR</v>
      </c>
      <c r="D31" s="1">
        <v>1.4624098615061511E-2</v>
      </c>
      <c r="E31" s="1" t="str">
        <f>PR1_Li2CO3_AR_Cauchari_Brines!E60</f>
        <v>kilogram</v>
      </c>
      <c r="F31" s="4" t="str">
        <f>PR1_Li2CO3_AR_Cauchari_Brines!F60</f>
        <v>Lithium</v>
      </c>
      <c r="G31" s="1" t="s">
        <v>23</v>
      </c>
    </row>
    <row r="32" spans="1:14" x14ac:dyDescent="0.25">
      <c r="A32" s="1" t="str">
        <f>PR2_Li2CO3_CL_Atacama_Brines!A59</f>
        <v>Li2CO3 production in Chile/Salar de Atacama (Li content)</v>
      </c>
      <c r="B32" s="1" t="str">
        <f>PR2_Li2CO3_CL_Atacama_Brines!B59</f>
        <v>Battery-grade Li2CO3 (Li content)</v>
      </c>
      <c r="C32" s="1" t="str">
        <f>PR2_Li2CO3_CL_Atacama_Brines!C59</f>
        <v>CL</v>
      </c>
      <c r="D32" s="1">
        <v>0.27973785425101216</v>
      </c>
      <c r="E32" s="1" t="str">
        <f>PR2_Li2CO3_CL_Atacama_Brines!E59</f>
        <v>kilogram</v>
      </c>
      <c r="F32" s="4" t="str">
        <f>PR2_Li2CO3_CL_Atacama_Brines!F59</f>
        <v>Lithium</v>
      </c>
      <c r="G32" s="1" t="s">
        <v>23</v>
      </c>
    </row>
    <row r="33" spans="1:7" x14ac:dyDescent="0.25">
      <c r="A33" s="1" t="str">
        <f>+PR3_LiOH_CL_Atacama_Brines!A39</f>
        <v>LiOH.H2O production in Chile/Salar de Atacama (Li content)</v>
      </c>
      <c r="B33" s="1" t="str">
        <f>+PR3_LiOH_CL_Atacama_Brines!B39</f>
        <v>Battery-grade LiOH.H2O (Li content)</v>
      </c>
      <c r="C33" s="1" t="str">
        <f>+PR3_LiOH_CL_Atacama_Brines!C39</f>
        <v>CL</v>
      </c>
      <c r="D33" s="1">
        <v>4.5160931174089078E-2</v>
      </c>
      <c r="E33" s="1" t="str">
        <f>+PR3_LiOH_CL_Atacama_Brines!E39</f>
        <v>kilogram</v>
      </c>
      <c r="F33" s="4" t="str">
        <f>+PR3_LiOH_CL_Atacama_Brines!F39</f>
        <v>Lithium</v>
      </c>
      <c r="G33" s="1" t="s">
        <v>23</v>
      </c>
    </row>
    <row r="34" spans="1:7" x14ac:dyDescent="0.25">
      <c r="A34" s="1" t="str">
        <f>+PR4_Li2CO3_AU_CN_She_Spodumene!A66</f>
        <v>Spodumene ore mining in Australia/Greenbushes and Li2CO3 production in China/Shehong (Li content)</v>
      </c>
      <c r="B34" s="1" t="str">
        <f>+PR4_Li2CO3_AU_CN_She_Spodumene!B66</f>
        <v>Battery-grade Li2CO3 (Li content)</v>
      </c>
      <c r="C34" s="1" t="str">
        <f>+PR4_Li2CO3_AU_CN_She_Spodumene!C66</f>
        <v>AU-CN</v>
      </c>
      <c r="D34" s="1">
        <v>0.20718982481138803</v>
      </c>
      <c r="E34" s="1" t="str">
        <f>+PR4_Li2CO3_AU_CN_She_Spodumene!E66</f>
        <v>kilogram</v>
      </c>
      <c r="F34" s="4" t="str">
        <f>+PR4_Li2CO3_AU_CN_She_Spodumene!F66</f>
        <v>Lithium</v>
      </c>
      <c r="G34" s="1" t="s">
        <v>23</v>
      </c>
    </row>
    <row r="35" spans="1:7" x14ac:dyDescent="0.25">
      <c r="A35" s="1" t="str">
        <f>+PR5_LiOH_AU_CN_She_Spodumene!A40</f>
        <v>Spodumene ore mining in Australia/Greenbushes and LiOH.H2O production in China/Shehong (Li content)</v>
      </c>
      <c r="B35" s="1" t="str">
        <f>+PR5_LiOH_AU_CN_She_Spodumene!B40</f>
        <v>Battery-grade LiOH.H2O (Li content)</v>
      </c>
      <c r="C35" s="1" t="str">
        <f>+PR5_LiOH_AU_CN_She_Spodumene!C40</f>
        <v>AU-CN</v>
      </c>
      <c r="D35" s="1">
        <v>5.919709280325372E-2</v>
      </c>
      <c r="E35" s="1" t="str">
        <f>+PR5_LiOH_AU_CN_She_Spodumene!E40</f>
        <v>kilogram</v>
      </c>
      <c r="F35" s="4" t="str">
        <f>+PR5_LiOH_AU_CN_She_Spodumene!F40</f>
        <v>Lithium</v>
      </c>
      <c r="G35" s="1" t="s">
        <v>23</v>
      </c>
    </row>
    <row r="36" spans="1:7" x14ac:dyDescent="0.25">
      <c r="A36" s="1" t="str">
        <f>+PR6_Li2CO3_CN_Zha!A74</f>
        <v>Li2CO3 production in China/Zhangjiagang (Li content)</v>
      </c>
      <c r="B36" s="1" t="str">
        <f>+PR6_Li2CO3_CN_Zha!B74</f>
        <v>Battery-grade Li2CO3 (Li content)</v>
      </c>
      <c r="C36" s="1" t="str">
        <f>+PR6_Li2CO3_CN_Zha!C74</f>
        <v>AU-CN</v>
      </c>
      <c r="D36" s="1">
        <v>0.22015447736747248</v>
      </c>
      <c r="E36" s="1" t="str">
        <f>+PR6_Li2CO3_CN_Zha!E74</f>
        <v>kilogram</v>
      </c>
      <c r="F36" s="4" t="str">
        <f>+PR6_Li2CO3_CN_Zha!F74</f>
        <v>Lithium</v>
      </c>
      <c r="G36" s="1" t="s">
        <v>23</v>
      </c>
    </row>
    <row r="37" spans="1:7" x14ac:dyDescent="0.25">
      <c r="A37" s="1" t="str">
        <f>PR7_Li2CO3_AR_Olaroz_Brines!A97</f>
        <v>Li2CO3 production in Argentina/Salar de Olaroz (Li content)</v>
      </c>
      <c r="B37" s="1" t="str">
        <f>PR7_Li2CO3_AR_Olaroz_Brines!B97</f>
        <v>Battery-grade Li2CO3 (Li content)</v>
      </c>
      <c r="C37" s="1" t="str">
        <f>PR7_Li2CO3_AR_Olaroz_Brines!C97</f>
        <v>AR</v>
      </c>
      <c r="D37" s="1">
        <v>4.2921343914152414E-2</v>
      </c>
      <c r="E37" s="1" t="str">
        <f>PR7_Li2CO3_AR_Olaroz_Brines!E97</f>
        <v>kilogram</v>
      </c>
      <c r="F37" s="4" t="str">
        <f>PR7_Li2CO3_AR_Olaroz_Brines!F97</f>
        <v>Lithium</v>
      </c>
      <c r="G37" s="1" t="s">
        <v>23</v>
      </c>
    </row>
    <row r="38" spans="1:7" x14ac:dyDescent="0.25">
      <c r="A38" s="1" t="str">
        <f>PR8_Li2CO3_CN_Chaerhan_Brines!A81</f>
        <v>Li2CO3 production in China/Chaerhan Salt Lake (Li content)</v>
      </c>
      <c r="B38" s="1" t="str">
        <f>PR8_Li2CO3_CN_Chaerhan_Brines!B81</f>
        <v>Battery-grade Li2CO3 (Li content)</v>
      </c>
      <c r="C38" s="1" t="str">
        <f>PR8_Li2CO3_CN_Chaerhan_Brines!C81</f>
        <v>CN</v>
      </c>
      <c r="D38" s="1">
        <v>8.2284515949059917E-2</v>
      </c>
      <c r="E38" s="1" t="str">
        <f>PR8_Li2CO3_CN_Chaerhan_Brines!E81</f>
        <v>kilogram</v>
      </c>
      <c r="F38" s="4" t="str">
        <f>PR8_Li2CO3_CN_Chaerhan_Brines!F81</f>
        <v>Lithium</v>
      </c>
      <c r="G38" s="1" t="s">
        <v>23</v>
      </c>
    </row>
    <row r="39" spans="1:7" x14ac:dyDescent="0.25">
      <c r="A39" s="1" t="str">
        <f>PR9_Li2CO3_AR_HombreM_Brines!A95</f>
        <v>Li2CO3 production in Argentina/Salar del Hombre Muerto (Li content)</v>
      </c>
      <c r="B39" s="1" t="str">
        <f>PR9_Li2CO3_AR_HombreM_Brines!B95</f>
        <v>Battery-grade Li2CO3 (Li content)</v>
      </c>
      <c r="C39" s="1" t="str">
        <f>PR9_Li2CO3_AR_HombreM_Brines!C95</f>
        <v>AR</v>
      </c>
      <c r="D39" s="1">
        <v>4.8729861114510761E-2</v>
      </c>
      <c r="E39" s="1" t="str">
        <f>PR9_Li2CO3_AR_HombreM_Brines!E95</f>
        <v>kilogram</v>
      </c>
      <c r="F39" s="4" t="str">
        <f>PR9_Li2CO3_AR_HombreM_Brines!F95</f>
        <v>Lithium</v>
      </c>
      <c r="G39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238F-0A7D-4E55-A93D-4500631432FA}">
  <sheetPr>
    <tabColor theme="8" tint="0.39997558519241921"/>
  </sheetPr>
  <dimension ref="A1:N62"/>
  <sheetViews>
    <sheetView workbookViewId="0">
      <selection activeCell="B28" sqref="B28"/>
    </sheetView>
  </sheetViews>
  <sheetFormatPr baseColWidth="10" defaultColWidth="8.7109375" defaultRowHeight="15" x14ac:dyDescent="0.25"/>
  <cols>
    <col min="1" max="2" width="63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107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Lithium (Li) brine concentration (Salar de Cauchari)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108</v>
      </c>
      <c r="B10" s="1" t="s">
        <v>109</v>
      </c>
      <c r="C10" s="1" t="s">
        <v>39</v>
      </c>
      <c r="D10" s="1">
        <v>0.18</v>
      </c>
      <c r="E10" s="1" t="s">
        <v>24</v>
      </c>
      <c r="F10" s="1" t="s">
        <v>22</v>
      </c>
      <c r="G10" s="1" t="s">
        <v>23</v>
      </c>
      <c r="J10" s="1" t="s">
        <v>110</v>
      </c>
    </row>
    <row r="11" spans="1:14" x14ac:dyDescent="0.25">
      <c r="A11" s="1" t="s">
        <v>44</v>
      </c>
      <c r="B11" s="1" t="s">
        <v>45</v>
      </c>
      <c r="C11" s="1" t="s">
        <v>25</v>
      </c>
      <c r="D11" s="1">
        <v>0.35299999999999998</v>
      </c>
      <c r="E11" s="1" t="s">
        <v>5</v>
      </c>
      <c r="F11" s="1" t="s">
        <v>22</v>
      </c>
      <c r="G11" s="1" t="s">
        <v>23</v>
      </c>
      <c r="J11" s="1" t="s">
        <v>110</v>
      </c>
    </row>
    <row r="12" spans="1:14" x14ac:dyDescent="0.25">
      <c r="A12" s="1" t="s">
        <v>111</v>
      </c>
      <c r="B12" s="1" t="s">
        <v>112</v>
      </c>
      <c r="C12" s="1" t="s">
        <v>25</v>
      </c>
      <c r="D12" s="1">
        <v>8.8699999999999994E-3</v>
      </c>
      <c r="E12" s="1" t="s">
        <v>5</v>
      </c>
      <c r="F12" s="1" t="s">
        <v>22</v>
      </c>
      <c r="G12" s="1" t="s">
        <v>23</v>
      </c>
      <c r="J12" s="1" t="s">
        <v>110</v>
      </c>
    </row>
    <row r="13" spans="1:14" x14ac:dyDescent="0.25">
      <c r="A13" s="1" t="s">
        <v>113</v>
      </c>
      <c r="B13" s="1" t="s">
        <v>114</v>
      </c>
      <c r="C13" s="1" t="s">
        <v>25</v>
      </c>
      <c r="D13" s="1">
        <v>-6.8399999999999997E-3</v>
      </c>
      <c r="E13" s="1" t="s">
        <v>27</v>
      </c>
      <c r="F13" s="1" t="s">
        <v>22</v>
      </c>
      <c r="G13" s="1" t="s">
        <v>23</v>
      </c>
      <c r="J13" s="1" t="s">
        <v>110</v>
      </c>
    </row>
    <row r="14" spans="1:14" x14ac:dyDescent="0.25">
      <c r="A14" s="1" t="s">
        <v>115</v>
      </c>
      <c r="B14" s="1" t="s">
        <v>116</v>
      </c>
      <c r="C14" s="1" t="s">
        <v>25</v>
      </c>
      <c r="D14" s="1">
        <v>-31.7</v>
      </c>
      <c r="E14" s="1" t="s">
        <v>5</v>
      </c>
      <c r="F14" s="1" t="s">
        <v>22</v>
      </c>
      <c r="G14" s="1" t="s">
        <v>23</v>
      </c>
      <c r="J14" s="1" t="s">
        <v>110</v>
      </c>
    </row>
    <row r="15" spans="1:14" x14ac:dyDescent="0.25">
      <c r="A15" s="1" t="s">
        <v>33</v>
      </c>
      <c r="D15" s="1">
        <v>6.59E-2</v>
      </c>
      <c r="E15" s="1" t="s">
        <v>5</v>
      </c>
      <c r="F15" s="1" t="s">
        <v>28</v>
      </c>
      <c r="G15" s="1" t="s">
        <v>29</v>
      </c>
      <c r="H15" s="1" t="s">
        <v>30</v>
      </c>
      <c r="J15" s="1" t="s">
        <v>110</v>
      </c>
    </row>
    <row r="16" spans="1:14" x14ac:dyDescent="0.25">
      <c r="A16" s="1" t="s">
        <v>26</v>
      </c>
      <c r="D16" s="1">
        <v>3.81E-3</v>
      </c>
      <c r="E16" s="1" t="s">
        <v>27</v>
      </c>
      <c r="F16" s="1" t="s">
        <v>28</v>
      </c>
      <c r="G16" s="1" t="s">
        <v>29</v>
      </c>
      <c r="H16" s="1" t="s">
        <v>30</v>
      </c>
      <c r="J16" s="1" t="s">
        <v>110</v>
      </c>
    </row>
    <row r="17" spans="1:14" x14ac:dyDescent="0.25">
      <c r="A17" s="1" t="s">
        <v>77</v>
      </c>
      <c r="D17" s="1">
        <v>5.5799999999999999E-3</v>
      </c>
      <c r="E17" s="1" t="s">
        <v>27</v>
      </c>
      <c r="F17" s="1" t="s">
        <v>28</v>
      </c>
      <c r="G17" s="1" t="s">
        <v>29</v>
      </c>
      <c r="H17" s="1" t="s">
        <v>31</v>
      </c>
      <c r="J17" s="1" t="s">
        <v>110</v>
      </c>
    </row>
    <row r="18" spans="1:14" x14ac:dyDescent="0.25">
      <c r="A18" s="1" t="s">
        <v>46</v>
      </c>
      <c r="D18" s="1">
        <v>1.03997892615061E-10</v>
      </c>
      <c r="E18" s="1" t="s">
        <v>47</v>
      </c>
      <c r="F18" s="1" t="s">
        <v>28</v>
      </c>
      <c r="G18" s="1" t="s">
        <v>29</v>
      </c>
      <c r="H18" s="1" t="s">
        <v>48</v>
      </c>
      <c r="J18" s="1" t="s">
        <v>117</v>
      </c>
    </row>
    <row r="19" spans="1:14" x14ac:dyDescent="0.25">
      <c r="A19" s="1" t="s">
        <v>64</v>
      </c>
      <c r="D19" s="1">
        <v>2.5999473153765199E-12</v>
      </c>
      <c r="E19" s="1" t="s">
        <v>49</v>
      </c>
      <c r="F19" s="1" t="s">
        <v>28</v>
      </c>
      <c r="G19" s="1" t="s">
        <v>29</v>
      </c>
      <c r="H19" s="1" t="s">
        <v>48</v>
      </c>
      <c r="J19" s="1" t="s">
        <v>117</v>
      </c>
    </row>
    <row r="20" spans="1:14" x14ac:dyDescent="0.25">
      <c r="A20" s="1" t="s">
        <v>50</v>
      </c>
      <c r="D20" s="1">
        <v>2.5999473153765199E-12</v>
      </c>
      <c r="E20" s="1" t="s">
        <v>49</v>
      </c>
      <c r="F20" s="1" t="s">
        <v>28</v>
      </c>
      <c r="G20" s="1" t="s">
        <v>29</v>
      </c>
      <c r="H20" s="1" t="s">
        <v>48</v>
      </c>
      <c r="J20" s="1" t="s">
        <v>117</v>
      </c>
    </row>
    <row r="21" spans="1:14" s="5" customFormat="1" x14ac:dyDescent="0.25"/>
    <row r="22" spans="1:14" x14ac:dyDescent="0.25">
      <c r="A22" s="7" t="s">
        <v>0</v>
      </c>
      <c r="B22" s="7" t="s">
        <v>118</v>
      </c>
    </row>
    <row r="23" spans="1:14" x14ac:dyDescent="0.25">
      <c r="A23" s="3" t="s">
        <v>1</v>
      </c>
      <c r="B23" s="1" t="s">
        <v>65</v>
      </c>
    </row>
    <row r="24" spans="1:14" x14ac:dyDescent="0.25">
      <c r="A24" s="3" t="s">
        <v>2</v>
      </c>
      <c r="B24" s="1" t="s">
        <v>39</v>
      </c>
    </row>
    <row r="25" spans="1:14" x14ac:dyDescent="0.25">
      <c r="A25" s="3" t="s">
        <v>3</v>
      </c>
      <c r="B25" s="1">
        <v>1</v>
      </c>
    </row>
    <row r="26" spans="1:14" x14ac:dyDescent="0.25">
      <c r="A26" s="3" t="s">
        <v>4</v>
      </c>
      <c r="B26" s="1" t="s">
        <v>5</v>
      </c>
    </row>
    <row r="27" spans="1:14" x14ac:dyDescent="0.25">
      <c r="A27" s="3" t="s">
        <v>6</v>
      </c>
      <c r="B27" s="1" t="s">
        <v>7</v>
      </c>
    </row>
    <row r="28" spans="1:14" x14ac:dyDescent="0.25">
      <c r="A28" s="3" t="s">
        <v>8</v>
      </c>
    </row>
    <row r="29" spans="1:14" x14ac:dyDescent="0.25">
      <c r="A29" s="7" t="s">
        <v>9</v>
      </c>
      <c r="B29" s="7" t="s">
        <v>1</v>
      </c>
      <c r="C29" s="7" t="s">
        <v>2</v>
      </c>
      <c r="D29" s="7" t="s">
        <v>3</v>
      </c>
      <c r="E29" s="7" t="s">
        <v>4</v>
      </c>
      <c r="F29" s="7" t="s">
        <v>10</v>
      </c>
      <c r="G29" s="7" t="s">
        <v>11</v>
      </c>
      <c r="H29" s="7" t="s">
        <v>12</v>
      </c>
      <c r="I29" s="7" t="s">
        <v>13</v>
      </c>
      <c r="J29" s="7" t="s">
        <v>14</v>
      </c>
      <c r="K29" s="7" t="s">
        <v>15</v>
      </c>
      <c r="L29" s="7" t="s">
        <v>16</v>
      </c>
      <c r="M29" s="7" t="s">
        <v>17</v>
      </c>
      <c r="N29" s="7" t="s">
        <v>18</v>
      </c>
    </row>
    <row r="30" spans="1:14" x14ac:dyDescent="0.25">
      <c r="A30" s="1" t="str">
        <f>B22</f>
        <v>[P] Battery-grade Li carbonate (Li2CO3) production (Salar de Cauchari)</v>
      </c>
      <c r="B30" s="1" t="str">
        <f>B23</f>
        <v>Battery-grade Li2CO3</v>
      </c>
      <c r="C30" s="1" t="str">
        <f>B24</f>
        <v>AR</v>
      </c>
      <c r="D30" s="1">
        <v>1</v>
      </c>
      <c r="E30" s="1" t="s">
        <v>5</v>
      </c>
      <c r="F30" s="4" t="str">
        <f>F9</f>
        <v>Lithium</v>
      </c>
      <c r="G30" s="1" t="s">
        <v>19</v>
      </c>
    </row>
    <row r="31" spans="1:14" x14ac:dyDescent="0.25">
      <c r="A31" s="1" t="s">
        <v>119</v>
      </c>
      <c r="B31" s="1" t="s">
        <v>120</v>
      </c>
      <c r="C31" s="1" t="s">
        <v>20</v>
      </c>
      <c r="D31" s="1">
        <v>1.86</v>
      </c>
      <c r="E31" s="1" t="s">
        <v>5</v>
      </c>
      <c r="F31" s="1" t="s">
        <v>22</v>
      </c>
      <c r="G31" s="1" t="s">
        <v>23</v>
      </c>
      <c r="J31" s="1" t="s">
        <v>110</v>
      </c>
    </row>
    <row r="32" spans="1:14" x14ac:dyDescent="0.25">
      <c r="A32" s="1" t="s">
        <v>44</v>
      </c>
      <c r="B32" s="1" t="s">
        <v>45</v>
      </c>
      <c r="C32" s="1" t="s">
        <v>25</v>
      </c>
      <c r="D32" s="1">
        <v>7.1000000000000004E-3</v>
      </c>
      <c r="E32" s="1" t="s">
        <v>5</v>
      </c>
      <c r="F32" s="1" t="s">
        <v>22</v>
      </c>
      <c r="G32" s="1" t="s">
        <v>23</v>
      </c>
      <c r="J32" s="1" t="s">
        <v>110</v>
      </c>
    </row>
    <row r="33" spans="1:14" x14ac:dyDescent="0.25">
      <c r="A33" s="1" t="s">
        <v>121</v>
      </c>
      <c r="B33" s="1" t="s">
        <v>122</v>
      </c>
      <c r="C33" s="1" t="s">
        <v>25</v>
      </c>
      <c r="D33" s="1">
        <v>2.3E-2</v>
      </c>
      <c r="E33" s="1" t="s">
        <v>5</v>
      </c>
      <c r="F33" s="1" t="s">
        <v>22</v>
      </c>
      <c r="G33" s="1" t="s">
        <v>23</v>
      </c>
      <c r="J33" s="1" t="s">
        <v>110</v>
      </c>
    </row>
    <row r="34" spans="1:14" x14ac:dyDescent="0.25">
      <c r="A34" s="1" t="s">
        <v>52</v>
      </c>
      <c r="B34" s="1" t="s">
        <v>53</v>
      </c>
      <c r="C34" s="1" t="s">
        <v>25</v>
      </c>
      <c r="D34" s="1">
        <v>4.4999999999999998E-2</v>
      </c>
      <c r="E34" s="1" t="s">
        <v>5</v>
      </c>
      <c r="F34" s="1" t="s">
        <v>22</v>
      </c>
      <c r="G34" s="1" t="s">
        <v>23</v>
      </c>
      <c r="J34" s="1" t="s">
        <v>110</v>
      </c>
    </row>
    <row r="35" spans="1:14" x14ac:dyDescent="0.25">
      <c r="A35" s="1" t="s">
        <v>54</v>
      </c>
      <c r="B35" s="1" t="s">
        <v>55</v>
      </c>
      <c r="C35" s="1" t="s">
        <v>25</v>
      </c>
      <c r="D35" s="1">
        <v>0.02</v>
      </c>
      <c r="E35" s="1" t="s">
        <v>5</v>
      </c>
      <c r="F35" s="1" t="s">
        <v>22</v>
      </c>
      <c r="G35" s="1" t="s">
        <v>23</v>
      </c>
      <c r="J35" s="1" t="s">
        <v>110</v>
      </c>
    </row>
    <row r="36" spans="1:14" x14ac:dyDescent="0.25">
      <c r="A36" s="1" t="s">
        <v>99</v>
      </c>
      <c r="B36" s="1" t="s">
        <v>100</v>
      </c>
      <c r="C36" s="1" t="s">
        <v>25</v>
      </c>
      <c r="D36" s="1">
        <v>1.8E-3</v>
      </c>
      <c r="E36" s="1" t="s">
        <v>5</v>
      </c>
      <c r="F36" s="1" t="s">
        <v>22</v>
      </c>
      <c r="G36" s="1" t="s">
        <v>23</v>
      </c>
      <c r="J36" s="1" t="s">
        <v>110</v>
      </c>
    </row>
    <row r="37" spans="1:14" x14ac:dyDescent="0.25">
      <c r="A37" s="1" t="s">
        <v>108</v>
      </c>
      <c r="B37" s="1" t="s">
        <v>109</v>
      </c>
      <c r="C37" s="1" t="s">
        <v>39</v>
      </c>
      <c r="D37" s="1">
        <v>2.59</v>
      </c>
      <c r="E37" s="1" t="s">
        <v>24</v>
      </c>
      <c r="F37" s="1" t="s">
        <v>22</v>
      </c>
      <c r="G37" s="1" t="s">
        <v>23</v>
      </c>
      <c r="J37" s="1" t="s">
        <v>110</v>
      </c>
    </row>
    <row r="38" spans="1:14" x14ac:dyDescent="0.25">
      <c r="A38" s="1" t="s">
        <v>26</v>
      </c>
      <c r="D38" s="1">
        <v>8.5000000000000006E-3</v>
      </c>
      <c r="E38" s="1" t="s">
        <v>27</v>
      </c>
      <c r="F38" s="1" t="s">
        <v>28</v>
      </c>
      <c r="G38" s="1" t="s">
        <v>29</v>
      </c>
      <c r="H38" s="1" t="s">
        <v>30</v>
      </c>
      <c r="J38" s="1" t="s">
        <v>110</v>
      </c>
    </row>
    <row r="39" spans="1:14" s="6" customFormat="1" x14ac:dyDescent="0.25"/>
    <row r="40" spans="1:14" x14ac:dyDescent="0.25">
      <c r="A40" s="7" t="s">
        <v>0</v>
      </c>
      <c r="B40" s="7" t="s">
        <v>123</v>
      </c>
    </row>
    <row r="41" spans="1:14" x14ac:dyDescent="0.25">
      <c r="A41" s="3" t="s">
        <v>1</v>
      </c>
      <c r="B41" s="1" t="s">
        <v>65</v>
      </c>
    </row>
    <row r="42" spans="1:14" x14ac:dyDescent="0.25">
      <c r="A42" s="3" t="s">
        <v>2</v>
      </c>
      <c r="B42" s="1" t="s">
        <v>39</v>
      </c>
    </row>
    <row r="43" spans="1:14" x14ac:dyDescent="0.25">
      <c r="A43" s="3" t="s">
        <v>3</v>
      </c>
      <c r="B43" s="1">
        <v>1</v>
      </c>
    </row>
    <row r="44" spans="1:14" x14ac:dyDescent="0.25">
      <c r="A44" s="3" t="s">
        <v>4</v>
      </c>
      <c r="B44" s="1" t="s">
        <v>5</v>
      </c>
    </row>
    <row r="45" spans="1:14" x14ac:dyDescent="0.25">
      <c r="A45" s="3" t="s">
        <v>6</v>
      </c>
      <c r="B45" s="1" t="s">
        <v>7</v>
      </c>
    </row>
    <row r="46" spans="1:14" x14ac:dyDescent="0.25">
      <c r="A46" s="3" t="s">
        <v>8</v>
      </c>
    </row>
    <row r="47" spans="1:14" x14ac:dyDescent="0.25">
      <c r="A47" s="7" t="s">
        <v>9</v>
      </c>
      <c r="B47" s="7" t="s">
        <v>1</v>
      </c>
      <c r="C47" s="7" t="s">
        <v>2</v>
      </c>
      <c r="D47" s="7" t="s">
        <v>3</v>
      </c>
      <c r="E47" s="7" t="s">
        <v>4</v>
      </c>
      <c r="F47" s="7" t="s">
        <v>10</v>
      </c>
      <c r="G47" s="7" t="s">
        <v>11</v>
      </c>
      <c r="H47" s="7" t="s">
        <v>12</v>
      </c>
      <c r="I47" s="7" t="s">
        <v>13</v>
      </c>
      <c r="J47" s="7" t="s">
        <v>14</v>
      </c>
      <c r="K47" s="7" t="s">
        <v>15</v>
      </c>
      <c r="L47" s="7" t="s">
        <v>16</v>
      </c>
      <c r="M47" s="7" t="s">
        <v>17</v>
      </c>
      <c r="N47" s="7" t="s">
        <v>18</v>
      </c>
    </row>
    <row r="48" spans="1:14" x14ac:dyDescent="0.25">
      <c r="A48" s="1" t="str">
        <f>B40</f>
        <v>Li2CO3 production in Argentina/Salar de Cauchari</v>
      </c>
      <c r="B48" s="1" t="str">
        <f>B41</f>
        <v>Battery-grade Li2CO3</v>
      </c>
      <c r="C48" s="1" t="str">
        <f>B42</f>
        <v>AR</v>
      </c>
      <c r="D48" s="1">
        <v>1</v>
      </c>
      <c r="E48" s="1" t="s">
        <v>5</v>
      </c>
      <c r="F48" s="4" t="str">
        <f>F30</f>
        <v>Lithium</v>
      </c>
      <c r="G48" s="1" t="s">
        <v>19</v>
      </c>
    </row>
    <row r="49" spans="1:14" x14ac:dyDescent="0.25">
      <c r="A49" s="1" t="str">
        <f>A30</f>
        <v>[P] Battery-grade Li carbonate (Li2CO3) production (Salar de Cauchari)</v>
      </c>
      <c r="B49" s="1" t="str">
        <f>B30</f>
        <v>Battery-grade Li2CO3</v>
      </c>
      <c r="C49" s="1" t="str">
        <f>C30</f>
        <v>AR</v>
      </c>
      <c r="D49" s="1">
        <v>1</v>
      </c>
      <c r="E49" s="1" t="str">
        <f>E30</f>
        <v>kilogram</v>
      </c>
      <c r="F49" s="4" t="str">
        <f>F30</f>
        <v>Lithium</v>
      </c>
      <c r="G49" s="1" t="s">
        <v>23</v>
      </c>
    </row>
    <row r="50" spans="1:14" x14ac:dyDescent="0.25">
      <c r="A50" s="1" t="str">
        <f>A9</f>
        <v>[M+C] Lithium (Li) brine concentration (Salar de Cauchari)</v>
      </c>
      <c r="B50" s="1" t="str">
        <f>B9</f>
        <v>Li brine</v>
      </c>
      <c r="C50" s="1" t="str">
        <f>C9</f>
        <v>AR</v>
      </c>
      <c r="D50" s="1">
        <v>5.15</v>
      </c>
      <c r="E50" s="1" t="str">
        <f>E9</f>
        <v>kilogram</v>
      </c>
      <c r="F50" s="4" t="str">
        <f>F9</f>
        <v>Lithium</v>
      </c>
      <c r="G50" s="1" t="s">
        <v>23</v>
      </c>
    </row>
    <row r="51" spans="1:14" s="6" customFormat="1" x14ac:dyDescent="0.25"/>
    <row r="52" spans="1:14" x14ac:dyDescent="0.25">
      <c r="A52" s="7" t="s">
        <v>0</v>
      </c>
      <c r="B52" s="7" t="s">
        <v>124</v>
      </c>
    </row>
    <row r="53" spans="1:14" x14ac:dyDescent="0.25">
      <c r="A53" s="3" t="s">
        <v>1</v>
      </c>
      <c r="B53" s="1" t="s">
        <v>76</v>
      </c>
    </row>
    <row r="54" spans="1:14" x14ac:dyDescent="0.25">
      <c r="A54" s="3" t="s">
        <v>2</v>
      </c>
      <c r="B54" s="1" t="s">
        <v>39</v>
      </c>
    </row>
    <row r="55" spans="1:14" x14ac:dyDescent="0.25">
      <c r="A55" s="3" t="s">
        <v>3</v>
      </c>
      <c r="B55" s="1">
        <v>1</v>
      </c>
    </row>
    <row r="56" spans="1:14" x14ac:dyDescent="0.25">
      <c r="A56" s="3" t="s">
        <v>4</v>
      </c>
      <c r="B56" s="1" t="s">
        <v>5</v>
      </c>
    </row>
    <row r="57" spans="1:14" x14ac:dyDescent="0.25">
      <c r="A57" s="3" t="s">
        <v>6</v>
      </c>
      <c r="B57" s="1" t="s">
        <v>38</v>
      </c>
    </row>
    <row r="58" spans="1:14" x14ac:dyDescent="0.25">
      <c r="A58" s="3" t="s">
        <v>8</v>
      </c>
    </row>
    <row r="59" spans="1:14" x14ac:dyDescent="0.25">
      <c r="A59" s="7" t="s">
        <v>9</v>
      </c>
      <c r="B59" s="7" t="s">
        <v>1</v>
      </c>
      <c r="C59" s="7" t="s">
        <v>2</v>
      </c>
      <c r="D59" s="7" t="s">
        <v>3</v>
      </c>
      <c r="E59" s="7" t="s">
        <v>4</v>
      </c>
      <c r="F59" s="7" t="s">
        <v>10</v>
      </c>
      <c r="G59" s="7" t="s">
        <v>11</v>
      </c>
      <c r="H59" s="7" t="s">
        <v>12</v>
      </c>
      <c r="I59" s="7" t="s">
        <v>13</v>
      </c>
      <c r="J59" s="7" t="s">
        <v>14</v>
      </c>
      <c r="K59" s="7" t="s">
        <v>15</v>
      </c>
      <c r="L59" s="7" t="s">
        <v>16</v>
      </c>
      <c r="M59" s="7" t="s">
        <v>17</v>
      </c>
      <c r="N59" s="7" t="s">
        <v>18</v>
      </c>
    </row>
    <row r="60" spans="1:14" x14ac:dyDescent="0.25">
      <c r="A60" s="1" t="str">
        <f>B52</f>
        <v>Li2CO3 production in Argentina/Salar de Cauchari (Li content)</v>
      </c>
      <c r="B60" s="1" t="str">
        <f>B53</f>
        <v>Battery-grade Li2CO3 (Li content)</v>
      </c>
      <c r="C60" s="1" t="str">
        <f>B54</f>
        <v>AR</v>
      </c>
      <c r="D60" s="1">
        <v>1</v>
      </c>
      <c r="E60" s="1" t="s">
        <v>5</v>
      </c>
      <c r="F60" s="4" t="str">
        <f>F48</f>
        <v>Lithium</v>
      </c>
      <c r="G60" s="1" t="s">
        <v>19</v>
      </c>
    </row>
    <row r="61" spans="1:14" x14ac:dyDescent="0.25">
      <c r="A61" s="1" t="str">
        <f>A49</f>
        <v>[P] Battery-grade Li carbonate (Li2CO3) production (Salar de Cauchari)</v>
      </c>
      <c r="B61" s="1" t="str">
        <f t="shared" ref="B61:G61" si="0">B49</f>
        <v>Battery-grade Li2CO3</v>
      </c>
      <c r="C61" s="1" t="str">
        <f t="shared" si="0"/>
        <v>AR</v>
      </c>
      <c r="D61" s="1">
        <v>5.3219797764768497</v>
      </c>
      <c r="E61" s="1" t="str">
        <f t="shared" si="0"/>
        <v>kilogram</v>
      </c>
      <c r="F61" s="4" t="str">
        <f t="shared" si="0"/>
        <v>Lithium</v>
      </c>
      <c r="G61" s="1" t="str">
        <f t="shared" si="0"/>
        <v>technosphere</v>
      </c>
    </row>
    <row r="62" spans="1:14" x14ac:dyDescent="0.25">
      <c r="A62" s="1" t="str">
        <f>A50</f>
        <v>[M+C] Lithium (Li) brine concentration (Salar de Cauchari)</v>
      </c>
      <c r="B62" s="1" t="str">
        <f t="shared" ref="B62:G62" si="1">B50</f>
        <v>Li brine</v>
      </c>
      <c r="C62" s="1" t="str">
        <f t="shared" si="1"/>
        <v>AR</v>
      </c>
      <c r="D62" s="1">
        <v>27.40819584885578</v>
      </c>
      <c r="E62" s="1" t="str">
        <f t="shared" si="1"/>
        <v>kilogram</v>
      </c>
      <c r="F62" s="4" t="str">
        <f t="shared" si="1"/>
        <v>Lithium</v>
      </c>
      <c r="G62" s="1" t="str">
        <f t="shared" si="1"/>
        <v>technosphere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E95-0D78-4B2A-827F-9FEC152B8ABB}">
  <sheetPr>
    <tabColor theme="8" tint="0.39997558519241921"/>
  </sheetPr>
  <dimension ref="A1:N61"/>
  <sheetViews>
    <sheetView workbookViewId="0">
      <selection activeCell="B20" sqref="B20"/>
    </sheetView>
  </sheetViews>
  <sheetFormatPr baseColWidth="10" defaultColWidth="8.7109375" defaultRowHeight="15" x14ac:dyDescent="0.25"/>
  <cols>
    <col min="1" max="2" width="63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17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125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126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Lithium (Li) brine concentration (Salar de Atacama)</v>
      </c>
      <c r="B9" s="1" t="str">
        <f>B2</f>
        <v>Li brine</v>
      </c>
      <c r="C9" s="1" t="str">
        <f>B3</f>
        <v>CL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108</v>
      </c>
      <c r="B10" s="1" t="s">
        <v>109</v>
      </c>
      <c r="C10" s="1" t="s">
        <v>126</v>
      </c>
      <c r="D10" s="1">
        <v>0.81184444444444448</v>
      </c>
      <c r="E10" s="1" t="s">
        <v>24</v>
      </c>
      <c r="F10" s="1" t="s">
        <v>22</v>
      </c>
      <c r="G10" s="1" t="s">
        <v>23</v>
      </c>
      <c r="J10" s="1" t="s">
        <v>127</v>
      </c>
    </row>
    <row r="11" spans="1:14" x14ac:dyDescent="0.25">
      <c r="A11" s="1" t="s">
        <v>128</v>
      </c>
      <c r="B11" s="1" t="s">
        <v>129</v>
      </c>
      <c r="C11" s="1" t="s">
        <v>20</v>
      </c>
      <c r="D11" s="1">
        <v>2.5228000000000002</v>
      </c>
      <c r="E11" s="1" t="s">
        <v>21</v>
      </c>
      <c r="F11" s="1" t="s">
        <v>22</v>
      </c>
      <c r="G11" s="1" t="s">
        <v>23</v>
      </c>
      <c r="J11" s="1" t="s">
        <v>127</v>
      </c>
    </row>
    <row r="12" spans="1:14" s="8" customFormat="1" x14ac:dyDescent="0.25">
      <c r="A12" s="8" t="s">
        <v>130</v>
      </c>
      <c r="B12" s="8" t="s">
        <v>131</v>
      </c>
      <c r="C12" s="8" t="s">
        <v>25</v>
      </c>
      <c r="D12" s="8">
        <v>-8.52</v>
      </c>
      <c r="E12" s="8" t="s">
        <v>5</v>
      </c>
      <c r="F12" s="8" t="s">
        <v>22</v>
      </c>
      <c r="G12" s="8" t="s">
        <v>23</v>
      </c>
      <c r="J12" s="8" t="s">
        <v>127</v>
      </c>
    </row>
    <row r="13" spans="1:14" x14ac:dyDescent="0.25">
      <c r="A13" s="1" t="s">
        <v>33</v>
      </c>
      <c r="D13" s="1">
        <v>4.0970000000000013E-2</v>
      </c>
      <c r="E13" s="1" t="s">
        <v>5</v>
      </c>
      <c r="F13" s="1" t="s">
        <v>28</v>
      </c>
      <c r="G13" s="1" t="s">
        <v>29</v>
      </c>
      <c r="H13" s="1" t="s">
        <v>30</v>
      </c>
      <c r="J13" s="1" t="s">
        <v>127</v>
      </c>
    </row>
    <row r="14" spans="1:14" x14ac:dyDescent="0.25">
      <c r="A14" s="1" t="s">
        <v>26</v>
      </c>
      <c r="D14" s="1">
        <v>2.2848E-2</v>
      </c>
      <c r="E14" s="1" t="s">
        <v>27</v>
      </c>
      <c r="F14" s="1" t="s">
        <v>28</v>
      </c>
      <c r="G14" s="1" t="s">
        <v>29</v>
      </c>
      <c r="H14" s="1" t="s">
        <v>30</v>
      </c>
      <c r="J14" s="1" t="s">
        <v>127</v>
      </c>
    </row>
    <row r="15" spans="1:14" x14ac:dyDescent="0.25">
      <c r="A15" s="1" t="s">
        <v>46</v>
      </c>
      <c r="D15" s="1">
        <v>2.2033311689119999E-10</v>
      </c>
      <c r="E15" s="1" t="s">
        <v>47</v>
      </c>
      <c r="F15" s="1" t="s">
        <v>28</v>
      </c>
      <c r="G15" s="1" t="s">
        <v>29</v>
      </c>
      <c r="H15" s="1" t="s">
        <v>48</v>
      </c>
      <c r="J15" s="1" t="s">
        <v>132</v>
      </c>
    </row>
    <row r="16" spans="1:14" x14ac:dyDescent="0.25">
      <c r="A16" s="1" t="s">
        <v>64</v>
      </c>
      <c r="D16" s="1">
        <v>5.5083279222799901E-12</v>
      </c>
      <c r="E16" s="1" t="s">
        <v>49</v>
      </c>
      <c r="F16" s="1" t="s">
        <v>28</v>
      </c>
      <c r="G16" s="1" t="s">
        <v>29</v>
      </c>
      <c r="H16" s="1" t="s">
        <v>48</v>
      </c>
      <c r="J16" s="1" t="s">
        <v>132</v>
      </c>
    </row>
    <row r="17" spans="1:14" x14ac:dyDescent="0.25">
      <c r="A17" s="1" t="s">
        <v>50</v>
      </c>
      <c r="D17" s="1">
        <v>5.5083279222799901E-12</v>
      </c>
      <c r="E17" s="1" t="s">
        <v>49</v>
      </c>
      <c r="F17" s="1" t="s">
        <v>28</v>
      </c>
      <c r="G17" s="1" t="s">
        <v>29</v>
      </c>
      <c r="H17" s="1" t="s">
        <v>48</v>
      </c>
      <c r="J17" s="1" t="s">
        <v>132</v>
      </c>
    </row>
    <row r="18" spans="1:14" s="5" customFormat="1" x14ac:dyDescent="0.25"/>
    <row r="19" spans="1:14" x14ac:dyDescent="0.25">
      <c r="A19" s="7" t="s">
        <v>0</v>
      </c>
      <c r="B19" s="7" t="s">
        <v>133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126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7" t="s">
        <v>9</v>
      </c>
      <c r="B26" s="7" t="s">
        <v>1</v>
      </c>
      <c r="C26" s="7" t="s">
        <v>2</v>
      </c>
      <c r="D26" s="7" t="s">
        <v>3</v>
      </c>
      <c r="E26" s="7" t="s">
        <v>4</v>
      </c>
      <c r="F26" s="7" t="s">
        <v>10</v>
      </c>
      <c r="G26" s="7" t="s">
        <v>11</v>
      </c>
      <c r="H26" s="7" t="s">
        <v>12</v>
      </c>
      <c r="I26" s="7" t="s">
        <v>13</v>
      </c>
      <c r="J26" s="7" t="s">
        <v>14</v>
      </c>
      <c r="K26" s="7" t="s">
        <v>15</v>
      </c>
      <c r="L26" s="7" t="s">
        <v>16</v>
      </c>
      <c r="M26" s="7" t="s">
        <v>17</v>
      </c>
      <c r="N26" s="7" t="s">
        <v>18</v>
      </c>
    </row>
    <row r="27" spans="1:14" x14ac:dyDescent="0.25">
      <c r="A27" s="1" t="str">
        <f>B19</f>
        <v>[P] Battery-grade Li carbonate (Li2CO3) production (Salar de Atacama)</v>
      </c>
      <c r="B27" s="1" t="str">
        <f>B20</f>
        <v>Battery-grade Li2CO3</v>
      </c>
      <c r="C27" s="1" t="str">
        <f>B21</f>
        <v>CL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119</v>
      </c>
      <c r="B28" s="1" t="s">
        <v>120</v>
      </c>
      <c r="C28" s="1" t="s">
        <v>20</v>
      </c>
      <c r="D28" s="1">
        <v>2</v>
      </c>
      <c r="E28" s="1" t="s">
        <v>5</v>
      </c>
      <c r="F28" s="1" t="s">
        <v>22</v>
      </c>
      <c r="G28" s="1" t="s">
        <v>23</v>
      </c>
      <c r="J28" s="1" t="s">
        <v>127</v>
      </c>
    </row>
    <row r="29" spans="1:14" x14ac:dyDescent="0.25">
      <c r="A29" s="1" t="s">
        <v>121</v>
      </c>
      <c r="B29" s="1" t="s">
        <v>122</v>
      </c>
      <c r="C29" s="1" t="s">
        <v>25</v>
      </c>
      <c r="D29" s="1">
        <v>1.6E-2</v>
      </c>
      <c r="E29" s="1" t="s">
        <v>5</v>
      </c>
      <c r="F29" s="1" t="s">
        <v>22</v>
      </c>
      <c r="G29" s="1" t="s">
        <v>23</v>
      </c>
      <c r="J29" s="1" t="s">
        <v>127</v>
      </c>
    </row>
    <row r="30" spans="1:14" x14ac:dyDescent="0.25">
      <c r="A30" s="1" t="s">
        <v>52</v>
      </c>
      <c r="B30" s="1" t="s">
        <v>53</v>
      </c>
      <c r="C30" s="1" t="s">
        <v>25</v>
      </c>
      <c r="D30" s="1">
        <v>1.6E-2</v>
      </c>
      <c r="E30" s="1" t="s">
        <v>5</v>
      </c>
      <c r="F30" s="1" t="s">
        <v>22</v>
      </c>
      <c r="G30" s="1" t="s">
        <v>23</v>
      </c>
      <c r="J30" s="1" t="s">
        <v>127</v>
      </c>
    </row>
    <row r="31" spans="1:14" x14ac:dyDescent="0.25">
      <c r="A31" s="1" t="s">
        <v>134</v>
      </c>
      <c r="B31" s="1" t="s">
        <v>135</v>
      </c>
      <c r="C31" s="1" t="s">
        <v>25</v>
      </c>
      <c r="D31" s="1">
        <v>1.6E-2</v>
      </c>
      <c r="E31" s="1" t="s">
        <v>5</v>
      </c>
      <c r="F31" s="1" t="s">
        <v>22</v>
      </c>
      <c r="G31" s="1" t="s">
        <v>23</v>
      </c>
      <c r="J31" s="1" t="s">
        <v>127</v>
      </c>
    </row>
    <row r="32" spans="1:14" x14ac:dyDescent="0.25">
      <c r="A32" s="1" t="s">
        <v>136</v>
      </c>
      <c r="B32" s="1" t="s">
        <v>137</v>
      </c>
      <c r="C32" s="1" t="s">
        <v>20</v>
      </c>
      <c r="D32" s="1">
        <v>3.2000000000000001E-2</v>
      </c>
      <c r="E32" s="1" t="s">
        <v>5</v>
      </c>
      <c r="F32" s="1" t="s">
        <v>22</v>
      </c>
      <c r="G32" s="1" t="s">
        <v>23</v>
      </c>
      <c r="J32" s="1" t="s">
        <v>127</v>
      </c>
    </row>
    <row r="33" spans="1:14" x14ac:dyDescent="0.25">
      <c r="A33" s="1" t="s">
        <v>108</v>
      </c>
      <c r="B33" s="1" t="s">
        <v>109</v>
      </c>
      <c r="C33" s="1" t="s">
        <v>126</v>
      </c>
      <c r="D33" s="1">
        <v>0.41666666666666657</v>
      </c>
      <c r="E33" s="1" t="s">
        <v>24</v>
      </c>
      <c r="F33" s="1" t="s">
        <v>22</v>
      </c>
      <c r="G33" s="1" t="s">
        <v>23</v>
      </c>
      <c r="J33" s="1" t="s">
        <v>127</v>
      </c>
    </row>
    <row r="34" spans="1:14" x14ac:dyDescent="0.25">
      <c r="A34" s="1" t="s">
        <v>128</v>
      </c>
      <c r="B34" s="1" t="s">
        <v>129</v>
      </c>
      <c r="C34" s="1" t="s">
        <v>20</v>
      </c>
      <c r="D34" s="1">
        <v>0.4</v>
      </c>
      <c r="E34" s="1" t="s">
        <v>21</v>
      </c>
      <c r="F34" s="1" t="s">
        <v>22</v>
      </c>
      <c r="G34" s="1" t="s">
        <v>23</v>
      </c>
      <c r="J34" s="1" t="s">
        <v>127</v>
      </c>
    </row>
    <row r="35" spans="1:14" x14ac:dyDescent="0.25">
      <c r="A35" s="1" t="s">
        <v>138</v>
      </c>
      <c r="B35" s="1" t="s">
        <v>51</v>
      </c>
      <c r="C35" s="1" t="s">
        <v>25</v>
      </c>
      <c r="D35" s="1">
        <v>2.8</v>
      </c>
      <c r="E35" s="1" t="s">
        <v>21</v>
      </c>
      <c r="F35" s="1" t="s">
        <v>22</v>
      </c>
      <c r="G35" s="1" t="s">
        <v>23</v>
      </c>
      <c r="J35" s="1" t="s">
        <v>127</v>
      </c>
    </row>
    <row r="36" spans="1:14" x14ac:dyDescent="0.25">
      <c r="A36" s="1" t="s">
        <v>139</v>
      </c>
      <c r="D36" s="1">
        <v>6.9999999999999999E-4</v>
      </c>
      <c r="E36" s="1" t="s">
        <v>5</v>
      </c>
      <c r="F36" s="1" t="s">
        <v>28</v>
      </c>
      <c r="G36" s="1" t="s">
        <v>29</v>
      </c>
      <c r="H36" s="1" t="s">
        <v>32</v>
      </c>
      <c r="J36" s="1" t="s">
        <v>127</v>
      </c>
    </row>
    <row r="37" spans="1:14" x14ac:dyDescent="0.25">
      <c r="A37" s="1" t="s">
        <v>140</v>
      </c>
      <c r="D37" s="1">
        <v>4.0000000000000002E-4</v>
      </c>
      <c r="E37" s="1" t="s">
        <v>5</v>
      </c>
      <c r="F37" s="1" t="s">
        <v>28</v>
      </c>
      <c r="G37" s="1" t="s">
        <v>29</v>
      </c>
      <c r="H37" s="1" t="s">
        <v>32</v>
      </c>
      <c r="J37" s="1" t="s">
        <v>127</v>
      </c>
    </row>
    <row r="38" spans="1:14" s="6" customFormat="1" x14ac:dyDescent="0.25"/>
    <row r="39" spans="1:14" x14ac:dyDescent="0.25">
      <c r="A39" s="7" t="s">
        <v>0</v>
      </c>
      <c r="B39" s="7" t="s">
        <v>141</v>
      </c>
    </row>
    <row r="40" spans="1:14" x14ac:dyDescent="0.25">
      <c r="A40" s="3" t="s">
        <v>1</v>
      </c>
      <c r="B40" s="1" t="s">
        <v>65</v>
      </c>
    </row>
    <row r="41" spans="1:14" x14ac:dyDescent="0.25">
      <c r="A41" s="3" t="s">
        <v>2</v>
      </c>
      <c r="B41" s="1" t="s">
        <v>126</v>
      </c>
    </row>
    <row r="42" spans="1:14" x14ac:dyDescent="0.25">
      <c r="A42" s="3" t="s">
        <v>3</v>
      </c>
      <c r="B42" s="1">
        <v>1</v>
      </c>
    </row>
    <row r="43" spans="1:14" x14ac:dyDescent="0.25">
      <c r="A43" s="3" t="s">
        <v>4</v>
      </c>
      <c r="B43" s="1" t="s">
        <v>5</v>
      </c>
    </row>
    <row r="44" spans="1:14" x14ac:dyDescent="0.25">
      <c r="A44" s="3" t="s">
        <v>6</v>
      </c>
      <c r="B44" s="1" t="s">
        <v>7</v>
      </c>
    </row>
    <row r="45" spans="1:14" x14ac:dyDescent="0.25">
      <c r="A45" s="3" t="s">
        <v>8</v>
      </c>
    </row>
    <row r="46" spans="1:14" x14ac:dyDescent="0.25">
      <c r="A46" s="7" t="s">
        <v>9</v>
      </c>
      <c r="B46" s="7" t="s">
        <v>1</v>
      </c>
      <c r="C46" s="7" t="s">
        <v>2</v>
      </c>
      <c r="D46" s="7" t="s">
        <v>3</v>
      </c>
      <c r="E46" s="7" t="s">
        <v>4</v>
      </c>
      <c r="F46" s="7" t="s">
        <v>10</v>
      </c>
      <c r="G46" s="7" t="s">
        <v>11</v>
      </c>
      <c r="H46" s="7" t="s">
        <v>12</v>
      </c>
      <c r="I46" s="7" t="s">
        <v>13</v>
      </c>
      <c r="J46" s="7" t="s">
        <v>14</v>
      </c>
      <c r="K46" s="7" t="s">
        <v>15</v>
      </c>
      <c r="L46" s="7" t="s">
        <v>16</v>
      </c>
      <c r="M46" s="7" t="s">
        <v>17</v>
      </c>
      <c r="N46" s="7" t="s">
        <v>18</v>
      </c>
    </row>
    <row r="47" spans="1:14" x14ac:dyDescent="0.25">
      <c r="A47" s="1" t="str">
        <f>B39</f>
        <v xml:space="preserve">Li2CO3 production in Chile/Salar de Atacama </v>
      </c>
      <c r="B47" s="1" t="str">
        <f>B40</f>
        <v>Battery-grade Li2CO3</v>
      </c>
      <c r="C47" s="1" t="str">
        <f>B41</f>
        <v>CL</v>
      </c>
      <c r="D47" s="1">
        <v>1</v>
      </c>
      <c r="E47" s="1" t="s">
        <v>5</v>
      </c>
      <c r="F47" s="4" t="str">
        <f>F27</f>
        <v>Lithium</v>
      </c>
      <c r="G47" s="1" t="s">
        <v>19</v>
      </c>
    </row>
    <row r="48" spans="1:14" x14ac:dyDescent="0.25">
      <c r="A48" s="1" t="str">
        <f>A27</f>
        <v>[P] Battery-grade Li carbonate (Li2CO3) production (Salar de Atacama)</v>
      </c>
      <c r="B48" s="1" t="str">
        <f>B27</f>
        <v>Battery-grade Li2CO3</v>
      </c>
      <c r="C48" s="1" t="str">
        <f>C27</f>
        <v>CL</v>
      </c>
      <c r="D48" s="1">
        <v>1</v>
      </c>
      <c r="E48" s="1" t="str">
        <f>E27</f>
        <v>kilogram</v>
      </c>
      <c r="F48" s="4" t="str">
        <f>F27</f>
        <v>Lithium</v>
      </c>
      <c r="G48" s="1" t="s">
        <v>23</v>
      </c>
    </row>
    <row r="49" spans="1:14" x14ac:dyDescent="0.25">
      <c r="A49" s="1" t="str">
        <f>A9</f>
        <v>[M+C] Lithium (Li) brine concentration (Salar de Atacama)</v>
      </c>
      <c r="B49" s="1" t="str">
        <f>B9</f>
        <v>Li brine</v>
      </c>
      <c r="C49" s="1" t="str">
        <f>C9</f>
        <v>CL</v>
      </c>
      <c r="D49" s="1">
        <v>4</v>
      </c>
      <c r="E49" s="1" t="str">
        <f>E9</f>
        <v>kilogram</v>
      </c>
      <c r="F49" s="4" t="str">
        <f>F9</f>
        <v>Lithium</v>
      </c>
      <c r="G49" s="1" t="s">
        <v>23</v>
      </c>
    </row>
    <row r="50" spans="1:14" s="6" customFormat="1" x14ac:dyDescent="0.25"/>
    <row r="51" spans="1:14" x14ac:dyDescent="0.25">
      <c r="A51" s="7" t="s">
        <v>0</v>
      </c>
      <c r="B51" s="7" t="s">
        <v>142</v>
      </c>
    </row>
    <row r="52" spans="1:14" x14ac:dyDescent="0.25">
      <c r="A52" s="3" t="s">
        <v>1</v>
      </c>
      <c r="B52" s="1" t="s">
        <v>76</v>
      </c>
    </row>
    <row r="53" spans="1:14" x14ac:dyDescent="0.25">
      <c r="A53" s="3" t="s">
        <v>2</v>
      </c>
      <c r="B53" s="1" t="s">
        <v>126</v>
      </c>
    </row>
    <row r="54" spans="1:14" x14ac:dyDescent="0.25">
      <c r="A54" s="3" t="s">
        <v>3</v>
      </c>
      <c r="B54" s="1">
        <v>1</v>
      </c>
    </row>
    <row r="55" spans="1:14" x14ac:dyDescent="0.25">
      <c r="A55" s="3" t="s">
        <v>4</v>
      </c>
      <c r="B55" s="1" t="s">
        <v>5</v>
      </c>
    </row>
    <row r="56" spans="1:14" x14ac:dyDescent="0.25">
      <c r="A56" s="3" t="s">
        <v>6</v>
      </c>
      <c r="B56" s="1" t="s">
        <v>38</v>
      </c>
    </row>
    <row r="57" spans="1:14" x14ac:dyDescent="0.25">
      <c r="A57" s="3" t="s">
        <v>8</v>
      </c>
    </row>
    <row r="58" spans="1:14" x14ac:dyDescent="0.25">
      <c r="A58" s="7" t="s">
        <v>9</v>
      </c>
      <c r="B58" s="7" t="s">
        <v>1</v>
      </c>
      <c r="C58" s="7" t="s">
        <v>2</v>
      </c>
      <c r="D58" s="7" t="s">
        <v>3</v>
      </c>
      <c r="E58" s="7" t="s">
        <v>4</v>
      </c>
      <c r="F58" s="7" t="s">
        <v>10</v>
      </c>
      <c r="G58" s="7" t="s">
        <v>11</v>
      </c>
      <c r="H58" s="7" t="s">
        <v>12</v>
      </c>
      <c r="I58" s="7" t="s">
        <v>13</v>
      </c>
      <c r="J58" s="7" t="s">
        <v>14</v>
      </c>
      <c r="K58" s="7" t="s">
        <v>15</v>
      </c>
      <c r="L58" s="7" t="s">
        <v>16</v>
      </c>
      <c r="M58" s="7" t="s">
        <v>17</v>
      </c>
      <c r="N58" s="7" t="s">
        <v>18</v>
      </c>
    </row>
    <row r="59" spans="1:14" x14ac:dyDescent="0.25">
      <c r="A59" s="1" t="str">
        <f>B51</f>
        <v>Li2CO3 production in Chile/Salar de Atacama (Li content)</v>
      </c>
      <c r="B59" s="1" t="str">
        <f>B52</f>
        <v>Battery-grade Li2CO3 (Li content)</v>
      </c>
      <c r="C59" s="1" t="str">
        <f>B53</f>
        <v>CL</v>
      </c>
      <c r="D59" s="1">
        <v>1</v>
      </c>
      <c r="E59" s="1" t="s">
        <v>5</v>
      </c>
      <c r="F59" s="4" t="str">
        <f>F47</f>
        <v>Lithium</v>
      </c>
      <c r="G59" s="1" t="s">
        <v>19</v>
      </c>
    </row>
    <row r="60" spans="1:14" x14ac:dyDescent="0.25">
      <c r="A60" s="1" t="str">
        <f>A48</f>
        <v>[P] Battery-grade Li carbonate (Li2CO3) production (Salar de Atacama)</v>
      </c>
      <c r="B60" s="1" t="str">
        <f t="shared" ref="B60:G61" si="0">B48</f>
        <v>Battery-grade Li2CO3</v>
      </c>
      <c r="C60" s="1" t="str">
        <f t="shared" si="0"/>
        <v>CL</v>
      </c>
      <c r="D60" s="1">
        <v>5.3219797764768497</v>
      </c>
      <c r="E60" s="1" t="str">
        <f t="shared" si="0"/>
        <v>kilogram</v>
      </c>
      <c r="F60" s="4" t="str">
        <f t="shared" si="0"/>
        <v>Lithium</v>
      </c>
      <c r="G60" s="1" t="str">
        <f t="shared" si="0"/>
        <v>technosphere</v>
      </c>
    </row>
    <row r="61" spans="1:14" x14ac:dyDescent="0.25">
      <c r="A61" s="1" t="str">
        <f>A49</f>
        <v>[M+C] Lithium (Li) brine concentration (Salar de Atacama)</v>
      </c>
      <c r="B61" s="1" t="str">
        <f t="shared" si="0"/>
        <v>Li brine</v>
      </c>
      <c r="C61" s="1" t="str">
        <f t="shared" si="0"/>
        <v>CL</v>
      </c>
      <c r="D61" s="1">
        <v>21.287919105907399</v>
      </c>
      <c r="E61" s="1" t="str">
        <f t="shared" si="0"/>
        <v>kilogram</v>
      </c>
      <c r="F61" s="4" t="str">
        <f t="shared" si="0"/>
        <v>Lithium</v>
      </c>
      <c r="G61" s="1" t="str">
        <f t="shared" si="0"/>
        <v>technosphere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78C-CC48-4142-82B5-72AB232317DE}">
  <sheetPr>
    <tabColor theme="8" tint="0.39997558519241921"/>
  </sheetPr>
  <dimension ref="A1:N42"/>
  <sheetViews>
    <sheetView workbookViewId="0">
      <selection activeCell="B15" sqref="B15"/>
    </sheetView>
  </sheetViews>
  <sheetFormatPr baseColWidth="10" defaultColWidth="8.7109375" defaultRowHeight="15" x14ac:dyDescent="0.25"/>
  <cols>
    <col min="1" max="2" width="66.1406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143</v>
      </c>
    </row>
    <row r="2" spans="1:14" x14ac:dyDescent="0.25">
      <c r="A2" s="3" t="s">
        <v>1</v>
      </c>
      <c r="B2" s="1" t="s">
        <v>144</v>
      </c>
    </row>
    <row r="3" spans="1:14" x14ac:dyDescent="0.25">
      <c r="A3" s="3" t="s">
        <v>2</v>
      </c>
      <c r="B3" s="1" t="s">
        <v>126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 hydroxide (LiOH.H2O) production (Salar de Atacama)</v>
      </c>
      <c r="B9" s="1" t="str">
        <f>B2</f>
        <v>Battery-grade LiOH.H2O</v>
      </c>
      <c r="C9" s="1" t="str">
        <f>B3</f>
        <v>CL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44</v>
      </c>
      <c r="B10" s="1" t="s">
        <v>45</v>
      </c>
      <c r="C10" s="1" t="s">
        <v>25</v>
      </c>
      <c r="D10" s="1">
        <v>1.1499999999999999</v>
      </c>
      <c r="E10" s="1" t="s">
        <v>5</v>
      </c>
      <c r="F10" s="1" t="s">
        <v>22</v>
      </c>
      <c r="G10" s="1" t="s">
        <v>23</v>
      </c>
      <c r="J10" s="1" t="s">
        <v>145</v>
      </c>
    </row>
    <row r="11" spans="1:14" x14ac:dyDescent="0.25">
      <c r="A11" s="1" t="s">
        <v>108</v>
      </c>
      <c r="B11" s="1" t="s">
        <v>109</v>
      </c>
      <c r="C11" s="1" t="s">
        <v>126</v>
      </c>
      <c r="D11" s="1">
        <v>1.3888888888888891</v>
      </c>
      <c r="E11" s="1" t="s">
        <v>24</v>
      </c>
      <c r="F11" s="1" t="s">
        <v>22</v>
      </c>
      <c r="G11" s="1" t="s">
        <v>23</v>
      </c>
      <c r="J11" s="1" t="s">
        <v>145</v>
      </c>
    </row>
    <row r="12" spans="1:14" x14ac:dyDescent="0.25">
      <c r="A12" s="1" t="s">
        <v>128</v>
      </c>
      <c r="B12" s="1" t="s">
        <v>129</v>
      </c>
      <c r="C12" s="1" t="s">
        <v>20</v>
      </c>
      <c r="D12" s="1">
        <v>3</v>
      </c>
      <c r="E12" s="1" t="s">
        <v>21</v>
      </c>
      <c r="F12" s="1" t="s">
        <v>22</v>
      </c>
      <c r="G12" s="1" t="s">
        <v>23</v>
      </c>
      <c r="J12" s="1" t="s">
        <v>145</v>
      </c>
    </row>
    <row r="13" spans="1:14" x14ac:dyDescent="0.25">
      <c r="A13" s="1" t="s">
        <v>138</v>
      </c>
      <c r="B13" s="1" t="s">
        <v>51</v>
      </c>
      <c r="C13" s="1" t="s">
        <v>25</v>
      </c>
      <c r="D13" s="1">
        <v>21</v>
      </c>
      <c r="E13" s="1" t="s">
        <v>21</v>
      </c>
      <c r="F13" s="1" t="s">
        <v>22</v>
      </c>
      <c r="G13" s="1" t="s">
        <v>23</v>
      </c>
      <c r="J13" s="1" t="s">
        <v>145</v>
      </c>
    </row>
    <row r="14" spans="1:14" x14ac:dyDescent="0.25">
      <c r="A14" s="1" t="s">
        <v>26</v>
      </c>
      <c r="D14" s="1">
        <v>5.0000000000000001E-4</v>
      </c>
      <c r="E14" s="1" t="s">
        <v>27</v>
      </c>
      <c r="F14" s="1" t="s">
        <v>28</v>
      </c>
      <c r="G14" s="1" t="s">
        <v>29</v>
      </c>
      <c r="H14" s="1" t="s">
        <v>30</v>
      </c>
      <c r="J14" s="1" t="s">
        <v>145</v>
      </c>
    </row>
    <row r="15" spans="1:14" x14ac:dyDescent="0.25">
      <c r="A15" s="1" t="s">
        <v>139</v>
      </c>
      <c r="D15" s="1">
        <v>1E-4</v>
      </c>
      <c r="E15" s="1" t="s">
        <v>5</v>
      </c>
      <c r="F15" s="1" t="s">
        <v>28</v>
      </c>
      <c r="G15" s="1" t="s">
        <v>29</v>
      </c>
      <c r="H15" s="1" t="s">
        <v>32</v>
      </c>
      <c r="J15" s="1" t="s">
        <v>145</v>
      </c>
    </row>
    <row r="16" spans="1:14" x14ac:dyDescent="0.25">
      <c r="A16" s="1" t="s">
        <v>140</v>
      </c>
      <c r="D16" s="1">
        <v>5.0000000000000002E-5</v>
      </c>
      <c r="E16" s="1" t="s">
        <v>5</v>
      </c>
      <c r="F16" s="1" t="s">
        <v>28</v>
      </c>
      <c r="G16" s="1" t="s">
        <v>29</v>
      </c>
      <c r="H16" s="1" t="s">
        <v>32</v>
      </c>
      <c r="J16" s="1" t="s">
        <v>145</v>
      </c>
    </row>
    <row r="17" spans="1:14" s="6" customFormat="1" x14ac:dyDescent="0.25"/>
    <row r="18" spans="1:14" x14ac:dyDescent="0.25">
      <c r="A18" s="7" t="s">
        <v>0</v>
      </c>
      <c r="B18" s="7" t="s">
        <v>146</v>
      </c>
    </row>
    <row r="19" spans="1:14" x14ac:dyDescent="0.25">
      <c r="A19" s="3" t="s">
        <v>1</v>
      </c>
      <c r="B19" s="1" t="s">
        <v>144</v>
      </c>
    </row>
    <row r="20" spans="1:14" x14ac:dyDescent="0.25">
      <c r="A20" s="3" t="s">
        <v>2</v>
      </c>
      <c r="B20" s="1" t="s">
        <v>126</v>
      </c>
    </row>
    <row r="21" spans="1:14" x14ac:dyDescent="0.25">
      <c r="A21" s="3" t="s">
        <v>3</v>
      </c>
      <c r="B21" s="1">
        <v>1</v>
      </c>
    </row>
    <row r="22" spans="1:14" x14ac:dyDescent="0.25">
      <c r="A22" s="3" t="s">
        <v>4</v>
      </c>
      <c r="B22" s="1" t="s">
        <v>5</v>
      </c>
    </row>
    <row r="23" spans="1:14" x14ac:dyDescent="0.25">
      <c r="A23" s="3" t="s">
        <v>6</v>
      </c>
      <c r="B23" s="1" t="s">
        <v>7</v>
      </c>
    </row>
    <row r="24" spans="1:14" x14ac:dyDescent="0.25">
      <c r="A24" s="3" t="s">
        <v>8</v>
      </c>
    </row>
    <row r="25" spans="1:14" x14ac:dyDescent="0.25">
      <c r="A25" s="7" t="s">
        <v>9</v>
      </c>
      <c r="B25" s="7" t="s">
        <v>1</v>
      </c>
      <c r="C25" s="7" t="s">
        <v>2</v>
      </c>
      <c r="D25" s="7" t="s">
        <v>3</v>
      </c>
      <c r="E25" s="7" t="s">
        <v>4</v>
      </c>
      <c r="F25" s="7" t="s">
        <v>10</v>
      </c>
      <c r="G25" s="7" t="s">
        <v>11</v>
      </c>
      <c r="H25" s="7" t="s">
        <v>12</v>
      </c>
      <c r="I25" s="7" t="s">
        <v>13</v>
      </c>
      <c r="J25" s="7" t="s">
        <v>14</v>
      </c>
      <c r="K25" s="7" t="s">
        <v>15</v>
      </c>
      <c r="L25" s="7" t="s">
        <v>16</v>
      </c>
      <c r="M25" s="7" t="s">
        <v>17</v>
      </c>
      <c r="N25" s="7" t="s">
        <v>18</v>
      </c>
    </row>
    <row r="26" spans="1:14" x14ac:dyDescent="0.25">
      <c r="A26" s="1" t="str">
        <f>B18</f>
        <v xml:space="preserve">LiOH.H2O production in Chile/Salar de Atacama </v>
      </c>
      <c r="B26" s="1" t="str">
        <f>B19</f>
        <v>Battery-grade LiOH.H2O</v>
      </c>
      <c r="C26" s="1" t="str">
        <f>B20</f>
        <v>CL</v>
      </c>
      <c r="D26" s="1">
        <v>1</v>
      </c>
      <c r="E26" s="1" t="s">
        <v>5</v>
      </c>
      <c r="F26" s="4" t="str">
        <f>F9</f>
        <v>Lithium</v>
      </c>
      <c r="G26" s="1" t="s">
        <v>19</v>
      </c>
    </row>
    <row r="27" spans="1:14" x14ac:dyDescent="0.25">
      <c r="A27" s="1" t="str">
        <f>A9</f>
        <v>[P] Battery-grade Li hydroxide (LiOH.H2O) production (Salar de Atacama)</v>
      </c>
      <c r="B27" s="1" t="str">
        <f>B9</f>
        <v>Battery-grade LiOH.H2O</v>
      </c>
      <c r="C27" s="1" t="str">
        <f>C9</f>
        <v>CL</v>
      </c>
      <c r="D27" s="1">
        <v>1</v>
      </c>
      <c r="E27" s="1" t="str">
        <f>E9</f>
        <v>kilogram</v>
      </c>
      <c r="F27" s="4" t="str">
        <f>F9</f>
        <v>Lithium</v>
      </c>
      <c r="G27" s="1" t="s">
        <v>23</v>
      </c>
    </row>
    <row r="28" spans="1:14" x14ac:dyDescent="0.25">
      <c r="A28" s="1" t="str">
        <f>PR2_Li2CO3_CL_Atacama_Brines!A27</f>
        <v>[P] Battery-grade Li carbonate (Li2CO3) production (Salar de Atacama)</v>
      </c>
      <c r="B28" s="1" t="str">
        <f>PR2_Li2CO3_CL_Atacama_Brines!B27</f>
        <v>Battery-grade Li2CO3</v>
      </c>
      <c r="C28" s="1" t="str">
        <f>PR2_Li2CO3_CL_Atacama_Brines!C27</f>
        <v>CL</v>
      </c>
      <c r="D28" s="1">
        <v>1.05</v>
      </c>
      <c r="E28" s="1" t="str">
        <f>PR2_Li2CO3_CL_Atacama_Brines!E27</f>
        <v>kilogram</v>
      </c>
      <c r="F28" s="4" t="str">
        <f>PR2_Li2CO3_CL_Atacama_Brines!F27</f>
        <v>Lithium</v>
      </c>
      <c r="G28" s="1" t="s">
        <v>23</v>
      </c>
    </row>
    <row r="29" spans="1:14" x14ac:dyDescent="0.25">
      <c r="A29" s="1" t="str">
        <f>PR2_Li2CO3_CL_Atacama_Brines!A9</f>
        <v>[M+C] Lithium (Li) brine concentration (Salar de Atacama)</v>
      </c>
      <c r="B29" s="1" t="str">
        <f>PR2_Li2CO3_CL_Atacama_Brines!B9</f>
        <v>Li brine</v>
      </c>
      <c r="C29" s="1" t="str">
        <f>PR2_Li2CO3_CL_Atacama_Brines!C9</f>
        <v>CL</v>
      </c>
      <c r="D29" s="1">
        <v>4.2</v>
      </c>
      <c r="E29" s="1" t="str">
        <f>PR2_Li2CO3_CL_Atacama_Brines!E9</f>
        <v>kilogram</v>
      </c>
      <c r="F29" s="4" t="str">
        <f>PR2_Li2CO3_CL_Atacama_Brines!F9</f>
        <v>Lithium</v>
      </c>
      <c r="G29" s="1" t="s">
        <v>23</v>
      </c>
    </row>
    <row r="30" spans="1:14" s="6" customFormat="1" x14ac:dyDescent="0.25"/>
    <row r="31" spans="1:14" x14ac:dyDescent="0.25">
      <c r="A31" s="7" t="s">
        <v>0</v>
      </c>
      <c r="B31" s="7" t="s">
        <v>147</v>
      </c>
    </row>
    <row r="32" spans="1:14" x14ac:dyDescent="0.25">
      <c r="A32" s="3" t="s">
        <v>1</v>
      </c>
      <c r="B32" s="1" t="s">
        <v>148</v>
      </c>
    </row>
    <row r="33" spans="1:14" x14ac:dyDescent="0.25">
      <c r="A33" s="3" t="s">
        <v>2</v>
      </c>
      <c r="B33" s="1" t="s">
        <v>126</v>
      </c>
    </row>
    <row r="34" spans="1:14" x14ac:dyDescent="0.25">
      <c r="A34" s="3" t="s">
        <v>3</v>
      </c>
      <c r="B34" s="1">
        <v>1</v>
      </c>
    </row>
    <row r="35" spans="1:14" x14ac:dyDescent="0.25">
      <c r="A35" s="3" t="s">
        <v>4</v>
      </c>
      <c r="B35" s="1" t="s">
        <v>5</v>
      </c>
    </row>
    <row r="36" spans="1:14" x14ac:dyDescent="0.25">
      <c r="A36" s="3" t="s">
        <v>6</v>
      </c>
      <c r="B36" s="1" t="s">
        <v>38</v>
      </c>
    </row>
    <row r="37" spans="1:14" x14ac:dyDescent="0.25">
      <c r="A37" s="3" t="s">
        <v>8</v>
      </c>
    </row>
    <row r="38" spans="1:14" x14ac:dyDescent="0.25">
      <c r="A38" s="7" t="s">
        <v>9</v>
      </c>
      <c r="B38" s="7" t="s">
        <v>1</v>
      </c>
      <c r="C38" s="7" t="s">
        <v>2</v>
      </c>
      <c r="D38" s="7" t="s">
        <v>3</v>
      </c>
      <c r="E38" s="7" t="s">
        <v>4</v>
      </c>
      <c r="F38" s="7" t="s">
        <v>10</v>
      </c>
      <c r="G38" s="7" t="s">
        <v>11</v>
      </c>
      <c r="H38" s="7" t="s">
        <v>12</v>
      </c>
      <c r="I38" s="7" t="s">
        <v>13</v>
      </c>
      <c r="J38" s="7" t="s">
        <v>14</v>
      </c>
      <c r="K38" s="7" t="s">
        <v>15</v>
      </c>
      <c r="L38" s="7" t="s">
        <v>16</v>
      </c>
      <c r="M38" s="7" t="s">
        <v>17</v>
      </c>
      <c r="N38" s="7" t="s">
        <v>18</v>
      </c>
    </row>
    <row r="39" spans="1:14" x14ac:dyDescent="0.25">
      <c r="A39" s="1" t="str">
        <f>B31</f>
        <v>LiOH.H2O production in Chile/Salar de Atacama (Li content)</v>
      </c>
      <c r="B39" s="1" t="str">
        <f>B32</f>
        <v>Battery-grade LiOH.H2O (Li content)</v>
      </c>
      <c r="C39" s="1" t="str">
        <f>B33</f>
        <v>CL</v>
      </c>
      <c r="D39" s="1">
        <v>1</v>
      </c>
      <c r="E39" s="1" t="s">
        <v>5</v>
      </c>
      <c r="F39" s="4" t="str">
        <f>F26</f>
        <v>Lithium</v>
      </c>
      <c r="G39" s="1" t="s">
        <v>19</v>
      </c>
    </row>
    <row r="40" spans="1:14" x14ac:dyDescent="0.25">
      <c r="A40" s="1" t="str">
        <f>A27</f>
        <v>[P] Battery-grade Li hydroxide (LiOH.H2O) production (Salar de Atacama)</v>
      </c>
      <c r="B40" s="1" t="str">
        <f t="shared" ref="B40:G40" si="0">B27</f>
        <v>Battery-grade LiOH.H2O</v>
      </c>
      <c r="C40" s="1" t="str">
        <f t="shared" si="0"/>
        <v>CL</v>
      </c>
      <c r="D40" s="1">
        <v>6.0606060606060606</v>
      </c>
      <c r="E40" s="1" t="str">
        <f t="shared" si="0"/>
        <v>kilogram</v>
      </c>
      <c r="F40" s="4" t="str">
        <f t="shared" si="0"/>
        <v>Lithium</v>
      </c>
      <c r="G40" s="1" t="str">
        <f t="shared" si="0"/>
        <v>technosphere</v>
      </c>
    </row>
    <row r="41" spans="1:14" x14ac:dyDescent="0.25">
      <c r="A41" s="1" t="str">
        <f t="shared" ref="A41:G41" si="1">A28</f>
        <v>[P] Battery-grade Li carbonate (Li2CO3) production (Salar de Atacama)</v>
      </c>
      <c r="B41" s="1" t="str">
        <f t="shared" si="1"/>
        <v>Battery-grade Li2CO3</v>
      </c>
      <c r="C41" s="1" t="str">
        <f t="shared" si="1"/>
        <v>CL</v>
      </c>
      <c r="D41" s="1">
        <v>6.3636363636363642</v>
      </c>
      <c r="E41" s="1" t="str">
        <f t="shared" si="1"/>
        <v>kilogram</v>
      </c>
      <c r="F41" s="4" t="str">
        <f t="shared" si="1"/>
        <v>Lithium</v>
      </c>
      <c r="G41" s="1" t="str">
        <f t="shared" si="1"/>
        <v>technosphere</v>
      </c>
    </row>
    <row r="42" spans="1:14" x14ac:dyDescent="0.25">
      <c r="A42" s="1" t="str">
        <f t="shared" ref="A42:G42" si="2">A29</f>
        <v>[M+C] Lithium (Li) brine concentration (Salar de Atacama)</v>
      </c>
      <c r="B42" s="1" t="str">
        <f t="shared" si="2"/>
        <v>Li brine</v>
      </c>
      <c r="C42" s="1" t="str">
        <f t="shared" si="2"/>
        <v>CL</v>
      </c>
      <c r="D42" s="1">
        <v>25.454545454545457</v>
      </c>
      <c r="E42" s="1" t="str">
        <f t="shared" si="2"/>
        <v>kilogram</v>
      </c>
      <c r="F42" s="4" t="str">
        <f t="shared" si="2"/>
        <v>Lithium</v>
      </c>
      <c r="G42" s="1" t="str">
        <f t="shared" si="2"/>
        <v>technosphere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7239-C120-45AF-B7FD-803C5C599BDE}">
  <sheetPr>
    <tabColor theme="8" tint="0.39997558519241921"/>
  </sheetPr>
  <dimension ref="A1:N68"/>
  <sheetViews>
    <sheetView workbookViewId="0">
      <selection sqref="A1:XFD1048576"/>
    </sheetView>
  </sheetViews>
  <sheetFormatPr baseColWidth="10" defaultColWidth="8.7109375" defaultRowHeight="15" x14ac:dyDescent="0.25"/>
  <cols>
    <col min="1" max="1" width="94" style="1" bestFit="1" customWidth="1"/>
    <col min="2" max="2" width="94.1406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21.4257812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149</v>
      </c>
    </row>
    <row r="2" spans="1:14" x14ac:dyDescent="0.25">
      <c r="A2" s="3" t="s">
        <v>1</v>
      </c>
      <c r="B2" s="1" t="s">
        <v>150</v>
      </c>
    </row>
    <row r="3" spans="1:14" x14ac:dyDescent="0.25">
      <c r="A3" s="3" t="s">
        <v>2</v>
      </c>
      <c r="B3" s="1" t="s">
        <v>151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Spodumene ore mining and concentration</v>
      </c>
      <c r="B9" s="1" t="str">
        <f>B2</f>
        <v>Spodumene concentrate</v>
      </c>
      <c r="C9" s="1" t="str">
        <f>B3</f>
        <v>AU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152</v>
      </c>
      <c r="B10" s="1" t="s">
        <v>153</v>
      </c>
      <c r="C10" s="1" t="s">
        <v>20</v>
      </c>
      <c r="D10" s="1">
        <v>5.3600000000000004E-6</v>
      </c>
      <c r="E10" s="1" t="s">
        <v>49</v>
      </c>
      <c r="F10" s="1" t="s">
        <v>22</v>
      </c>
      <c r="G10" s="1" t="s">
        <v>23</v>
      </c>
      <c r="J10" s="1" t="s">
        <v>154</v>
      </c>
    </row>
    <row r="11" spans="1:14" x14ac:dyDescent="0.25">
      <c r="A11" s="1" t="s">
        <v>155</v>
      </c>
      <c r="B11" s="1" t="s">
        <v>156</v>
      </c>
      <c r="C11" s="1" t="s">
        <v>20</v>
      </c>
      <c r="D11" s="1">
        <v>5.0000000000000002E-11</v>
      </c>
      <c r="E11" s="1" t="s">
        <v>4</v>
      </c>
      <c r="F11" s="1" t="s">
        <v>22</v>
      </c>
      <c r="G11" s="1" t="s">
        <v>23</v>
      </c>
      <c r="J11" s="1" t="s">
        <v>154</v>
      </c>
    </row>
    <row r="12" spans="1:14" x14ac:dyDescent="0.25">
      <c r="A12" s="1" t="s">
        <v>128</v>
      </c>
      <c r="B12" s="1" t="s">
        <v>129</v>
      </c>
      <c r="C12" s="1" t="s">
        <v>20</v>
      </c>
      <c r="D12" s="1">
        <v>7.8899999999999998E-2</v>
      </c>
      <c r="E12" s="1" t="s">
        <v>21</v>
      </c>
      <c r="F12" s="1" t="s">
        <v>22</v>
      </c>
      <c r="G12" s="1" t="s">
        <v>23</v>
      </c>
      <c r="J12" s="1" t="s">
        <v>154</v>
      </c>
    </row>
    <row r="13" spans="1:14" x14ac:dyDescent="0.25">
      <c r="A13" s="1" t="s">
        <v>157</v>
      </c>
      <c r="B13" s="1" t="s">
        <v>158</v>
      </c>
      <c r="C13" s="1" t="s">
        <v>20</v>
      </c>
      <c r="D13" s="1">
        <v>8.3900000000000001E-4</v>
      </c>
      <c r="E13" s="1" t="s">
        <v>5</v>
      </c>
      <c r="F13" s="1" t="s">
        <v>22</v>
      </c>
      <c r="G13" s="1" t="s">
        <v>23</v>
      </c>
      <c r="J13" s="1" t="s">
        <v>154</v>
      </c>
    </row>
    <row r="14" spans="1:14" x14ac:dyDescent="0.25">
      <c r="A14" s="1" t="s">
        <v>119</v>
      </c>
      <c r="B14" s="1" t="s">
        <v>120</v>
      </c>
      <c r="C14" s="1" t="s">
        <v>20</v>
      </c>
      <c r="D14" s="1">
        <v>1.4999999999999999E-2</v>
      </c>
      <c r="E14" s="1" t="s">
        <v>5</v>
      </c>
      <c r="F14" s="1" t="s">
        <v>22</v>
      </c>
      <c r="G14" s="1" t="s">
        <v>23</v>
      </c>
      <c r="J14" s="1" t="s">
        <v>159</v>
      </c>
    </row>
    <row r="15" spans="1:14" x14ac:dyDescent="0.25">
      <c r="A15" s="1" t="s">
        <v>108</v>
      </c>
      <c r="B15" s="1" t="s">
        <v>109</v>
      </c>
      <c r="C15" s="1" t="s">
        <v>151</v>
      </c>
      <c r="D15" s="1">
        <v>1.9</v>
      </c>
      <c r="E15" s="1" t="s">
        <v>24</v>
      </c>
      <c r="F15" s="1" t="s">
        <v>22</v>
      </c>
      <c r="G15" s="1" t="s">
        <v>23</v>
      </c>
      <c r="J15" s="1" t="s">
        <v>160</v>
      </c>
    </row>
    <row r="16" spans="1:14" x14ac:dyDescent="0.25">
      <c r="A16" s="1" t="s">
        <v>161</v>
      </c>
      <c r="B16" s="1" t="s">
        <v>162</v>
      </c>
      <c r="C16" s="1" t="s">
        <v>20</v>
      </c>
      <c r="D16" s="1">
        <v>-4.2</v>
      </c>
      <c r="E16" s="1" t="s">
        <v>5</v>
      </c>
      <c r="F16" s="1" t="s">
        <v>22</v>
      </c>
      <c r="G16" s="1" t="s">
        <v>23</v>
      </c>
      <c r="J16" s="1" t="s">
        <v>160</v>
      </c>
    </row>
    <row r="17" spans="1:10" x14ac:dyDescent="0.25">
      <c r="A17" s="1" t="s">
        <v>46</v>
      </c>
      <c r="D17" s="1">
        <v>2.0100000000000001E-4</v>
      </c>
      <c r="E17" s="1" t="s">
        <v>47</v>
      </c>
      <c r="F17" s="1" t="s">
        <v>28</v>
      </c>
      <c r="G17" s="1" t="s">
        <v>29</v>
      </c>
      <c r="H17" s="1" t="s">
        <v>48</v>
      </c>
      <c r="J17" s="1" t="s">
        <v>154</v>
      </c>
    </row>
    <row r="18" spans="1:10" x14ac:dyDescent="0.25">
      <c r="A18" s="1" t="s">
        <v>163</v>
      </c>
      <c r="D18" s="1">
        <v>6.7000000000000002E-6</v>
      </c>
      <c r="E18" s="1" t="s">
        <v>49</v>
      </c>
      <c r="F18" s="1" t="s">
        <v>28</v>
      </c>
      <c r="G18" s="1" t="s">
        <v>29</v>
      </c>
      <c r="H18" s="1" t="s">
        <v>48</v>
      </c>
      <c r="J18" s="1" t="s">
        <v>154</v>
      </c>
    </row>
    <row r="19" spans="1:10" x14ac:dyDescent="0.25">
      <c r="A19" s="1" t="s">
        <v>50</v>
      </c>
      <c r="D19" s="1">
        <v>6.7000000000000002E-6</v>
      </c>
      <c r="E19" s="1" t="s">
        <v>49</v>
      </c>
      <c r="F19" s="1" t="s">
        <v>28</v>
      </c>
      <c r="G19" s="1" t="s">
        <v>29</v>
      </c>
      <c r="H19" s="1" t="s">
        <v>48</v>
      </c>
      <c r="J19" s="1" t="s">
        <v>154</v>
      </c>
    </row>
    <row r="20" spans="1:10" x14ac:dyDescent="0.25">
      <c r="A20" s="1" t="s">
        <v>164</v>
      </c>
      <c r="D20" s="1">
        <v>4.4600000000000004E-3</v>
      </c>
      <c r="E20" s="1" t="s">
        <v>5</v>
      </c>
      <c r="F20" s="1" t="s">
        <v>28</v>
      </c>
      <c r="G20" s="1" t="s">
        <v>29</v>
      </c>
      <c r="H20" s="1" t="s">
        <v>32</v>
      </c>
      <c r="J20" s="1" t="s">
        <v>154</v>
      </c>
    </row>
    <row r="21" spans="1:10" x14ac:dyDescent="0.25">
      <c r="A21" s="1" t="s">
        <v>139</v>
      </c>
      <c r="D21" s="1">
        <v>4.0200000000000001E-3</v>
      </c>
      <c r="E21" s="1" t="s">
        <v>5</v>
      </c>
      <c r="F21" s="1" t="s">
        <v>28</v>
      </c>
      <c r="G21" s="1" t="s">
        <v>29</v>
      </c>
      <c r="H21" s="1" t="s">
        <v>32</v>
      </c>
      <c r="J21" s="1" t="s">
        <v>154</v>
      </c>
    </row>
    <row r="22" spans="1:10" x14ac:dyDescent="0.25">
      <c r="A22" s="1" t="s">
        <v>140</v>
      </c>
      <c r="D22" s="1">
        <v>4.46E-4</v>
      </c>
      <c r="E22" s="1" t="s">
        <v>5</v>
      </c>
      <c r="F22" s="1" t="s">
        <v>28</v>
      </c>
      <c r="G22" s="1" t="s">
        <v>29</v>
      </c>
      <c r="H22" s="1" t="s">
        <v>32</v>
      </c>
      <c r="J22" s="1" t="s">
        <v>154</v>
      </c>
    </row>
    <row r="23" spans="1:10" x14ac:dyDescent="0.25">
      <c r="A23" s="1" t="s">
        <v>26</v>
      </c>
      <c r="D23" s="1">
        <v>1.6799999999999999E-2</v>
      </c>
      <c r="E23" s="1" t="s">
        <v>27</v>
      </c>
      <c r="F23" s="1" t="s">
        <v>28</v>
      </c>
      <c r="G23" s="1" t="s">
        <v>29</v>
      </c>
      <c r="H23" s="1" t="s">
        <v>30</v>
      </c>
      <c r="J23" s="1" t="s">
        <v>160</v>
      </c>
    </row>
    <row r="24" spans="1:10" x14ac:dyDescent="0.25">
      <c r="A24" s="1" t="s">
        <v>77</v>
      </c>
      <c r="D24" s="1">
        <v>1.54E-2</v>
      </c>
      <c r="E24" s="1" t="s">
        <v>27</v>
      </c>
      <c r="F24" s="1" t="s">
        <v>28</v>
      </c>
      <c r="G24" s="1" t="s">
        <v>29</v>
      </c>
      <c r="H24" s="1" t="s">
        <v>31</v>
      </c>
      <c r="J24" s="1" t="s">
        <v>160</v>
      </c>
    </row>
    <row r="25" spans="1:10" x14ac:dyDescent="0.25">
      <c r="A25" s="1" t="s">
        <v>33</v>
      </c>
      <c r="D25" s="1">
        <v>2.8879999999999999E-2</v>
      </c>
      <c r="E25" s="1" t="s">
        <v>5</v>
      </c>
      <c r="F25" s="1" t="s">
        <v>28</v>
      </c>
      <c r="G25" s="1" t="s">
        <v>29</v>
      </c>
      <c r="H25" s="1" t="s">
        <v>30</v>
      </c>
      <c r="J25" s="1" t="s">
        <v>160</v>
      </c>
    </row>
    <row r="26" spans="1:10" s="5" customFormat="1" x14ac:dyDescent="0.25"/>
    <row r="27" spans="1:10" x14ac:dyDescent="0.25">
      <c r="A27" s="7" t="s">
        <v>0</v>
      </c>
      <c r="B27" s="7" t="s">
        <v>165</v>
      </c>
    </row>
    <row r="28" spans="1:10" x14ac:dyDescent="0.25">
      <c r="A28" s="3" t="s">
        <v>1</v>
      </c>
      <c r="B28" s="1" t="s">
        <v>65</v>
      </c>
    </row>
    <row r="29" spans="1:10" x14ac:dyDescent="0.25">
      <c r="A29" s="3" t="s">
        <v>2</v>
      </c>
      <c r="B29" s="1" t="s">
        <v>79</v>
      </c>
    </row>
    <row r="30" spans="1:10" x14ac:dyDescent="0.25">
      <c r="A30" s="3" t="s">
        <v>3</v>
      </c>
      <c r="B30" s="1">
        <v>1</v>
      </c>
    </row>
    <row r="31" spans="1:10" x14ac:dyDescent="0.25">
      <c r="A31" s="3" t="s">
        <v>4</v>
      </c>
      <c r="B31" s="1" t="s">
        <v>5</v>
      </c>
    </row>
    <row r="32" spans="1:10" x14ac:dyDescent="0.25">
      <c r="A32" s="3" t="s">
        <v>6</v>
      </c>
      <c r="B32" s="8" t="s">
        <v>208</v>
      </c>
    </row>
    <row r="33" spans="1:14" x14ac:dyDescent="0.25">
      <c r="A33" s="3" t="s">
        <v>8</v>
      </c>
    </row>
    <row r="34" spans="1:14" x14ac:dyDescent="0.25">
      <c r="A34" s="7" t="s">
        <v>9</v>
      </c>
      <c r="B34" s="7" t="s">
        <v>1</v>
      </c>
      <c r="C34" s="7" t="s">
        <v>2</v>
      </c>
      <c r="D34" s="7" t="s">
        <v>3</v>
      </c>
      <c r="E34" s="7" t="s">
        <v>4</v>
      </c>
      <c r="F34" s="7" t="s">
        <v>10</v>
      </c>
      <c r="G34" s="7" t="s">
        <v>11</v>
      </c>
      <c r="H34" s="7" t="s">
        <v>12</v>
      </c>
      <c r="I34" s="7" t="s">
        <v>13</v>
      </c>
      <c r="J34" s="7" t="s">
        <v>14</v>
      </c>
      <c r="K34" s="7" t="s">
        <v>15</v>
      </c>
      <c r="L34" s="7" t="s">
        <v>16</v>
      </c>
      <c r="M34" s="7" t="s">
        <v>17</v>
      </c>
      <c r="N34" s="7" t="s">
        <v>18</v>
      </c>
    </row>
    <row r="35" spans="1:14" x14ac:dyDescent="0.25">
      <c r="A35" s="1" t="str">
        <f>B27</f>
        <v>[P] Battery-grade Li carbonate (Li2CO3) production (Shehong plant)</v>
      </c>
      <c r="B35" s="1" t="str">
        <f>B28</f>
        <v>Battery-grade Li2CO3</v>
      </c>
      <c r="C35" s="1" t="str">
        <f>B29</f>
        <v>CN</v>
      </c>
      <c r="D35" s="1">
        <v>1</v>
      </c>
      <c r="E35" s="1" t="s">
        <v>5</v>
      </c>
      <c r="F35" s="4" t="str">
        <f>F9</f>
        <v>Lithium</v>
      </c>
      <c r="G35" s="1" t="s">
        <v>19</v>
      </c>
    </row>
    <row r="36" spans="1:14" x14ac:dyDescent="0.25">
      <c r="A36" s="1" t="s">
        <v>121</v>
      </c>
      <c r="B36" s="1" t="s">
        <v>122</v>
      </c>
      <c r="C36" s="1" t="s">
        <v>25</v>
      </c>
      <c r="D36" s="1">
        <v>1.71</v>
      </c>
      <c r="E36" s="1" t="s">
        <v>5</v>
      </c>
      <c r="F36" s="1" t="s">
        <v>22</v>
      </c>
      <c r="G36" s="1" t="s">
        <v>23</v>
      </c>
      <c r="J36" s="1" t="s">
        <v>166</v>
      </c>
    </row>
    <row r="37" spans="1:14" x14ac:dyDescent="0.25">
      <c r="A37" s="1" t="s">
        <v>119</v>
      </c>
      <c r="B37" s="1" t="s">
        <v>120</v>
      </c>
      <c r="C37" s="1" t="s">
        <v>20</v>
      </c>
      <c r="D37" s="1">
        <v>2.0499999999999998</v>
      </c>
      <c r="E37" s="1" t="s">
        <v>5</v>
      </c>
      <c r="F37" s="1" t="s">
        <v>22</v>
      </c>
      <c r="G37" s="1" t="s">
        <v>23</v>
      </c>
      <c r="J37" s="1" t="s">
        <v>166</v>
      </c>
    </row>
    <row r="38" spans="1:14" x14ac:dyDescent="0.25">
      <c r="A38" s="1" t="s">
        <v>54</v>
      </c>
      <c r="B38" s="1" t="s">
        <v>55</v>
      </c>
      <c r="C38" s="1" t="s">
        <v>25</v>
      </c>
      <c r="D38" s="1">
        <v>0.05</v>
      </c>
      <c r="E38" s="1" t="s">
        <v>5</v>
      </c>
      <c r="F38" s="1" t="s">
        <v>22</v>
      </c>
      <c r="G38" s="1" t="s">
        <v>23</v>
      </c>
      <c r="J38" s="1" t="s">
        <v>166</v>
      </c>
    </row>
    <row r="39" spans="1:14" x14ac:dyDescent="0.25">
      <c r="A39" s="1" t="s">
        <v>44</v>
      </c>
      <c r="B39" s="1" t="s">
        <v>45</v>
      </c>
      <c r="C39" s="1" t="s">
        <v>25</v>
      </c>
      <c r="D39" s="1">
        <v>0.7</v>
      </c>
      <c r="E39" s="1" t="s">
        <v>5</v>
      </c>
      <c r="F39" s="1" t="s">
        <v>22</v>
      </c>
      <c r="G39" s="1" t="s">
        <v>23</v>
      </c>
      <c r="J39" s="1" t="s">
        <v>166</v>
      </c>
    </row>
    <row r="40" spans="1:14" x14ac:dyDescent="0.25">
      <c r="A40" s="1" t="s">
        <v>167</v>
      </c>
      <c r="B40" s="1" t="s">
        <v>109</v>
      </c>
      <c r="C40" s="1" t="s">
        <v>79</v>
      </c>
      <c r="D40" s="1">
        <v>1.8</v>
      </c>
      <c r="E40" s="1" t="s">
        <v>24</v>
      </c>
      <c r="F40" s="1" t="s">
        <v>22</v>
      </c>
      <c r="G40" s="1" t="s">
        <v>23</v>
      </c>
      <c r="J40" s="1" t="s">
        <v>166</v>
      </c>
    </row>
    <row r="41" spans="1:14" x14ac:dyDescent="0.25">
      <c r="A41" s="1" t="s">
        <v>168</v>
      </c>
      <c r="B41" s="1" t="s">
        <v>169</v>
      </c>
      <c r="C41" s="1" t="s">
        <v>25</v>
      </c>
      <c r="D41" s="1">
        <v>82.892899999999997</v>
      </c>
      <c r="E41" s="1" t="s">
        <v>21</v>
      </c>
      <c r="F41" s="1" t="s">
        <v>22</v>
      </c>
      <c r="G41" s="1" t="s">
        <v>23</v>
      </c>
      <c r="J41" s="1" t="s">
        <v>166</v>
      </c>
    </row>
    <row r="42" spans="1:14" x14ac:dyDescent="0.25">
      <c r="A42" s="1" t="s">
        <v>170</v>
      </c>
      <c r="B42" s="1" t="s">
        <v>171</v>
      </c>
      <c r="C42" s="1" t="s">
        <v>25</v>
      </c>
      <c r="D42" s="1">
        <v>52.997100000000003</v>
      </c>
      <c r="E42" s="1" t="s">
        <v>21</v>
      </c>
      <c r="F42" s="1" t="s">
        <v>22</v>
      </c>
      <c r="G42" s="1" t="s">
        <v>23</v>
      </c>
      <c r="J42" s="1" t="s">
        <v>166</v>
      </c>
    </row>
    <row r="43" spans="1:14" s="8" customFormat="1" x14ac:dyDescent="0.25">
      <c r="A43" s="8" t="s">
        <v>172</v>
      </c>
      <c r="B43" s="8" t="s">
        <v>173</v>
      </c>
      <c r="C43" s="8" t="s">
        <v>25</v>
      </c>
      <c r="D43" s="8">
        <v>-1.92</v>
      </c>
      <c r="E43" s="8" t="s">
        <v>5</v>
      </c>
      <c r="F43" s="8" t="s">
        <v>22</v>
      </c>
      <c r="G43" s="8" t="s">
        <v>23</v>
      </c>
      <c r="J43" s="8" t="s">
        <v>174</v>
      </c>
    </row>
    <row r="44" spans="1:14" x14ac:dyDescent="0.25">
      <c r="A44" s="1" t="s">
        <v>26</v>
      </c>
      <c r="D44" s="1">
        <v>0.04</v>
      </c>
      <c r="E44" s="1" t="s">
        <v>27</v>
      </c>
      <c r="F44" s="1" t="s">
        <v>28</v>
      </c>
      <c r="G44" s="1" t="s">
        <v>29</v>
      </c>
      <c r="H44" s="1" t="s">
        <v>30</v>
      </c>
      <c r="J44" s="1" t="s">
        <v>166</v>
      </c>
    </row>
    <row r="45" spans="1:14" s="6" customFormat="1" x14ac:dyDescent="0.25"/>
    <row r="46" spans="1:14" x14ac:dyDescent="0.25">
      <c r="A46" s="7" t="s">
        <v>0</v>
      </c>
      <c r="B46" s="7" t="s">
        <v>175</v>
      </c>
    </row>
    <row r="47" spans="1:14" x14ac:dyDescent="0.25">
      <c r="A47" s="3" t="s">
        <v>1</v>
      </c>
      <c r="B47" s="1" t="s">
        <v>65</v>
      </c>
    </row>
    <row r="48" spans="1:14" x14ac:dyDescent="0.25">
      <c r="A48" s="3" t="s">
        <v>2</v>
      </c>
      <c r="B48" s="1" t="s">
        <v>176</v>
      </c>
    </row>
    <row r="49" spans="1:14" x14ac:dyDescent="0.25">
      <c r="A49" s="3" t="s">
        <v>3</v>
      </c>
      <c r="B49" s="1">
        <v>1</v>
      </c>
    </row>
    <row r="50" spans="1:14" x14ac:dyDescent="0.25">
      <c r="A50" s="3" t="s">
        <v>4</v>
      </c>
      <c r="B50" s="1" t="s">
        <v>5</v>
      </c>
    </row>
    <row r="51" spans="1:14" x14ac:dyDescent="0.25">
      <c r="A51" s="3" t="s">
        <v>6</v>
      </c>
      <c r="B51" s="1" t="s">
        <v>7</v>
      </c>
    </row>
    <row r="52" spans="1:14" x14ac:dyDescent="0.25">
      <c r="A52" s="3" t="s">
        <v>8</v>
      </c>
    </row>
    <row r="53" spans="1:14" x14ac:dyDescent="0.25">
      <c r="A53" s="7" t="s">
        <v>9</v>
      </c>
      <c r="B53" s="7" t="s">
        <v>1</v>
      </c>
      <c r="C53" s="7" t="s">
        <v>2</v>
      </c>
      <c r="D53" s="7" t="s">
        <v>3</v>
      </c>
      <c r="E53" s="7" t="s">
        <v>4</v>
      </c>
      <c r="F53" s="7" t="s">
        <v>10</v>
      </c>
      <c r="G53" s="7" t="s">
        <v>11</v>
      </c>
      <c r="H53" s="7" t="s">
        <v>12</v>
      </c>
      <c r="I53" s="7" t="s">
        <v>13</v>
      </c>
      <c r="J53" s="7" t="s">
        <v>14</v>
      </c>
      <c r="K53" s="7" t="s">
        <v>15</v>
      </c>
      <c r="L53" s="7" t="s">
        <v>16</v>
      </c>
      <c r="M53" s="7" t="s">
        <v>17</v>
      </c>
      <c r="N53" s="7" t="s">
        <v>18</v>
      </c>
    </row>
    <row r="54" spans="1:14" x14ac:dyDescent="0.25">
      <c r="A54" s="1" t="str">
        <f>B46</f>
        <v>Spodumene ore mining in Australia/Greenbushes and Li2CO3 production in China/Shehong</v>
      </c>
      <c r="B54" s="1" t="str">
        <f>B47</f>
        <v>Battery-grade Li2CO3</v>
      </c>
      <c r="C54" s="1" t="str">
        <f>B48</f>
        <v>AU-CN</v>
      </c>
      <c r="D54" s="1">
        <v>1</v>
      </c>
      <c r="E54" s="1" t="s">
        <v>5</v>
      </c>
      <c r="F54" s="4" t="str">
        <f>F35</f>
        <v>Lithium</v>
      </c>
      <c r="G54" s="1" t="s">
        <v>19</v>
      </c>
    </row>
    <row r="55" spans="1:14" x14ac:dyDescent="0.25">
      <c r="A55" s="1" t="str">
        <f>A35</f>
        <v>[P] Battery-grade Li carbonate (Li2CO3) production (Shehong plant)</v>
      </c>
      <c r="B55" s="1" t="str">
        <f>B35</f>
        <v>Battery-grade Li2CO3</v>
      </c>
      <c r="C55" s="1" t="str">
        <f>C35</f>
        <v>CN</v>
      </c>
      <c r="D55" s="1">
        <v>1</v>
      </c>
      <c r="E55" s="1" t="str">
        <f>E35</f>
        <v>kilogram</v>
      </c>
      <c r="F55" s="4" t="str">
        <f>F35</f>
        <v>Lithium</v>
      </c>
      <c r="G55" s="1" t="s">
        <v>23</v>
      </c>
    </row>
    <row r="56" spans="1:14" x14ac:dyDescent="0.25">
      <c r="A56" s="1" t="str">
        <f>A9</f>
        <v>[M+C] Spodumene ore mining and concentration</v>
      </c>
      <c r="B56" s="1" t="str">
        <f>B9</f>
        <v>Spodumene concentrate</v>
      </c>
      <c r="C56" s="1" t="str">
        <f>C9</f>
        <v>AU</v>
      </c>
      <c r="D56" s="1">
        <v>7.3</v>
      </c>
      <c r="E56" s="1" t="str">
        <f>E9</f>
        <v>kilogram</v>
      </c>
      <c r="F56" s="4" t="str">
        <f>F9</f>
        <v>Lithium</v>
      </c>
      <c r="G56" s="1" t="s">
        <v>23</v>
      </c>
    </row>
    <row r="57" spans="1:14" s="6" customFormat="1" x14ac:dyDescent="0.25"/>
    <row r="58" spans="1:14" x14ac:dyDescent="0.25">
      <c r="A58" s="7" t="s">
        <v>0</v>
      </c>
      <c r="B58" s="7" t="s">
        <v>177</v>
      </c>
    </row>
    <row r="59" spans="1:14" x14ac:dyDescent="0.25">
      <c r="A59" s="3" t="s">
        <v>1</v>
      </c>
      <c r="B59" s="1" t="s">
        <v>76</v>
      </c>
    </row>
    <row r="60" spans="1:14" x14ac:dyDescent="0.25">
      <c r="A60" s="3" t="s">
        <v>2</v>
      </c>
      <c r="B60" s="1" t="s">
        <v>176</v>
      </c>
    </row>
    <row r="61" spans="1:14" x14ac:dyDescent="0.25">
      <c r="A61" s="3" t="s">
        <v>3</v>
      </c>
      <c r="B61" s="1">
        <v>1</v>
      </c>
    </row>
    <row r="62" spans="1:14" x14ac:dyDescent="0.25">
      <c r="A62" s="3" t="s">
        <v>4</v>
      </c>
      <c r="B62" s="1" t="s">
        <v>5</v>
      </c>
    </row>
    <row r="63" spans="1:14" x14ac:dyDescent="0.25">
      <c r="A63" s="3" t="s">
        <v>6</v>
      </c>
      <c r="B63" s="1" t="s">
        <v>38</v>
      </c>
    </row>
    <row r="64" spans="1:14" x14ac:dyDescent="0.25">
      <c r="A64" s="3" t="s">
        <v>8</v>
      </c>
    </row>
    <row r="65" spans="1:14" x14ac:dyDescent="0.25">
      <c r="A65" s="7" t="s">
        <v>9</v>
      </c>
      <c r="B65" s="7" t="s">
        <v>1</v>
      </c>
      <c r="C65" s="7" t="s">
        <v>2</v>
      </c>
      <c r="D65" s="7" t="s">
        <v>3</v>
      </c>
      <c r="E65" s="7" t="s">
        <v>4</v>
      </c>
      <c r="F65" s="7" t="s">
        <v>10</v>
      </c>
      <c r="G65" s="7" t="s">
        <v>11</v>
      </c>
      <c r="H65" s="7" t="s">
        <v>12</v>
      </c>
      <c r="I65" s="7" t="s">
        <v>13</v>
      </c>
      <c r="J65" s="7" t="s">
        <v>14</v>
      </c>
      <c r="K65" s="7" t="s">
        <v>15</v>
      </c>
      <c r="L65" s="7" t="s">
        <v>16</v>
      </c>
      <c r="M65" s="7" t="s">
        <v>17</v>
      </c>
      <c r="N65" s="7" t="s">
        <v>18</v>
      </c>
    </row>
    <row r="66" spans="1:14" x14ac:dyDescent="0.25">
      <c r="A66" s="1" t="str">
        <f>B58</f>
        <v>Spodumene ore mining in Australia/Greenbushes and Li2CO3 production in China/Shehong (Li content)</v>
      </c>
      <c r="B66" s="1" t="str">
        <f>B59</f>
        <v>Battery-grade Li2CO3 (Li content)</v>
      </c>
      <c r="C66" s="1" t="str">
        <f>B60</f>
        <v>AU-CN</v>
      </c>
      <c r="D66" s="1">
        <v>1</v>
      </c>
      <c r="E66" s="1" t="s">
        <v>5</v>
      </c>
      <c r="F66" s="4" t="str">
        <f>F54</f>
        <v>Lithium</v>
      </c>
      <c r="G66" s="1" t="s">
        <v>19</v>
      </c>
    </row>
    <row r="67" spans="1:14" x14ac:dyDescent="0.25">
      <c r="A67" s="1" t="str">
        <f>A55</f>
        <v>[P] Battery-grade Li carbonate (Li2CO3) production (Shehong plant)</v>
      </c>
      <c r="B67" s="1" t="str">
        <f t="shared" ref="B67:G68" si="0">B55</f>
        <v>Battery-grade Li2CO3</v>
      </c>
      <c r="C67" s="1" t="str">
        <f t="shared" si="0"/>
        <v>CN</v>
      </c>
      <c r="D67" s="1">
        <v>5.3219797764768497</v>
      </c>
      <c r="E67" s="1" t="str">
        <f t="shared" si="0"/>
        <v>kilogram</v>
      </c>
      <c r="F67" s="4" t="str">
        <f t="shared" si="0"/>
        <v>Lithium</v>
      </c>
      <c r="G67" s="1" t="str">
        <f t="shared" si="0"/>
        <v>technosphere</v>
      </c>
    </row>
    <row r="68" spans="1:14" x14ac:dyDescent="0.25">
      <c r="A68" s="1" t="str">
        <f>A56</f>
        <v>[M+C] Spodumene ore mining and concentration</v>
      </c>
      <c r="B68" s="1" t="str">
        <f t="shared" si="0"/>
        <v>Spodumene concentrate</v>
      </c>
      <c r="C68" s="1" t="str">
        <f t="shared" si="0"/>
        <v>AU</v>
      </c>
      <c r="D68" s="1">
        <v>38.850452368281005</v>
      </c>
      <c r="E68" s="1" t="str">
        <f t="shared" si="0"/>
        <v>kilogram</v>
      </c>
      <c r="F68" s="4" t="str">
        <f t="shared" si="0"/>
        <v>Lithium</v>
      </c>
      <c r="G68" s="1" t="str">
        <f t="shared" si="0"/>
        <v>technosphere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E252-ADDC-4699-821B-7AF5D1E7EBCB}">
  <sheetPr>
    <tabColor theme="8" tint="0.39997558519241921"/>
  </sheetPr>
  <dimension ref="A1:N42"/>
  <sheetViews>
    <sheetView workbookViewId="0">
      <selection activeCell="E29" sqref="E29"/>
    </sheetView>
  </sheetViews>
  <sheetFormatPr baseColWidth="10" defaultColWidth="8.7109375" defaultRowHeight="15" x14ac:dyDescent="0.25"/>
  <cols>
    <col min="1" max="1" width="96.42578125" style="1" bestFit="1" customWidth="1"/>
    <col min="2" max="2" width="96.57031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17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178</v>
      </c>
    </row>
    <row r="2" spans="1:14" x14ac:dyDescent="0.25">
      <c r="A2" s="3" t="s">
        <v>1</v>
      </c>
      <c r="B2" s="1" t="s">
        <v>144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208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Lithium (Li) hydroxide (LiOH.H2O) production (Shehong plant)</v>
      </c>
      <c r="B9" s="1" t="str">
        <f>B2</f>
        <v>Battery-grade LiOH.H2O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121</v>
      </c>
      <c r="B10" s="1" t="s">
        <v>122</v>
      </c>
      <c r="C10" s="1" t="s">
        <v>25</v>
      </c>
      <c r="D10" s="1">
        <v>1.52</v>
      </c>
      <c r="E10" s="1" t="s">
        <v>5</v>
      </c>
      <c r="F10" s="1" t="s">
        <v>22</v>
      </c>
      <c r="G10" s="1" t="s">
        <v>23</v>
      </c>
      <c r="J10" s="1" t="s">
        <v>166</v>
      </c>
    </row>
    <row r="11" spans="1:14" x14ac:dyDescent="0.25">
      <c r="A11" s="1" t="s">
        <v>119</v>
      </c>
      <c r="B11" s="1" t="s">
        <v>120</v>
      </c>
      <c r="C11" s="1" t="s">
        <v>20</v>
      </c>
      <c r="D11" s="1">
        <v>2.5000000000000001E-2</v>
      </c>
      <c r="E11" s="1" t="s">
        <v>5</v>
      </c>
      <c r="F11" s="1" t="s">
        <v>22</v>
      </c>
      <c r="G11" s="1" t="s">
        <v>23</v>
      </c>
      <c r="J11" s="1" t="s">
        <v>166</v>
      </c>
    </row>
    <row r="12" spans="1:14" x14ac:dyDescent="0.25">
      <c r="A12" s="1" t="s">
        <v>54</v>
      </c>
      <c r="B12" s="1" t="s">
        <v>55</v>
      </c>
      <c r="C12" s="1" t="s">
        <v>25</v>
      </c>
      <c r="D12" s="1">
        <v>1.18</v>
      </c>
      <c r="E12" s="1" t="s">
        <v>5</v>
      </c>
      <c r="F12" s="1" t="s">
        <v>22</v>
      </c>
      <c r="G12" s="1" t="s">
        <v>23</v>
      </c>
      <c r="J12" s="1" t="s">
        <v>166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0.6</v>
      </c>
      <c r="E13" s="1" t="s">
        <v>5</v>
      </c>
      <c r="F13" s="1" t="s">
        <v>22</v>
      </c>
      <c r="G13" s="1" t="s">
        <v>23</v>
      </c>
      <c r="J13" s="1" t="s">
        <v>166</v>
      </c>
    </row>
    <row r="14" spans="1:14" x14ac:dyDescent="0.25">
      <c r="A14" s="1" t="s">
        <v>167</v>
      </c>
      <c r="B14" s="1" t="s">
        <v>109</v>
      </c>
      <c r="C14" s="1" t="s">
        <v>79</v>
      </c>
      <c r="D14" s="1">
        <v>3.5</v>
      </c>
      <c r="E14" s="1" t="s">
        <v>24</v>
      </c>
      <c r="F14" s="1" t="s">
        <v>22</v>
      </c>
      <c r="G14" s="1" t="s">
        <v>23</v>
      </c>
      <c r="J14" s="1" t="s">
        <v>166</v>
      </c>
    </row>
    <row r="15" spans="1:14" x14ac:dyDescent="0.25">
      <c r="A15" s="1" t="s">
        <v>168</v>
      </c>
      <c r="B15" s="1" t="s">
        <v>169</v>
      </c>
      <c r="C15" s="1" t="s">
        <v>25</v>
      </c>
      <c r="D15" s="1">
        <v>32.817779999999999</v>
      </c>
      <c r="E15" s="1" t="s">
        <v>21</v>
      </c>
      <c r="F15" s="1" t="s">
        <v>22</v>
      </c>
      <c r="G15" s="1" t="s">
        <v>23</v>
      </c>
      <c r="J15" s="1" t="s">
        <v>166</v>
      </c>
    </row>
    <row r="16" spans="1:14" x14ac:dyDescent="0.25">
      <c r="A16" s="1" t="s">
        <v>170</v>
      </c>
      <c r="B16" s="1" t="s">
        <v>171</v>
      </c>
      <c r="C16" s="1" t="s">
        <v>25</v>
      </c>
      <c r="D16" s="1">
        <v>38.525219999999997</v>
      </c>
      <c r="E16" s="1" t="s">
        <v>21</v>
      </c>
      <c r="F16" s="1" t="s">
        <v>22</v>
      </c>
      <c r="G16" s="1" t="s">
        <v>23</v>
      </c>
      <c r="J16" s="1" t="s">
        <v>166</v>
      </c>
    </row>
    <row r="17" spans="1:14" s="8" customFormat="1" x14ac:dyDescent="0.25">
      <c r="A17" s="8" t="s">
        <v>172</v>
      </c>
      <c r="B17" s="8" t="s">
        <v>173</v>
      </c>
      <c r="C17" s="8" t="s">
        <v>25</v>
      </c>
      <c r="D17" s="8">
        <v>-1.72</v>
      </c>
      <c r="E17" s="8" t="s">
        <v>5</v>
      </c>
      <c r="F17" s="8" t="s">
        <v>22</v>
      </c>
      <c r="G17" s="8" t="s">
        <v>23</v>
      </c>
      <c r="J17" s="8" t="s">
        <v>166</v>
      </c>
    </row>
    <row r="18" spans="1:14" x14ac:dyDescent="0.25">
      <c r="A18" s="1" t="s">
        <v>26</v>
      </c>
      <c r="D18" s="1">
        <v>1.124E-2</v>
      </c>
      <c r="E18" s="1" t="s">
        <v>27</v>
      </c>
      <c r="F18" s="1" t="s">
        <v>28</v>
      </c>
      <c r="G18" s="1" t="s">
        <v>29</v>
      </c>
      <c r="H18" s="1" t="s">
        <v>30</v>
      </c>
      <c r="J18" s="1" t="s">
        <v>166</v>
      </c>
    </row>
    <row r="19" spans="1:14" s="6" customFormat="1" x14ac:dyDescent="0.25"/>
    <row r="20" spans="1:14" x14ac:dyDescent="0.25">
      <c r="A20" s="7" t="s">
        <v>0</v>
      </c>
      <c r="B20" s="7" t="s">
        <v>179</v>
      </c>
    </row>
    <row r="21" spans="1:14" x14ac:dyDescent="0.25">
      <c r="A21" s="3" t="s">
        <v>1</v>
      </c>
      <c r="B21" s="1" t="s">
        <v>144</v>
      </c>
    </row>
    <row r="22" spans="1:14" x14ac:dyDescent="0.25">
      <c r="A22" s="3" t="s">
        <v>2</v>
      </c>
      <c r="B22" s="1" t="s">
        <v>176</v>
      </c>
    </row>
    <row r="23" spans="1:14" x14ac:dyDescent="0.25">
      <c r="A23" s="3" t="s">
        <v>3</v>
      </c>
      <c r="B23" s="1">
        <v>1</v>
      </c>
    </row>
    <row r="24" spans="1:14" x14ac:dyDescent="0.25">
      <c r="A24" s="3" t="s">
        <v>4</v>
      </c>
      <c r="B24" s="1" t="s">
        <v>5</v>
      </c>
    </row>
    <row r="25" spans="1:14" x14ac:dyDescent="0.25">
      <c r="A25" s="3" t="s">
        <v>6</v>
      </c>
      <c r="B25" s="1" t="s">
        <v>7</v>
      </c>
    </row>
    <row r="26" spans="1:14" x14ac:dyDescent="0.25">
      <c r="A26" s="3" t="s">
        <v>8</v>
      </c>
    </row>
    <row r="27" spans="1:14" x14ac:dyDescent="0.25">
      <c r="A27" s="7" t="s">
        <v>9</v>
      </c>
      <c r="B27" s="7" t="s">
        <v>1</v>
      </c>
      <c r="C27" s="7" t="s">
        <v>2</v>
      </c>
      <c r="D27" s="7" t="s">
        <v>3</v>
      </c>
      <c r="E27" s="7" t="s">
        <v>4</v>
      </c>
      <c r="F27" s="7" t="s">
        <v>10</v>
      </c>
      <c r="G27" s="7" t="s">
        <v>11</v>
      </c>
      <c r="H27" s="7" t="s">
        <v>12</v>
      </c>
      <c r="I27" s="7" t="s">
        <v>13</v>
      </c>
      <c r="J27" s="7" t="s">
        <v>14</v>
      </c>
      <c r="K27" s="7" t="s">
        <v>15</v>
      </c>
      <c r="L27" s="7" t="s">
        <v>16</v>
      </c>
      <c r="M27" s="7" t="s">
        <v>17</v>
      </c>
      <c r="N27" s="7" t="s">
        <v>18</v>
      </c>
    </row>
    <row r="28" spans="1:14" x14ac:dyDescent="0.25">
      <c r="A28" s="1" t="str">
        <f>B20</f>
        <v>Spodumene ore mining in Australia/Greenbushes and LiOH.H2O production in China/Shehong</v>
      </c>
      <c r="B28" s="1" t="str">
        <f>B21</f>
        <v>Battery-grade LiOH.H2O</v>
      </c>
      <c r="C28" s="1" t="str">
        <f>B22</f>
        <v>AU-CN</v>
      </c>
      <c r="D28" s="1">
        <v>1</v>
      </c>
      <c r="E28" s="1" t="s">
        <v>5</v>
      </c>
      <c r="F28" s="4" t="str">
        <f>F9</f>
        <v>Lithium</v>
      </c>
      <c r="G28" s="1" t="s">
        <v>19</v>
      </c>
    </row>
    <row r="29" spans="1:14" x14ac:dyDescent="0.25">
      <c r="A29" s="1" t="str">
        <f>A9</f>
        <v>[P] Battery-grade Lithium (Li) hydroxide (LiOH.H2O) production (Shehong plant)</v>
      </c>
      <c r="B29" s="1" t="str">
        <f>B9</f>
        <v>Battery-grade LiOH.H2O</v>
      </c>
      <c r="C29" s="1" t="str">
        <f>C9</f>
        <v>CN</v>
      </c>
      <c r="D29" s="1">
        <v>1</v>
      </c>
      <c r="E29" s="1" t="str">
        <f>E9</f>
        <v>kilogram</v>
      </c>
      <c r="F29" s="4" t="str">
        <f>F9</f>
        <v>Lithium</v>
      </c>
      <c r="G29" s="1" t="s">
        <v>23</v>
      </c>
    </row>
    <row r="30" spans="1:14" x14ac:dyDescent="0.25">
      <c r="A30" s="1" t="str">
        <f>PR4_Li2CO3_AU_CN_She_Spodumene!A9</f>
        <v>[M+C] Spodumene ore mining and concentration</v>
      </c>
      <c r="B30" s="1" t="str">
        <f>PR4_Li2CO3_AU_CN_She_Spodumene!B9</f>
        <v>Spodumene concentrate</v>
      </c>
      <c r="C30" s="1" t="str">
        <f>PR4_Li2CO3_AU_CN_She_Spodumene!C9</f>
        <v>AU</v>
      </c>
      <c r="D30" s="1">
        <v>6.42</v>
      </c>
      <c r="E30" s="1" t="str">
        <f>PR4_Li2CO3_AU_CN_She_Spodumene!E9</f>
        <v>kilogram</v>
      </c>
      <c r="F30" s="4" t="str">
        <f>PR4_Li2CO3_AU_CN_She_Spodumene!F9</f>
        <v>Lithium</v>
      </c>
      <c r="G30" s="1" t="s">
        <v>23</v>
      </c>
    </row>
    <row r="31" spans="1:14" s="6" customFormat="1" x14ac:dyDescent="0.25"/>
    <row r="32" spans="1:14" x14ac:dyDescent="0.25">
      <c r="A32" s="7" t="s">
        <v>0</v>
      </c>
      <c r="B32" s="7" t="s">
        <v>180</v>
      </c>
    </row>
    <row r="33" spans="1:14" x14ac:dyDescent="0.25">
      <c r="A33" s="3" t="s">
        <v>1</v>
      </c>
      <c r="B33" s="1" t="s">
        <v>148</v>
      </c>
    </row>
    <row r="34" spans="1:14" x14ac:dyDescent="0.25">
      <c r="A34" s="3" t="s">
        <v>2</v>
      </c>
      <c r="B34" s="1" t="s">
        <v>176</v>
      </c>
    </row>
    <row r="35" spans="1:14" x14ac:dyDescent="0.25">
      <c r="A35" s="3" t="s">
        <v>3</v>
      </c>
      <c r="B35" s="1">
        <v>1</v>
      </c>
    </row>
    <row r="36" spans="1:14" x14ac:dyDescent="0.25">
      <c r="A36" s="3" t="s">
        <v>4</v>
      </c>
      <c r="B36" s="1" t="s">
        <v>5</v>
      </c>
    </row>
    <row r="37" spans="1:14" x14ac:dyDescent="0.25">
      <c r="A37" s="3" t="s">
        <v>6</v>
      </c>
      <c r="B37" s="1" t="s">
        <v>38</v>
      </c>
    </row>
    <row r="38" spans="1:14" x14ac:dyDescent="0.25">
      <c r="A38" s="3" t="s">
        <v>8</v>
      </c>
    </row>
    <row r="39" spans="1:14" x14ac:dyDescent="0.25">
      <c r="A39" s="7" t="s">
        <v>9</v>
      </c>
      <c r="B39" s="7" t="s">
        <v>1</v>
      </c>
      <c r="C39" s="7" t="s">
        <v>2</v>
      </c>
      <c r="D39" s="7" t="s">
        <v>3</v>
      </c>
      <c r="E39" s="7" t="s">
        <v>4</v>
      </c>
      <c r="F39" s="7" t="s">
        <v>10</v>
      </c>
      <c r="G39" s="7" t="s">
        <v>11</v>
      </c>
      <c r="H39" s="7" t="s">
        <v>12</v>
      </c>
      <c r="I39" s="7" t="s">
        <v>13</v>
      </c>
      <c r="J39" s="7" t="s">
        <v>14</v>
      </c>
      <c r="K39" s="7" t="s">
        <v>15</v>
      </c>
      <c r="L39" s="7" t="s">
        <v>16</v>
      </c>
      <c r="M39" s="7" t="s">
        <v>17</v>
      </c>
      <c r="N39" s="7" t="s">
        <v>18</v>
      </c>
    </row>
    <row r="40" spans="1:14" x14ac:dyDescent="0.25">
      <c r="A40" s="1" t="str">
        <f>B32</f>
        <v>Spodumene ore mining in Australia/Greenbushes and LiOH.H2O production in China/Shehong (Li content)</v>
      </c>
      <c r="B40" s="1" t="str">
        <f>B33</f>
        <v>Battery-grade LiOH.H2O (Li content)</v>
      </c>
      <c r="C40" s="1" t="str">
        <f>B34</f>
        <v>AU-CN</v>
      </c>
      <c r="D40" s="1">
        <v>1</v>
      </c>
      <c r="E40" s="1" t="s">
        <v>5</v>
      </c>
      <c r="F40" s="4" t="str">
        <f>F28</f>
        <v>Lithium</v>
      </c>
      <c r="G40" s="1" t="s">
        <v>19</v>
      </c>
    </row>
    <row r="41" spans="1:14" x14ac:dyDescent="0.25">
      <c r="A41" s="1" t="str">
        <f>A29</f>
        <v>[P] Battery-grade Lithium (Li) hydroxide (LiOH.H2O) production (Shehong plant)</v>
      </c>
      <c r="B41" s="1" t="str">
        <f t="shared" ref="B41:G42" si="0">B29</f>
        <v>Battery-grade LiOH.H2O</v>
      </c>
      <c r="C41" s="1" t="str">
        <f t="shared" si="0"/>
        <v>CN</v>
      </c>
      <c r="D41" s="1">
        <v>6.0606060606060606</v>
      </c>
      <c r="E41" s="1" t="str">
        <f t="shared" si="0"/>
        <v>kilogram</v>
      </c>
      <c r="F41" s="4" t="str">
        <f t="shared" si="0"/>
        <v>Lithium</v>
      </c>
      <c r="G41" s="1" t="str">
        <f t="shared" si="0"/>
        <v>technosphere</v>
      </c>
    </row>
    <row r="42" spans="1:14" x14ac:dyDescent="0.25">
      <c r="A42" s="1" t="str">
        <f>A30</f>
        <v>[M+C] Spodumene ore mining and concentration</v>
      </c>
      <c r="B42" s="1" t="str">
        <f t="shared" si="0"/>
        <v>Spodumene concentrate</v>
      </c>
      <c r="C42" s="1" t="str">
        <f t="shared" si="0"/>
        <v>AU</v>
      </c>
      <c r="D42" s="1">
        <v>38.909090909090907</v>
      </c>
      <c r="E42" s="1" t="str">
        <f t="shared" si="0"/>
        <v>kilogram</v>
      </c>
      <c r="F42" s="4" t="str">
        <f t="shared" si="0"/>
        <v>Lithium</v>
      </c>
      <c r="G42" s="1" t="str">
        <f t="shared" si="0"/>
        <v>technosphere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B4FF-6C41-4699-80D5-2888FD15AB38}">
  <sheetPr>
    <tabColor theme="8" tint="0.39997558519241921"/>
  </sheetPr>
  <dimension ref="A1:N76"/>
  <sheetViews>
    <sheetView workbookViewId="0">
      <selection activeCell="B12" sqref="B12"/>
    </sheetView>
  </sheetViews>
  <sheetFormatPr baseColWidth="10" defaultColWidth="8.7109375" defaultRowHeight="15" x14ac:dyDescent="0.25"/>
  <cols>
    <col min="1" max="2" width="65.1406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181</v>
      </c>
    </row>
    <row r="2" spans="1:14" x14ac:dyDescent="0.25">
      <c r="A2" s="3" t="s">
        <v>1</v>
      </c>
      <c r="B2" s="1" t="s">
        <v>65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208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 carbonate (Li2CO3) production (Zhangjiagang plant)</v>
      </c>
      <c r="B9" s="1" t="str">
        <f>B2</f>
        <v>Battery-grade Li2CO3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167</v>
      </c>
      <c r="B10" s="1" t="s">
        <v>109</v>
      </c>
      <c r="C10" s="1" t="s">
        <v>79</v>
      </c>
      <c r="D10" s="1">
        <v>0.19</v>
      </c>
      <c r="E10" s="1" t="s">
        <v>24</v>
      </c>
      <c r="F10" s="1" t="s">
        <v>22</v>
      </c>
      <c r="G10" s="1" t="s">
        <v>23</v>
      </c>
      <c r="J10" s="1" t="s">
        <v>182</v>
      </c>
    </row>
    <row r="11" spans="1:14" x14ac:dyDescent="0.25">
      <c r="A11" s="1" t="s">
        <v>167</v>
      </c>
      <c r="B11" s="1" t="s">
        <v>109</v>
      </c>
      <c r="C11" s="1" t="s">
        <v>79</v>
      </c>
      <c r="D11" s="1">
        <v>0.19</v>
      </c>
      <c r="E11" s="1" t="s">
        <v>24</v>
      </c>
      <c r="F11" s="1" t="s">
        <v>22</v>
      </c>
      <c r="G11" s="1" t="s">
        <v>23</v>
      </c>
      <c r="J11" s="1" t="s">
        <v>182</v>
      </c>
    </row>
    <row r="12" spans="1:14" x14ac:dyDescent="0.25">
      <c r="A12" s="1" t="s">
        <v>167</v>
      </c>
      <c r="B12" s="1" t="s">
        <v>109</v>
      </c>
      <c r="C12" s="1" t="s">
        <v>79</v>
      </c>
      <c r="D12" s="1">
        <v>0.46</v>
      </c>
      <c r="E12" s="1" t="s">
        <v>24</v>
      </c>
      <c r="F12" s="1" t="s">
        <v>22</v>
      </c>
      <c r="G12" s="1" t="s">
        <v>23</v>
      </c>
      <c r="J12" s="1" t="s">
        <v>182</v>
      </c>
    </row>
    <row r="13" spans="1:14" x14ac:dyDescent="0.25">
      <c r="A13" s="1" t="s">
        <v>167</v>
      </c>
      <c r="B13" s="1" t="s">
        <v>109</v>
      </c>
      <c r="C13" s="1" t="s">
        <v>79</v>
      </c>
      <c r="D13" s="1">
        <v>0.47</v>
      </c>
      <c r="E13" s="1" t="s">
        <v>24</v>
      </c>
      <c r="F13" s="1" t="s">
        <v>22</v>
      </c>
      <c r="G13" s="1" t="s">
        <v>23</v>
      </c>
      <c r="J13" s="1" t="s">
        <v>182</v>
      </c>
    </row>
    <row r="14" spans="1:14" x14ac:dyDescent="0.25">
      <c r="A14" s="1" t="s">
        <v>167</v>
      </c>
      <c r="B14" s="1" t="s">
        <v>109</v>
      </c>
      <c r="C14" s="1" t="s">
        <v>79</v>
      </c>
      <c r="D14" s="1">
        <v>2.04</v>
      </c>
      <c r="E14" s="1" t="s">
        <v>24</v>
      </c>
      <c r="F14" s="1" t="s">
        <v>22</v>
      </c>
      <c r="G14" s="1" t="s">
        <v>23</v>
      </c>
      <c r="J14" s="1" t="s">
        <v>182</v>
      </c>
    </row>
    <row r="15" spans="1:14" x14ac:dyDescent="0.25">
      <c r="A15" s="1" t="s">
        <v>167</v>
      </c>
      <c r="B15" s="1" t="s">
        <v>109</v>
      </c>
      <c r="C15" s="1" t="s">
        <v>79</v>
      </c>
      <c r="D15" s="1">
        <v>0.48</v>
      </c>
      <c r="E15" s="1" t="s">
        <v>24</v>
      </c>
      <c r="F15" s="1" t="s">
        <v>22</v>
      </c>
      <c r="G15" s="1" t="s">
        <v>23</v>
      </c>
      <c r="J15" s="1" t="s">
        <v>182</v>
      </c>
    </row>
    <row r="16" spans="1:14" x14ac:dyDescent="0.25">
      <c r="A16" s="1" t="s">
        <v>183</v>
      </c>
      <c r="B16" s="1" t="s">
        <v>184</v>
      </c>
      <c r="C16" s="1" t="s">
        <v>79</v>
      </c>
      <c r="D16" s="1">
        <v>0.94</v>
      </c>
      <c r="E16" s="1" t="s">
        <v>27</v>
      </c>
      <c r="F16" s="1" t="s">
        <v>22</v>
      </c>
      <c r="G16" s="1" t="s">
        <v>23</v>
      </c>
      <c r="J16" s="1" t="s">
        <v>182</v>
      </c>
    </row>
    <row r="17" spans="1:10" x14ac:dyDescent="0.25">
      <c r="A17" s="1" t="s">
        <v>183</v>
      </c>
      <c r="B17" s="1" t="s">
        <v>184</v>
      </c>
      <c r="C17" s="1" t="s">
        <v>79</v>
      </c>
      <c r="D17" s="1">
        <v>0.3</v>
      </c>
      <c r="E17" s="1" t="s">
        <v>27</v>
      </c>
      <c r="F17" s="1" t="s">
        <v>22</v>
      </c>
      <c r="G17" s="1" t="s">
        <v>23</v>
      </c>
      <c r="J17" s="1" t="s">
        <v>182</v>
      </c>
    </row>
    <row r="18" spans="1:10" x14ac:dyDescent="0.25">
      <c r="A18" s="1" t="s">
        <v>183</v>
      </c>
      <c r="B18" s="1" t="s">
        <v>184</v>
      </c>
      <c r="C18" s="1" t="s">
        <v>79</v>
      </c>
      <c r="D18" s="1">
        <v>0.05</v>
      </c>
      <c r="E18" s="1" t="s">
        <v>27</v>
      </c>
      <c r="F18" s="1" t="s">
        <v>22</v>
      </c>
      <c r="G18" s="1" t="s">
        <v>23</v>
      </c>
      <c r="J18" s="1" t="s">
        <v>182</v>
      </c>
    </row>
    <row r="19" spans="1:10" x14ac:dyDescent="0.25">
      <c r="A19" s="1" t="s">
        <v>183</v>
      </c>
      <c r="B19" s="1" t="s">
        <v>184</v>
      </c>
      <c r="C19" s="1" t="s">
        <v>79</v>
      </c>
      <c r="D19" s="1">
        <v>7.0000000000000007E-2</v>
      </c>
      <c r="E19" s="1" t="s">
        <v>27</v>
      </c>
      <c r="F19" s="1" t="s">
        <v>22</v>
      </c>
      <c r="G19" s="1" t="s">
        <v>23</v>
      </c>
      <c r="J19" s="1" t="s">
        <v>182</v>
      </c>
    </row>
    <row r="20" spans="1:10" x14ac:dyDescent="0.25">
      <c r="A20" s="1" t="s">
        <v>185</v>
      </c>
      <c r="B20" s="1" t="s">
        <v>186</v>
      </c>
      <c r="C20" s="1" t="s">
        <v>25</v>
      </c>
      <c r="D20" s="1">
        <v>0.82799999999999996</v>
      </c>
      <c r="E20" s="1" t="s">
        <v>5</v>
      </c>
      <c r="F20" s="1" t="s">
        <v>22</v>
      </c>
      <c r="G20" s="1" t="s">
        <v>23</v>
      </c>
      <c r="J20" s="1" t="s">
        <v>182</v>
      </c>
    </row>
    <row r="21" spans="1:10" x14ac:dyDescent="0.25">
      <c r="A21" s="1" t="s">
        <v>185</v>
      </c>
      <c r="B21" s="1" t="s">
        <v>186</v>
      </c>
      <c r="C21" s="1" t="s">
        <v>25</v>
      </c>
      <c r="D21" s="1">
        <v>3.8340000000000001</v>
      </c>
      <c r="E21" s="1" t="s">
        <v>5</v>
      </c>
      <c r="F21" s="1" t="s">
        <v>22</v>
      </c>
      <c r="G21" s="1" t="s">
        <v>23</v>
      </c>
      <c r="J21" s="1" t="s">
        <v>182</v>
      </c>
    </row>
    <row r="22" spans="1:10" x14ac:dyDescent="0.25">
      <c r="A22" s="1" t="s">
        <v>121</v>
      </c>
      <c r="B22" s="1" t="s">
        <v>122</v>
      </c>
      <c r="C22" s="1" t="s">
        <v>25</v>
      </c>
      <c r="D22" s="1">
        <v>3.02</v>
      </c>
      <c r="E22" s="1" t="s">
        <v>5</v>
      </c>
      <c r="F22" s="1" t="s">
        <v>22</v>
      </c>
      <c r="G22" s="1" t="s">
        <v>23</v>
      </c>
      <c r="J22" s="1" t="s">
        <v>182</v>
      </c>
    </row>
    <row r="23" spans="1:10" x14ac:dyDescent="0.25">
      <c r="A23" s="1" t="s">
        <v>119</v>
      </c>
      <c r="B23" s="1" t="s">
        <v>120</v>
      </c>
      <c r="C23" s="1" t="s">
        <v>20</v>
      </c>
      <c r="D23" s="1">
        <v>2.2599999999999998</v>
      </c>
      <c r="E23" s="1" t="s">
        <v>5</v>
      </c>
      <c r="F23" s="1" t="s">
        <v>22</v>
      </c>
      <c r="G23" s="1" t="s">
        <v>23</v>
      </c>
      <c r="J23" s="1" t="s">
        <v>182</v>
      </c>
    </row>
    <row r="24" spans="1:10" x14ac:dyDescent="0.25">
      <c r="A24" s="1" t="s">
        <v>54</v>
      </c>
      <c r="B24" s="1" t="s">
        <v>55</v>
      </c>
      <c r="C24" s="1" t="s">
        <v>25</v>
      </c>
      <c r="D24" s="1">
        <v>0.55000000000000004</v>
      </c>
      <c r="E24" s="1" t="s">
        <v>5</v>
      </c>
      <c r="F24" s="1" t="s">
        <v>22</v>
      </c>
      <c r="G24" s="1" t="s">
        <v>23</v>
      </c>
      <c r="J24" s="1" t="s">
        <v>182</v>
      </c>
    </row>
    <row r="25" spans="1:10" x14ac:dyDescent="0.25">
      <c r="A25" s="1" t="s">
        <v>187</v>
      </c>
      <c r="B25" s="1" t="s">
        <v>188</v>
      </c>
      <c r="C25" s="1" t="s">
        <v>20</v>
      </c>
      <c r="D25" s="1">
        <v>0.06</v>
      </c>
      <c r="E25" s="1" t="s">
        <v>5</v>
      </c>
      <c r="F25" s="1" t="s">
        <v>22</v>
      </c>
      <c r="G25" s="1" t="s">
        <v>23</v>
      </c>
      <c r="J25" s="1" t="s">
        <v>182</v>
      </c>
    </row>
    <row r="26" spans="1:10" x14ac:dyDescent="0.25">
      <c r="A26" s="1" t="s">
        <v>52</v>
      </c>
      <c r="B26" s="1" t="s">
        <v>53</v>
      </c>
      <c r="C26" s="1" t="s">
        <v>25</v>
      </c>
      <c r="D26" s="1">
        <v>0.18</v>
      </c>
      <c r="E26" s="1" t="s">
        <v>5</v>
      </c>
      <c r="F26" s="1" t="s">
        <v>22</v>
      </c>
      <c r="G26" s="1" t="s">
        <v>23</v>
      </c>
      <c r="J26" s="1" t="s">
        <v>182</v>
      </c>
    </row>
    <row r="27" spans="1:10" x14ac:dyDescent="0.25">
      <c r="A27" s="1" t="s">
        <v>189</v>
      </c>
      <c r="B27" s="1" t="s">
        <v>190</v>
      </c>
      <c r="C27" s="1" t="s">
        <v>25</v>
      </c>
      <c r="D27" s="1">
        <v>0.12</v>
      </c>
      <c r="E27" s="1" t="s">
        <v>5</v>
      </c>
      <c r="F27" s="1" t="s">
        <v>22</v>
      </c>
      <c r="G27" s="1" t="s">
        <v>23</v>
      </c>
      <c r="J27" s="1" t="s">
        <v>182</v>
      </c>
    </row>
    <row r="28" spans="1:10" x14ac:dyDescent="0.25">
      <c r="A28" s="1" t="s">
        <v>191</v>
      </c>
      <c r="B28" s="1" t="s">
        <v>192</v>
      </c>
      <c r="C28" s="1" t="s">
        <v>25</v>
      </c>
      <c r="D28" s="1">
        <v>0.65</v>
      </c>
      <c r="E28" s="1" t="s">
        <v>5</v>
      </c>
      <c r="F28" s="1" t="s">
        <v>22</v>
      </c>
      <c r="G28" s="1" t="s">
        <v>23</v>
      </c>
      <c r="J28" s="1" t="s">
        <v>182</v>
      </c>
    </row>
    <row r="29" spans="1:10" x14ac:dyDescent="0.25">
      <c r="A29" s="1" t="s">
        <v>193</v>
      </c>
      <c r="B29" s="1" t="s">
        <v>194</v>
      </c>
      <c r="C29" s="1" t="s">
        <v>20</v>
      </c>
      <c r="D29" s="1">
        <v>0.05</v>
      </c>
      <c r="E29" s="1" t="s">
        <v>5</v>
      </c>
      <c r="F29" s="1" t="s">
        <v>22</v>
      </c>
      <c r="G29" s="1" t="s">
        <v>23</v>
      </c>
      <c r="J29" s="1" t="s">
        <v>182</v>
      </c>
    </row>
    <row r="30" spans="1:10" x14ac:dyDescent="0.25">
      <c r="A30" s="1" t="s">
        <v>195</v>
      </c>
      <c r="B30" s="1" t="s">
        <v>196</v>
      </c>
      <c r="C30" s="1" t="s">
        <v>25</v>
      </c>
      <c r="D30" s="1">
        <v>-1.289E-2</v>
      </c>
      <c r="E30" s="1" t="s">
        <v>27</v>
      </c>
      <c r="F30" s="1" t="s">
        <v>22</v>
      </c>
      <c r="G30" s="1" t="s">
        <v>23</v>
      </c>
      <c r="J30" s="1" t="s">
        <v>182</v>
      </c>
    </row>
    <row r="31" spans="1:10" x14ac:dyDescent="0.25">
      <c r="A31" s="1" t="s">
        <v>195</v>
      </c>
      <c r="B31" s="1" t="s">
        <v>196</v>
      </c>
      <c r="C31" s="1" t="s">
        <v>25</v>
      </c>
      <c r="D31" s="1">
        <v>-1.4999999999999999E-4</v>
      </c>
      <c r="E31" s="1" t="s">
        <v>27</v>
      </c>
      <c r="F31" s="1" t="s">
        <v>22</v>
      </c>
      <c r="G31" s="1" t="s">
        <v>23</v>
      </c>
      <c r="J31" s="1" t="s">
        <v>182</v>
      </c>
    </row>
    <row r="32" spans="1:10" s="8" customFormat="1" x14ac:dyDescent="0.25">
      <c r="A32" s="8" t="s">
        <v>172</v>
      </c>
      <c r="B32" s="8" t="s">
        <v>173</v>
      </c>
      <c r="C32" s="8" t="s">
        <v>25</v>
      </c>
      <c r="D32" s="8">
        <v>-2.27</v>
      </c>
      <c r="E32" s="8" t="s">
        <v>5</v>
      </c>
      <c r="F32" s="8" t="s">
        <v>22</v>
      </c>
      <c r="G32" s="8" t="s">
        <v>23</v>
      </c>
      <c r="J32" s="8" t="s">
        <v>182</v>
      </c>
    </row>
    <row r="33" spans="1:10" x14ac:dyDescent="0.25">
      <c r="A33" s="1" t="s">
        <v>113</v>
      </c>
      <c r="B33" s="1" t="s">
        <v>114</v>
      </c>
      <c r="C33" s="1" t="s">
        <v>25</v>
      </c>
      <c r="D33" s="1">
        <v>-2.0629999999999999E-2</v>
      </c>
      <c r="E33" s="1" t="s">
        <v>27</v>
      </c>
      <c r="F33" s="1" t="s">
        <v>22</v>
      </c>
      <c r="G33" s="1" t="s">
        <v>23</v>
      </c>
      <c r="J33" s="1" t="s">
        <v>197</v>
      </c>
    </row>
    <row r="34" spans="1:10" x14ac:dyDescent="0.25">
      <c r="A34" s="1" t="s">
        <v>113</v>
      </c>
      <c r="B34" s="1" t="s">
        <v>114</v>
      </c>
      <c r="C34" s="1" t="s">
        <v>25</v>
      </c>
      <c r="D34" s="1">
        <v>-4.6499999999999996E-3</v>
      </c>
      <c r="E34" s="1" t="s">
        <v>27</v>
      </c>
      <c r="F34" s="1" t="s">
        <v>22</v>
      </c>
      <c r="G34" s="1" t="s">
        <v>23</v>
      </c>
      <c r="J34" s="1" t="s">
        <v>197</v>
      </c>
    </row>
    <row r="35" spans="1:10" x14ac:dyDescent="0.25">
      <c r="A35" s="1" t="s">
        <v>113</v>
      </c>
      <c r="B35" s="1" t="s">
        <v>114</v>
      </c>
      <c r="C35" s="1" t="s">
        <v>25</v>
      </c>
      <c r="D35" s="1">
        <v>-1.3520000000000001E-2</v>
      </c>
      <c r="E35" s="1" t="s">
        <v>27</v>
      </c>
      <c r="F35" s="1" t="s">
        <v>22</v>
      </c>
      <c r="G35" s="1" t="s">
        <v>23</v>
      </c>
      <c r="J35" s="1" t="s">
        <v>197</v>
      </c>
    </row>
    <row r="36" spans="1:10" x14ac:dyDescent="0.25">
      <c r="A36" s="1" t="s">
        <v>26</v>
      </c>
      <c r="D36" s="1">
        <v>2.63E-2</v>
      </c>
      <c r="E36" s="1" t="s">
        <v>27</v>
      </c>
      <c r="F36" s="1" t="s">
        <v>28</v>
      </c>
      <c r="G36" s="1" t="s">
        <v>29</v>
      </c>
      <c r="H36" s="1" t="s">
        <v>30</v>
      </c>
      <c r="J36" s="1" t="s">
        <v>182</v>
      </c>
    </row>
    <row r="37" spans="1:10" x14ac:dyDescent="0.25">
      <c r="A37" s="1" t="s">
        <v>26</v>
      </c>
      <c r="D37" s="1">
        <v>5.9300000000000004E-3</v>
      </c>
      <c r="E37" s="1" t="s">
        <v>27</v>
      </c>
      <c r="F37" s="1" t="s">
        <v>28</v>
      </c>
      <c r="G37" s="1" t="s">
        <v>29</v>
      </c>
      <c r="H37" s="1" t="s">
        <v>30</v>
      </c>
      <c r="J37" s="1" t="s">
        <v>182</v>
      </c>
    </row>
    <row r="38" spans="1:10" x14ac:dyDescent="0.25">
      <c r="A38" s="1" t="s">
        <v>26</v>
      </c>
      <c r="D38" s="1">
        <v>1.7229999999999999E-2</v>
      </c>
      <c r="E38" s="1" t="s">
        <v>27</v>
      </c>
      <c r="F38" s="1" t="s">
        <v>28</v>
      </c>
      <c r="G38" s="1" t="s">
        <v>29</v>
      </c>
      <c r="H38" s="1" t="s">
        <v>30</v>
      </c>
      <c r="J38" s="1" t="s">
        <v>182</v>
      </c>
    </row>
    <row r="39" spans="1:10" x14ac:dyDescent="0.25">
      <c r="A39" s="1" t="s">
        <v>198</v>
      </c>
      <c r="D39" s="1">
        <v>5.0000000000000002E-5</v>
      </c>
      <c r="E39" s="1" t="s">
        <v>5</v>
      </c>
      <c r="F39" s="1" t="s">
        <v>28</v>
      </c>
      <c r="G39" s="1" t="s">
        <v>29</v>
      </c>
      <c r="H39" s="1" t="s">
        <v>32</v>
      </c>
      <c r="J39" s="1" t="s">
        <v>197</v>
      </c>
    </row>
    <row r="40" spans="1:10" x14ac:dyDescent="0.25">
      <c r="A40" s="1" t="s">
        <v>199</v>
      </c>
      <c r="D40" s="1">
        <v>7.0000000000000007E-5</v>
      </c>
      <c r="E40" s="1" t="s">
        <v>5</v>
      </c>
      <c r="F40" s="1" t="s">
        <v>28</v>
      </c>
      <c r="G40" s="1" t="s">
        <v>29</v>
      </c>
      <c r="H40" s="1" t="s">
        <v>32</v>
      </c>
      <c r="J40" s="1" t="s">
        <v>197</v>
      </c>
    </row>
    <row r="41" spans="1:10" x14ac:dyDescent="0.25">
      <c r="A41" s="1" t="s">
        <v>199</v>
      </c>
      <c r="D41" s="1">
        <v>2.0000000000000002E-5</v>
      </c>
      <c r="E41" s="1" t="s">
        <v>5</v>
      </c>
      <c r="F41" s="1" t="s">
        <v>28</v>
      </c>
      <c r="G41" s="1" t="s">
        <v>29</v>
      </c>
      <c r="H41" s="1" t="s">
        <v>32</v>
      </c>
      <c r="J41" s="1" t="s">
        <v>197</v>
      </c>
    </row>
    <row r="42" spans="1:10" x14ac:dyDescent="0.25">
      <c r="A42" s="1" t="s">
        <v>200</v>
      </c>
      <c r="D42" s="1">
        <v>9.8999999999999999E-4</v>
      </c>
      <c r="E42" s="1" t="s">
        <v>5</v>
      </c>
      <c r="F42" s="1" t="s">
        <v>28</v>
      </c>
      <c r="G42" s="1" t="s">
        <v>29</v>
      </c>
      <c r="H42" s="1" t="s">
        <v>32</v>
      </c>
      <c r="J42" s="1" t="s">
        <v>197</v>
      </c>
    </row>
    <row r="43" spans="1:10" x14ac:dyDescent="0.25">
      <c r="A43" s="1" t="s">
        <v>200</v>
      </c>
      <c r="D43" s="1">
        <v>3.2000000000000003E-4</v>
      </c>
      <c r="E43" s="1" t="s">
        <v>5</v>
      </c>
      <c r="F43" s="1" t="s">
        <v>28</v>
      </c>
      <c r="G43" s="1" t="s">
        <v>29</v>
      </c>
      <c r="H43" s="1" t="s">
        <v>32</v>
      </c>
      <c r="J43" s="1" t="s">
        <v>197</v>
      </c>
    </row>
    <row r="44" spans="1:10" x14ac:dyDescent="0.25">
      <c r="A44" s="1" t="s">
        <v>139</v>
      </c>
      <c r="D44" s="1">
        <v>5.2999999999999998E-4</v>
      </c>
      <c r="E44" s="1" t="s">
        <v>5</v>
      </c>
      <c r="F44" s="1" t="s">
        <v>28</v>
      </c>
      <c r="G44" s="1" t="s">
        <v>29</v>
      </c>
      <c r="H44" s="1" t="s">
        <v>32</v>
      </c>
      <c r="J44" s="1" t="s">
        <v>197</v>
      </c>
    </row>
    <row r="45" spans="1:10" x14ac:dyDescent="0.25">
      <c r="A45" s="1" t="s">
        <v>201</v>
      </c>
      <c r="D45" s="1">
        <v>0.28999999999999998</v>
      </c>
      <c r="E45" s="1" t="s">
        <v>5</v>
      </c>
      <c r="F45" s="1" t="s">
        <v>28</v>
      </c>
      <c r="G45" s="1" t="s">
        <v>29</v>
      </c>
      <c r="H45" s="1" t="s">
        <v>31</v>
      </c>
      <c r="J45" s="1" t="s">
        <v>197</v>
      </c>
    </row>
    <row r="46" spans="1:10" x14ac:dyDescent="0.25">
      <c r="A46" s="1" t="s">
        <v>201</v>
      </c>
      <c r="D46" s="1">
        <v>7.0000000000000007E-2</v>
      </c>
      <c r="E46" s="1" t="s">
        <v>5</v>
      </c>
      <c r="F46" s="1" t="s">
        <v>28</v>
      </c>
      <c r="G46" s="1" t="s">
        <v>29</v>
      </c>
      <c r="H46" s="1" t="s">
        <v>31</v>
      </c>
      <c r="J46" s="1" t="s">
        <v>197</v>
      </c>
    </row>
    <row r="47" spans="1:10" x14ac:dyDescent="0.25">
      <c r="A47" s="1" t="s">
        <v>201</v>
      </c>
      <c r="D47" s="1">
        <v>0.19</v>
      </c>
      <c r="E47" s="1" t="s">
        <v>5</v>
      </c>
      <c r="F47" s="1" t="s">
        <v>28</v>
      </c>
      <c r="G47" s="1" t="s">
        <v>29</v>
      </c>
      <c r="H47" s="1" t="s">
        <v>31</v>
      </c>
      <c r="J47" s="1" t="s">
        <v>197</v>
      </c>
    </row>
    <row r="48" spans="1:10" x14ac:dyDescent="0.25">
      <c r="A48" s="1" t="s">
        <v>202</v>
      </c>
      <c r="D48" s="1">
        <v>0.39</v>
      </c>
      <c r="E48" s="1" t="s">
        <v>5</v>
      </c>
      <c r="F48" s="1" t="s">
        <v>28</v>
      </c>
      <c r="G48" s="1" t="s">
        <v>29</v>
      </c>
      <c r="H48" s="1" t="s">
        <v>31</v>
      </c>
      <c r="J48" s="1" t="s">
        <v>197</v>
      </c>
    </row>
    <row r="49" spans="1:14" x14ac:dyDescent="0.25">
      <c r="A49" s="1" t="s">
        <v>202</v>
      </c>
      <c r="D49" s="1">
        <v>0.09</v>
      </c>
      <c r="E49" s="1" t="s">
        <v>5</v>
      </c>
      <c r="F49" s="1" t="s">
        <v>28</v>
      </c>
      <c r="G49" s="1" t="s">
        <v>29</v>
      </c>
      <c r="H49" s="1" t="s">
        <v>31</v>
      </c>
      <c r="J49" s="1" t="s">
        <v>197</v>
      </c>
    </row>
    <row r="50" spans="1:14" x14ac:dyDescent="0.25">
      <c r="A50" s="1" t="s">
        <v>202</v>
      </c>
      <c r="D50" s="1">
        <v>0.26</v>
      </c>
      <c r="E50" s="1" t="s">
        <v>5</v>
      </c>
      <c r="F50" s="1" t="s">
        <v>28</v>
      </c>
      <c r="G50" s="1" t="s">
        <v>29</v>
      </c>
      <c r="H50" s="1" t="s">
        <v>31</v>
      </c>
      <c r="J50" s="1" t="s">
        <v>197</v>
      </c>
    </row>
    <row r="51" spans="1:14" x14ac:dyDescent="0.25">
      <c r="A51" s="1" t="s">
        <v>203</v>
      </c>
      <c r="D51" s="1">
        <v>0.03</v>
      </c>
      <c r="E51" s="1" t="s">
        <v>5</v>
      </c>
      <c r="F51" s="1" t="s">
        <v>28</v>
      </c>
      <c r="G51" s="1" t="s">
        <v>29</v>
      </c>
      <c r="H51" s="1" t="s">
        <v>31</v>
      </c>
      <c r="J51" s="1" t="s">
        <v>197</v>
      </c>
    </row>
    <row r="52" spans="1:14" x14ac:dyDescent="0.25">
      <c r="A52" s="1" t="s">
        <v>204</v>
      </c>
      <c r="D52" s="1">
        <v>3.0000000000000001E-3</v>
      </c>
      <c r="E52" s="1" t="s">
        <v>5</v>
      </c>
      <c r="F52" s="1" t="s">
        <v>28</v>
      </c>
      <c r="G52" s="1" t="s">
        <v>29</v>
      </c>
      <c r="H52" s="1" t="s">
        <v>31</v>
      </c>
      <c r="J52" s="1" t="s">
        <v>197</v>
      </c>
    </row>
    <row r="53" spans="1:14" s="6" customFormat="1" x14ac:dyDescent="0.25"/>
    <row r="54" spans="1:14" x14ac:dyDescent="0.25">
      <c r="A54" s="7" t="s">
        <v>0</v>
      </c>
      <c r="B54" s="7" t="s">
        <v>205</v>
      </c>
    </row>
    <row r="55" spans="1:14" x14ac:dyDescent="0.25">
      <c r="A55" s="3" t="s">
        <v>1</v>
      </c>
      <c r="B55" s="1" t="s">
        <v>65</v>
      </c>
    </row>
    <row r="56" spans="1:14" x14ac:dyDescent="0.25">
      <c r="A56" s="3" t="s">
        <v>2</v>
      </c>
      <c r="B56" s="1" t="s">
        <v>176</v>
      </c>
    </row>
    <row r="57" spans="1:14" x14ac:dyDescent="0.25">
      <c r="A57" s="3" t="s">
        <v>3</v>
      </c>
      <c r="B57" s="1">
        <v>1</v>
      </c>
    </row>
    <row r="58" spans="1:14" x14ac:dyDescent="0.25">
      <c r="A58" s="3" t="s">
        <v>4</v>
      </c>
      <c r="B58" s="1" t="s">
        <v>5</v>
      </c>
    </row>
    <row r="59" spans="1:14" x14ac:dyDescent="0.25">
      <c r="A59" s="3" t="s">
        <v>6</v>
      </c>
      <c r="B59" s="1" t="s">
        <v>7</v>
      </c>
    </row>
    <row r="60" spans="1:14" x14ac:dyDescent="0.25">
      <c r="A60" s="3" t="s">
        <v>8</v>
      </c>
    </row>
    <row r="61" spans="1:14" x14ac:dyDescent="0.25">
      <c r="A61" s="7" t="s">
        <v>9</v>
      </c>
      <c r="B61" s="7" t="s">
        <v>1</v>
      </c>
      <c r="C61" s="7" t="s">
        <v>2</v>
      </c>
      <c r="D61" s="7" t="s">
        <v>3</v>
      </c>
      <c r="E61" s="7" t="s">
        <v>4</v>
      </c>
      <c r="F61" s="7" t="s">
        <v>10</v>
      </c>
      <c r="G61" s="7" t="s">
        <v>11</v>
      </c>
      <c r="H61" s="7" t="s">
        <v>12</v>
      </c>
      <c r="I61" s="7" t="s">
        <v>13</v>
      </c>
      <c r="J61" s="7" t="s">
        <v>14</v>
      </c>
      <c r="K61" s="7" t="s">
        <v>15</v>
      </c>
      <c r="L61" s="7" t="s">
        <v>16</v>
      </c>
      <c r="M61" s="7" t="s">
        <v>17</v>
      </c>
      <c r="N61" s="7" t="s">
        <v>18</v>
      </c>
    </row>
    <row r="62" spans="1:14" x14ac:dyDescent="0.25">
      <c r="A62" s="1" t="str">
        <f>B54</f>
        <v xml:space="preserve">Li2CO3 production in China/Zhangjiagang </v>
      </c>
      <c r="B62" s="1" t="str">
        <f>B55</f>
        <v>Battery-grade Li2CO3</v>
      </c>
      <c r="C62" s="1" t="str">
        <f>B56</f>
        <v>AU-CN</v>
      </c>
      <c r="D62" s="1">
        <v>1</v>
      </c>
      <c r="E62" s="1" t="s">
        <v>5</v>
      </c>
      <c r="F62" s="4" t="str">
        <f>F9</f>
        <v>Lithium</v>
      </c>
      <c r="G62" s="1" t="s">
        <v>19</v>
      </c>
    </row>
    <row r="63" spans="1:14" x14ac:dyDescent="0.25">
      <c r="A63" s="1" t="str">
        <f>A9</f>
        <v>[P] Battery-grade Li carbonate (Li2CO3) production (Zhangjiagang plant)</v>
      </c>
      <c r="B63" s="1" t="str">
        <f>B9</f>
        <v>Battery-grade Li2CO3</v>
      </c>
      <c r="C63" s="1" t="str">
        <f>C9</f>
        <v>CN</v>
      </c>
      <c r="D63" s="1">
        <v>1</v>
      </c>
      <c r="E63" s="1" t="str">
        <f>E9</f>
        <v>kilogram</v>
      </c>
      <c r="F63" s="4" t="str">
        <f>F9</f>
        <v>Lithium</v>
      </c>
      <c r="G63" s="1" t="s">
        <v>23</v>
      </c>
    </row>
    <row r="64" spans="1:14" x14ac:dyDescent="0.25">
      <c r="A64" s="1" t="str">
        <f>PR4_Li2CO3_AU_CN_She_Spodumene!A9</f>
        <v>[M+C] Spodumene ore mining and concentration</v>
      </c>
      <c r="B64" s="1" t="str">
        <f>PR4_Li2CO3_AU_CN_She_Spodumene!B9</f>
        <v>Spodumene concentrate</v>
      </c>
      <c r="C64" s="1" t="str">
        <f>PR4_Li2CO3_AU_CN_She_Spodumene!C9</f>
        <v>AU</v>
      </c>
      <c r="D64" s="1">
        <v>8.67</v>
      </c>
      <c r="E64" s="1" t="str">
        <f>PR4_Li2CO3_AU_CN_She_Spodumene!E9</f>
        <v>kilogram</v>
      </c>
      <c r="F64" s="4" t="str">
        <f>PR4_Li2CO3_AU_CN_She_Spodumene!F9</f>
        <v>Lithium</v>
      </c>
      <c r="G64" s="1" t="s">
        <v>23</v>
      </c>
    </row>
    <row r="65" spans="1:14" s="6" customFormat="1" x14ac:dyDescent="0.25"/>
    <row r="66" spans="1:14" x14ac:dyDescent="0.25">
      <c r="A66" s="7" t="s">
        <v>0</v>
      </c>
      <c r="B66" s="7" t="s">
        <v>206</v>
      </c>
    </row>
    <row r="67" spans="1:14" x14ac:dyDescent="0.25">
      <c r="A67" s="3" t="s">
        <v>1</v>
      </c>
      <c r="B67" s="1" t="s">
        <v>76</v>
      </c>
    </row>
    <row r="68" spans="1:14" x14ac:dyDescent="0.25">
      <c r="A68" s="3" t="s">
        <v>2</v>
      </c>
      <c r="B68" s="1" t="s">
        <v>176</v>
      </c>
    </row>
    <row r="69" spans="1:14" x14ac:dyDescent="0.25">
      <c r="A69" s="3" t="s">
        <v>3</v>
      </c>
      <c r="B69" s="1">
        <v>1</v>
      </c>
    </row>
    <row r="70" spans="1:14" x14ac:dyDescent="0.25">
      <c r="A70" s="3" t="s">
        <v>4</v>
      </c>
      <c r="B70" s="1" t="s">
        <v>5</v>
      </c>
    </row>
    <row r="71" spans="1:14" x14ac:dyDescent="0.25">
      <c r="A71" s="3" t="s">
        <v>6</v>
      </c>
      <c r="B71" s="1" t="s">
        <v>38</v>
      </c>
    </row>
    <row r="72" spans="1:14" x14ac:dyDescent="0.25">
      <c r="A72" s="3" t="s">
        <v>8</v>
      </c>
    </row>
    <row r="73" spans="1:14" x14ac:dyDescent="0.25">
      <c r="A73" s="7" t="s">
        <v>9</v>
      </c>
      <c r="B73" s="7" t="s">
        <v>1</v>
      </c>
      <c r="C73" s="7" t="s">
        <v>2</v>
      </c>
      <c r="D73" s="7" t="s">
        <v>3</v>
      </c>
      <c r="E73" s="7" t="s">
        <v>4</v>
      </c>
      <c r="F73" s="7" t="s">
        <v>10</v>
      </c>
      <c r="G73" s="7" t="s">
        <v>11</v>
      </c>
      <c r="H73" s="7" t="s">
        <v>12</v>
      </c>
      <c r="I73" s="7" t="s">
        <v>13</v>
      </c>
      <c r="J73" s="7" t="s">
        <v>14</v>
      </c>
      <c r="K73" s="7" t="s">
        <v>15</v>
      </c>
      <c r="L73" s="7" t="s">
        <v>16</v>
      </c>
      <c r="M73" s="7" t="s">
        <v>17</v>
      </c>
      <c r="N73" s="7" t="s">
        <v>18</v>
      </c>
    </row>
    <row r="74" spans="1:14" x14ac:dyDescent="0.25">
      <c r="A74" s="1" t="str">
        <f>B66</f>
        <v>Li2CO3 production in China/Zhangjiagang (Li content)</v>
      </c>
      <c r="B74" s="1" t="str">
        <f>B67</f>
        <v>Battery-grade Li2CO3 (Li content)</v>
      </c>
      <c r="C74" s="1" t="str">
        <f>B68</f>
        <v>AU-CN</v>
      </c>
      <c r="D74" s="1">
        <v>1</v>
      </c>
      <c r="E74" s="1" t="s">
        <v>5</v>
      </c>
      <c r="F74" s="4" t="str">
        <f>F62</f>
        <v>Lithium</v>
      </c>
      <c r="G74" s="1" t="s">
        <v>19</v>
      </c>
    </row>
    <row r="75" spans="1:14" x14ac:dyDescent="0.25">
      <c r="A75" s="1" t="str">
        <f>A63</f>
        <v>[P] Battery-grade Li carbonate (Li2CO3) production (Zhangjiagang plant)</v>
      </c>
      <c r="B75" s="1" t="str">
        <f t="shared" ref="B75:G76" si="0">B63</f>
        <v>Battery-grade Li2CO3</v>
      </c>
      <c r="C75" s="1" t="str">
        <f t="shared" si="0"/>
        <v>CN</v>
      </c>
      <c r="D75" s="1">
        <v>5.3219797764768497</v>
      </c>
      <c r="E75" s="1" t="str">
        <f t="shared" si="0"/>
        <v>kilogram</v>
      </c>
      <c r="F75" s="4" t="str">
        <f t="shared" si="0"/>
        <v>Lithium</v>
      </c>
      <c r="G75" s="1" t="str">
        <f t="shared" si="0"/>
        <v>technosphere</v>
      </c>
    </row>
    <row r="76" spans="1:14" x14ac:dyDescent="0.25">
      <c r="A76" s="1" t="str">
        <f>A64</f>
        <v>[M+C] Spodumene ore mining and concentration</v>
      </c>
      <c r="B76" s="1" t="str">
        <f t="shared" si="0"/>
        <v>Spodumene concentrate</v>
      </c>
      <c r="C76" s="1" t="str">
        <f t="shared" si="0"/>
        <v>AU</v>
      </c>
      <c r="D76" s="1">
        <v>46.141564662054286</v>
      </c>
      <c r="E76" s="1" t="str">
        <f t="shared" si="0"/>
        <v>kilogram</v>
      </c>
      <c r="F76" s="4" t="str">
        <f t="shared" si="0"/>
        <v>Lithium</v>
      </c>
      <c r="G76" s="1" t="str">
        <f t="shared" si="0"/>
        <v>technosphere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790B-8CF6-496A-A785-8CC8B28A67BD}">
  <sheetPr>
    <tabColor theme="8" tint="0.39997558519241921"/>
  </sheetPr>
  <dimension ref="A1:N99"/>
  <sheetViews>
    <sheetView topLeftCell="A2" zoomScaleNormal="100" workbookViewId="0">
      <selection activeCell="H36" sqref="H35:H36"/>
    </sheetView>
  </sheetViews>
  <sheetFormatPr baseColWidth="10" defaultColWidth="11.42578125" defaultRowHeight="15" x14ac:dyDescent="0.25"/>
  <cols>
    <col min="1" max="1" width="63.28515625" style="1" bestFit="1" customWidth="1"/>
    <col min="2" max="2" width="61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59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concentration (Salar de Olaroz)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33</v>
      </c>
      <c r="D10" s="1">
        <v>2.46438646485755E-2</v>
      </c>
      <c r="E10" s="1" t="s">
        <v>5</v>
      </c>
      <c r="F10" s="1" t="s">
        <v>28</v>
      </c>
      <c r="G10" s="1" t="s">
        <v>29</v>
      </c>
      <c r="H10" s="1" t="s">
        <v>30</v>
      </c>
      <c r="I10" s="1">
        <v>5</v>
      </c>
      <c r="K10" s="1">
        <v>2.46438646485755E-2</v>
      </c>
      <c r="M10" s="1">
        <v>1.7250705254002848E-2</v>
      </c>
      <c r="N10" s="1">
        <v>3.2037024043148149E-2</v>
      </c>
    </row>
    <row r="11" spans="1:14" x14ac:dyDescent="0.25">
      <c r="A11" s="1" t="s">
        <v>40</v>
      </c>
      <c r="B11" s="1" t="s">
        <v>41</v>
      </c>
      <c r="C11" s="1" t="s">
        <v>25</v>
      </c>
      <c r="D11" s="1">
        <v>5.5256514194748354E-3</v>
      </c>
      <c r="E11" s="1" t="s">
        <v>24</v>
      </c>
      <c r="F11" s="1" t="s">
        <v>22</v>
      </c>
      <c r="G11" s="1" t="s">
        <v>23</v>
      </c>
      <c r="I11" s="1">
        <v>5</v>
      </c>
      <c r="K11" s="1">
        <v>5.5256514194748354E-3</v>
      </c>
      <c r="M11" s="1">
        <v>4.6968037065536102E-3</v>
      </c>
      <c r="N11" s="1">
        <v>6.3544991323960598E-3</v>
      </c>
    </row>
    <row r="12" spans="1:14" x14ac:dyDescent="0.25">
      <c r="A12" s="1" t="s">
        <v>42</v>
      </c>
      <c r="B12" s="1" t="s">
        <v>42</v>
      </c>
      <c r="C12" s="1" t="s">
        <v>20</v>
      </c>
      <c r="D12" s="1">
        <v>8.7124460310566236E-5</v>
      </c>
      <c r="E12" s="1" t="s">
        <v>43</v>
      </c>
      <c r="F12" s="1" t="s">
        <v>22</v>
      </c>
      <c r="G12" s="1" t="s">
        <v>23</v>
      </c>
      <c r="I12" s="1">
        <v>2</v>
      </c>
      <c r="J12" s="1" t="s">
        <v>60</v>
      </c>
      <c r="K12" s="1">
        <v>-9.3481728833295588</v>
      </c>
      <c r="L12" s="1">
        <v>0.74909590556190686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0.2361297135148511</v>
      </c>
      <c r="E13" s="1" t="s">
        <v>5</v>
      </c>
      <c r="F13" s="1" t="s">
        <v>22</v>
      </c>
      <c r="G13" s="1" t="s">
        <v>23</v>
      </c>
      <c r="I13" s="1">
        <v>5</v>
      </c>
      <c r="K13" s="1">
        <v>0.2361297135148511</v>
      </c>
      <c r="M13" s="1">
        <v>0.212516742163366</v>
      </c>
      <c r="N13" s="1">
        <v>0.25974268486633623</v>
      </c>
    </row>
    <row r="14" spans="1:14" x14ac:dyDescent="0.25">
      <c r="A14" s="1" t="s">
        <v>91</v>
      </c>
      <c r="B14" s="1" t="s">
        <v>77</v>
      </c>
      <c r="C14" s="1" t="s">
        <v>39</v>
      </c>
      <c r="D14" s="1">
        <v>0.17847791948095601</v>
      </c>
      <c r="E14" s="1" t="s">
        <v>5</v>
      </c>
      <c r="F14" s="4" t="s">
        <v>33</v>
      </c>
      <c r="G14" s="1" t="s">
        <v>23</v>
      </c>
      <c r="I14" s="1">
        <v>2</v>
      </c>
      <c r="J14" s="1" t="s">
        <v>63</v>
      </c>
      <c r="K14" s="1">
        <v>-1.7232903858007682</v>
      </c>
      <c r="L14" s="1">
        <v>0.51431269492042531</v>
      </c>
    </row>
    <row r="15" spans="1:14" x14ac:dyDescent="0.25">
      <c r="A15" s="1" t="s">
        <v>46</v>
      </c>
      <c r="D15" s="1">
        <v>1.513059157704539E-10</v>
      </c>
      <c r="E15" s="1" t="s">
        <v>47</v>
      </c>
      <c r="F15" s="1" t="s">
        <v>28</v>
      </c>
      <c r="G15" s="1" t="s">
        <v>29</v>
      </c>
      <c r="H15" s="1" t="s">
        <v>48</v>
      </c>
      <c r="I15" s="1">
        <v>2</v>
      </c>
      <c r="J15" s="1" t="s">
        <v>61</v>
      </c>
      <c r="K15" s="1">
        <v>-22.611717396292171</v>
      </c>
      <c r="L15" s="1">
        <v>0.18977295444631392</v>
      </c>
    </row>
    <row r="16" spans="1:14" x14ac:dyDescent="0.25">
      <c r="A16" s="1" t="s">
        <v>64</v>
      </c>
      <c r="D16" s="1">
        <v>3.7826478942613479E-12</v>
      </c>
      <c r="E16" s="1" t="s">
        <v>49</v>
      </c>
      <c r="F16" s="1" t="s">
        <v>28</v>
      </c>
      <c r="G16" s="1" t="s">
        <v>29</v>
      </c>
      <c r="H16" s="1" t="s">
        <v>48</v>
      </c>
      <c r="I16" s="1">
        <v>2</v>
      </c>
      <c r="J16" s="1" t="s">
        <v>62</v>
      </c>
      <c r="K16" s="1">
        <v>-26.300596850406109</v>
      </c>
      <c r="L16" s="1">
        <v>5.2655713531501343E-2</v>
      </c>
    </row>
    <row r="17" spans="1:14" ht="14.1" customHeight="1" x14ac:dyDescent="0.25">
      <c r="A17" s="1" t="s">
        <v>50</v>
      </c>
      <c r="D17" s="1">
        <v>3.7826478942613479E-12</v>
      </c>
      <c r="E17" s="1" t="s">
        <v>49</v>
      </c>
      <c r="F17" s="1" t="s">
        <v>28</v>
      </c>
      <c r="G17" s="1" t="s">
        <v>29</v>
      </c>
      <c r="H17" s="1" t="s">
        <v>48</v>
      </c>
      <c r="I17" s="1">
        <v>2</v>
      </c>
      <c r="J17" s="1" t="s">
        <v>62</v>
      </c>
      <c r="K17" s="1">
        <v>-26.300596850406109</v>
      </c>
      <c r="L17" s="1">
        <v>5.2655713531501343E-2</v>
      </c>
    </row>
    <row r="18" spans="1:14" s="5" customFormat="1" x14ac:dyDescent="0.25"/>
    <row r="19" spans="1:14" x14ac:dyDescent="0.25">
      <c r="A19" s="2" t="s">
        <v>0</v>
      </c>
      <c r="B19" s="2" t="s">
        <v>66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39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2" t="s">
        <v>9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10</v>
      </c>
      <c r="G26" s="2" t="s">
        <v>11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16</v>
      </c>
      <c r="M26" s="2" t="s">
        <v>17</v>
      </c>
      <c r="N26" s="2" t="s">
        <v>18</v>
      </c>
    </row>
    <row r="27" spans="1:14" x14ac:dyDescent="0.25">
      <c r="A27" s="1" t="str">
        <f>B19</f>
        <v>[P] Battery-grade Li carbonate (Li2CO3) production (Salar de Olaroz)</v>
      </c>
      <c r="B27" s="1" t="str">
        <f>B20</f>
        <v>Battery-grade Li2CO3</v>
      </c>
      <c r="C27" s="1" t="str">
        <f>B21</f>
        <v>AR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40</v>
      </c>
      <c r="B28" s="1" t="s">
        <v>51</v>
      </c>
      <c r="C28" s="1" t="s">
        <v>25</v>
      </c>
      <c r="D28" s="1">
        <v>2.4705882352941182</v>
      </c>
      <c r="E28" s="1" t="s">
        <v>21</v>
      </c>
      <c r="F28" s="1" t="s">
        <v>22</v>
      </c>
      <c r="G28" s="1" t="s">
        <v>23</v>
      </c>
      <c r="I28" s="1">
        <v>2</v>
      </c>
      <c r="J28" s="1" t="s">
        <v>67</v>
      </c>
      <c r="K28" s="1">
        <v>0.90445627422715247</v>
      </c>
      <c r="L28" s="1">
        <v>1.0034440819843768</v>
      </c>
    </row>
    <row r="29" spans="1:14" x14ac:dyDescent="0.25">
      <c r="A29" s="1" t="s">
        <v>40</v>
      </c>
      <c r="B29" s="1" t="s">
        <v>41</v>
      </c>
      <c r="C29" s="1" t="s">
        <v>25</v>
      </c>
      <c r="D29" s="1">
        <v>0.3</v>
      </c>
      <c r="E29" s="1" t="s">
        <v>24</v>
      </c>
      <c r="F29" s="1" t="s">
        <v>22</v>
      </c>
      <c r="G29" s="1" t="s">
        <v>23</v>
      </c>
      <c r="I29" s="1">
        <v>2</v>
      </c>
      <c r="J29" s="1" t="s">
        <v>67</v>
      </c>
      <c r="K29" s="1">
        <v>-1.2039728043259361</v>
      </c>
      <c r="L29" s="1">
        <v>1.0034440819843768</v>
      </c>
    </row>
    <row r="30" spans="1:14" x14ac:dyDescent="0.25">
      <c r="A30" s="1" t="s">
        <v>40</v>
      </c>
      <c r="B30" s="1" t="s">
        <v>41</v>
      </c>
      <c r="C30" s="1" t="s">
        <v>25</v>
      </c>
      <c r="D30" s="1">
        <v>1.0053207559367155E-2</v>
      </c>
      <c r="E30" s="1" t="s">
        <v>24</v>
      </c>
      <c r="F30" s="1" t="s">
        <v>22</v>
      </c>
      <c r="G30" s="1" t="s">
        <v>23</v>
      </c>
      <c r="I30" s="1">
        <v>2</v>
      </c>
      <c r="J30" s="1" t="s">
        <v>68</v>
      </c>
      <c r="K30" s="1">
        <v>-5.0053286433699435</v>
      </c>
      <c r="L30" s="1">
        <v>0.905936770530121</v>
      </c>
    </row>
    <row r="31" spans="1:14" x14ac:dyDescent="0.25">
      <c r="A31" s="1" t="s">
        <v>91</v>
      </c>
      <c r="B31" s="1" t="s">
        <v>77</v>
      </c>
      <c r="C31" s="1" t="s">
        <v>39</v>
      </c>
      <c r="D31" s="1">
        <v>1.9999999999999996</v>
      </c>
      <c r="E31" s="1" t="s">
        <v>5</v>
      </c>
      <c r="F31" s="4" t="s">
        <v>33</v>
      </c>
      <c r="G31" s="1" t="s">
        <v>23</v>
      </c>
      <c r="I31" s="1">
        <v>2</v>
      </c>
      <c r="J31" s="1" t="s">
        <v>69</v>
      </c>
      <c r="L31" s="1">
        <v>0.60952541561469464</v>
      </c>
    </row>
    <row r="32" spans="1:14" x14ac:dyDescent="0.25">
      <c r="A32" s="1" t="s">
        <v>40</v>
      </c>
      <c r="B32" s="1" t="s">
        <v>51</v>
      </c>
      <c r="C32" s="1" t="s">
        <v>25</v>
      </c>
      <c r="D32" s="1">
        <v>0.77450917647058792</v>
      </c>
      <c r="E32" s="1" t="s">
        <v>21</v>
      </c>
      <c r="F32" s="1" t="s">
        <v>22</v>
      </c>
      <c r="G32" s="1" t="s">
        <v>23</v>
      </c>
      <c r="I32" s="1">
        <v>5</v>
      </c>
      <c r="K32" s="1">
        <v>0.38725458823529407</v>
      </c>
      <c r="M32" s="1">
        <v>0.27107821176470581</v>
      </c>
      <c r="N32" s="1">
        <v>0.50343096470588233</v>
      </c>
    </row>
    <row r="33" spans="1:14" x14ac:dyDescent="0.25">
      <c r="A33" s="1" t="s">
        <v>40</v>
      </c>
      <c r="B33" s="1" t="s">
        <v>41</v>
      </c>
      <c r="C33" s="1" t="s">
        <v>25</v>
      </c>
      <c r="D33" s="1">
        <v>9.9999999999999985E-3</v>
      </c>
      <c r="E33" s="1" t="s">
        <v>24</v>
      </c>
      <c r="F33" s="1" t="s">
        <v>22</v>
      </c>
      <c r="G33" s="1" t="s">
        <v>23</v>
      </c>
      <c r="I33" s="1">
        <v>2</v>
      </c>
      <c r="J33" s="1" t="s">
        <v>68</v>
      </c>
      <c r="K33" s="1">
        <v>-4.6051701859880909</v>
      </c>
      <c r="L33" s="1">
        <v>0.905936770530121</v>
      </c>
    </row>
    <row r="34" spans="1:14" x14ac:dyDescent="0.25">
      <c r="A34" s="1" t="s">
        <v>40</v>
      </c>
      <c r="B34" s="1" t="s">
        <v>51</v>
      </c>
      <c r="C34" s="1" t="s">
        <v>25</v>
      </c>
      <c r="D34" s="1">
        <v>10.445904963495899</v>
      </c>
      <c r="E34" s="1" t="s">
        <v>21</v>
      </c>
      <c r="F34" s="1" t="s">
        <v>22</v>
      </c>
      <c r="G34" s="1" t="s">
        <v>23</v>
      </c>
      <c r="I34" s="1">
        <v>5</v>
      </c>
      <c r="K34" s="1">
        <v>0.42365160614409048</v>
      </c>
      <c r="M34" s="1">
        <v>0.29655612430086331</v>
      </c>
      <c r="N34" s="1">
        <v>0.55074708798731764</v>
      </c>
    </row>
    <row r="35" spans="1:14" x14ac:dyDescent="0.25">
      <c r="A35" s="1" t="s">
        <v>40</v>
      </c>
      <c r="B35" s="1" t="s">
        <v>41</v>
      </c>
      <c r="C35" s="1" t="s">
        <v>25</v>
      </c>
      <c r="D35" s="1">
        <v>2.1004615384615372E-2</v>
      </c>
      <c r="E35" s="1" t="s">
        <v>24</v>
      </c>
      <c r="F35" s="1" t="s">
        <v>22</v>
      </c>
      <c r="G35" s="1" t="s">
        <v>23</v>
      </c>
      <c r="I35" s="1">
        <v>2</v>
      </c>
      <c r="J35" s="1" t="s">
        <v>71</v>
      </c>
      <c r="K35" s="1">
        <v>-7.1062062177059753</v>
      </c>
      <c r="L35" s="1">
        <v>0.92281206220477863</v>
      </c>
    </row>
    <row r="36" spans="1:14" x14ac:dyDescent="0.25">
      <c r="A36" s="1" t="s">
        <v>91</v>
      </c>
      <c r="B36" s="1" t="s">
        <v>77</v>
      </c>
      <c r="C36" s="1" t="s">
        <v>39</v>
      </c>
      <c r="D36" s="1">
        <v>25.615384615384599</v>
      </c>
      <c r="E36" s="1" t="s">
        <v>5</v>
      </c>
      <c r="F36" s="4" t="s">
        <v>33</v>
      </c>
      <c r="G36" s="1" t="s">
        <v>23</v>
      </c>
      <c r="I36" s="1">
        <v>2</v>
      </c>
      <c r="J36" s="1" t="s">
        <v>71</v>
      </c>
      <c r="L36" s="1">
        <v>0.92281206220477863</v>
      </c>
    </row>
    <row r="37" spans="1:14" x14ac:dyDescent="0.25">
      <c r="A37" s="1" t="s">
        <v>52</v>
      </c>
      <c r="B37" s="1" t="s">
        <v>53</v>
      </c>
      <c r="C37" s="1" t="s">
        <v>25</v>
      </c>
      <c r="D37" s="1">
        <v>6.1476923076923037E-3</v>
      </c>
      <c r="E37" s="1" t="s">
        <v>5</v>
      </c>
      <c r="F37" s="1" t="s">
        <v>22</v>
      </c>
      <c r="G37" s="1" t="s">
        <v>23</v>
      </c>
      <c r="I37" s="1">
        <v>2</v>
      </c>
      <c r="J37" s="1" t="s">
        <v>71</v>
      </c>
      <c r="K37" s="1">
        <v>-8.3348716346222833</v>
      </c>
      <c r="L37" s="1">
        <v>0.92281206220477863</v>
      </c>
    </row>
    <row r="38" spans="1:14" x14ac:dyDescent="0.25">
      <c r="A38" s="1" t="s">
        <v>54</v>
      </c>
      <c r="B38" s="1" t="s">
        <v>55</v>
      </c>
      <c r="C38" s="1" t="s">
        <v>25</v>
      </c>
      <c r="D38" s="1">
        <v>3.0738461538461518E-3</v>
      </c>
      <c r="E38" s="1" t="s">
        <v>5</v>
      </c>
      <c r="F38" s="1" t="s">
        <v>22</v>
      </c>
      <c r="G38" s="1" t="s">
        <v>23</v>
      </c>
      <c r="I38" s="1">
        <v>2</v>
      </c>
      <c r="J38" s="1" t="s">
        <v>71</v>
      </c>
      <c r="K38" s="1">
        <v>-9.0280188151822287</v>
      </c>
      <c r="L38" s="1">
        <v>0.92281206220477863</v>
      </c>
    </row>
    <row r="39" spans="1:14" x14ac:dyDescent="0.25">
      <c r="A39" s="1" t="s">
        <v>56</v>
      </c>
      <c r="D39" s="1">
        <v>4.1496923076923049E-2</v>
      </c>
      <c r="E39" s="1" t="s">
        <v>21</v>
      </c>
      <c r="F39" s="1" t="s">
        <v>28</v>
      </c>
      <c r="G39" s="1" t="s">
        <v>29</v>
      </c>
      <c r="H39" s="1" t="s">
        <v>32</v>
      </c>
      <c r="I39" s="1">
        <v>2</v>
      </c>
      <c r="J39" s="1" t="s">
        <v>71</v>
      </c>
      <c r="K39" s="1">
        <v>-6.4253291297378441</v>
      </c>
      <c r="L39" s="1">
        <v>0.92281206220477863</v>
      </c>
    </row>
    <row r="40" spans="1:14" x14ac:dyDescent="0.25">
      <c r="A40" s="1" t="s">
        <v>57</v>
      </c>
      <c r="D40" s="1">
        <v>5.8915384615384576E-3</v>
      </c>
      <c r="E40" s="1" t="s">
        <v>5</v>
      </c>
      <c r="F40" s="1" t="s">
        <v>28</v>
      </c>
      <c r="G40" s="1" t="s">
        <v>29</v>
      </c>
      <c r="H40" s="1" t="s">
        <v>31</v>
      </c>
      <c r="I40" s="1">
        <v>2</v>
      </c>
      <c r="J40" s="1" t="s">
        <v>71</v>
      </c>
      <c r="K40" s="1">
        <v>-8.3774312490410789</v>
      </c>
      <c r="L40" s="1">
        <v>0.92281206220477863</v>
      </c>
    </row>
    <row r="41" spans="1:14" x14ac:dyDescent="0.25">
      <c r="A41" s="1" t="s">
        <v>70</v>
      </c>
      <c r="D41" s="1">
        <v>1.7930769230769218E-3</v>
      </c>
      <c r="E41" s="1" t="s">
        <v>5</v>
      </c>
      <c r="F41" s="1" t="s">
        <v>28</v>
      </c>
      <c r="G41" s="1" t="s">
        <v>29</v>
      </c>
      <c r="H41" s="1" t="s">
        <v>31</v>
      </c>
      <c r="I41" s="1">
        <v>2</v>
      </c>
      <c r="J41" s="1" t="s">
        <v>71</v>
      </c>
      <c r="K41" s="1">
        <v>-9.5670153159149152</v>
      </c>
      <c r="L41" s="1">
        <v>0.92281206220477863</v>
      </c>
    </row>
    <row r="42" spans="1:14" x14ac:dyDescent="0.25">
      <c r="A42" s="1" t="s">
        <v>40</v>
      </c>
      <c r="B42" s="1" t="s">
        <v>41</v>
      </c>
      <c r="C42" s="1" t="s">
        <v>25</v>
      </c>
      <c r="D42" s="1">
        <v>6.3013846153846115E-2</v>
      </c>
      <c r="E42" s="1" t="s">
        <v>24</v>
      </c>
      <c r="F42" s="1" t="s">
        <v>22</v>
      </c>
      <c r="G42" s="1" t="s">
        <v>23</v>
      </c>
      <c r="I42" s="1">
        <v>2</v>
      </c>
      <c r="J42" s="1" t="s">
        <v>71</v>
      </c>
      <c r="K42" s="1">
        <v>-6.0075939290378653</v>
      </c>
      <c r="L42" s="1">
        <v>0.92281206220477863</v>
      </c>
    </row>
    <row r="43" spans="1:14" x14ac:dyDescent="0.25">
      <c r="A43" s="1" t="s">
        <v>91</v>
      </c>
      <c r="B43" s="1" t="s">
        <v>77</v>
      </c>
      <c r="C43" s="1" t="s">
        <v>39</v>
      </c>
      <c r="D43" s="1">
        <v>76.846153846153797</v>
      </c>
      <c r="E43" s="1" t="s">
        <v>5</v>
      </c>
      <c r="F43" s="4" t="s">
        <v>33</v>
      </c>
      <c r="G43" s="1" t="s">
        <v>23</v>
      </c>
      <c r="I43" s="1">
        <v>2</v>
      </c>
      <c r="J43" s="1" t="s">
        <v>71</v>
      </c>
      <c r="K43" s="1">
        <v>1.0986122886681098</v>
      </c>
      <c r="L43" s="1">
        <v>0.92281206220477863</v>
      </c>
    </row>
    <row r="44" spans="1:14" x14ac:dyDescent="0.25">
      <c r="A44" s="1" t="s">
        <v>52</v>
      </c>
      <c r="B44" s="1" t="s">
        <v>53</v>
      </c>
      <c r="C44" s="1" t="s">
        <v>25</v>
      </c>
      <c r="D44" s="1">
        <v>1.8443076923076909E-2</v>
      </c>
      <c r="E44" s="1" t="s">
        <v>5</v>
      </c>
      <c r="F44" s="1" t="s">
        <v>22</v>
      </c>
      <c r="G44" s="1" t="s">
        <v>23</v>
      </c>
      <c r="I44" s="1">
        <v>2</v>
      </c>
      <c r="J44" s="1" t="s">
        <v>71</v>
      </c>
      <c r="K44" s="1">
        <v>-7.2362593459541733</v>
      </c>
      <c r="L44" s="1">
        <v>0.92281206220477863</v>
      </c>
    </row>
    <row r="45" spans="1:14" x14ac:dyDescent="0.25">
      <c r="A45" s="1" t="s">
        <v>54</v>
      </c>
      <c r="B45" s="1" t="s">
        <v>55</v>
      </c>
      <c r="C45" s="1" t="s">
        <v>25</v>
      </c>
      <c r="D45" s="1">
        <v>9.2215384615384564E-3</v>
      </c>
      <c r="E45" s="1" t="s">
        <v>5</v>
      </c>
      <c r="F45" s="1" t="s">
        <v>22</v>
      </c>
      <c r="G45" s="1" t="s">
        <v>23</v>
      </c>
      <c r="I45" s="1">
        <v>2</v>
      </c>
      <c r="J45" s="1" t="s">
        <v>71</v>
      </c>
      <c r="K45" s="1">
        <v>-7.9294065265141187</v>
      </c>
      <c r="L45" s="1">
        <v>0.92281206220477863</v>
      </c>
    </row>
    <row r="46" spans="1:14" x14ac:dyDescent="0.25">
      <c r="A46" s="1" t="s">
        <v>56</v>
      </c>
      <c r="D46" s="1">
        <v>0.12449076923076914</v>
      </c>
      <c r="E46" s="1" t="s">
        <v>21</v>
      </c>
      <c r="F46" s="1" t="s">
        <v>28</v>
      </c>
      <c r="G46" s="1" t="s">
        <v>29</v>
      </c>
      <c r="H46" s="1" t="s">
        <v>32</v>
      </c>
      <c r="I46" s="1">
        <v>2</v>
      </c>
      <c r="J46" s="1" t="s">
        <v>71</v>
      </c>
      <c r="K46" s="1">
        <v>-5.3267168410697341</v>
      </c>
      <c r="L46" s="1">
        <v>0.92281206220477863</v>
      </c>
    </row>
    <row r="47" spans="1:14" x14ac:dyDescent="0.25">
      <c r="A47" s="1" t="s">
        <v>57</v>
      </c>
      <c r="D47" s="1">
        <v>1.7674615384615372E-2</v>
      </c>
      <c r="E47" s="1" t="s">
        <v>5</v>
      </c>
      <c r="F47" s="1" t="s">
        <v>28</v>
      </c>
      <c r="G47" s="1" t="s">
        <v>29</v>
      </c>
      <c r="H47" s="1" t="s">
        <v>31</v>
      </c>
      <c r="I47" s="1">
        <v>2</v>
      </c>
      <c r="J47" s="1" t="s">
        <v>71</v>
      </c>
      <c r="K47" s="1">
        <v>-7.2788189603729689</v>
      </c>
      <c r="L47" s="1">
        <v>0.92281206220477863</v>
      </c>
    </row>
    <row r="48" spans="1:14" x14ac:dyDescent="0.25">
      <c r="A48" s="1" t="s">
        <v>70</v>
      </c>
      <c r="D48" s="1">
        <v>5.3792307692307664E-3</v>
      </c>
      <c r="E48" s="1" t="s">
        <v>5</v>
      </c>
      <c r="F48" s="1" t="s">
        <v>28</v>
      </c>
      <c r="G48" s="1" t="s">
        <v>29</v>
      </c>
      <c r="H48" s="1" t="s">
        <v>31</v>
      </c>
      <c r="I48" s="1">
        <v>2</v>
      </c>
      <c r="J48" s="1" t="s">
        <v>71</v>
      </c>
      <c r="K48" s="1">
        <v>-8.4684030272468043</v>
      </c>
      <c r="L48" s="1">
        <v>0.92281206220477863</v>
      </c>
    </row>
    <row r="49" spans="1:14" x14ac:dyDescent="0.25">
      <c r="A49" s="1" t="s">
        <v>40</v>
      </c>
      <c r="B49" s="1" t="s">
        <v>41</v>
      </c>
      <c r="C49" s="1" t="s">
        <v>25</v>
      </c>
      <c r="D49" s="1">
        <v>6.3013846153846115E-2</v>
      </c>
      <c r="E49" s="1" t="s">
        <v>24</v>
      </c>
      <c r="F49" s="1" t="s">
        <v>22</v>
      </c>
      <c r="G49" s="1" t="s">
        <v>23</v>
      </c>
      <c r="I49" s="1">
        <v>2</v>
      </c>
      <c r="J49" s="1" t="s">
        <v>71</v>
      </c>
      <c r="K49" s="1">
        <v>-6.0075939290378653</v>
      </c>
      <c r="L49" s="1">
        <v>0.92281206220477863</v>
      </c>
    </row>
    <row r="50" spans="1:14" x14ac:dyDescent="0.25">
      <c r="A50" s="1" t="s">
        <v>91</v>
      </c>
      <c r="B50" s="1" t="s">
        <v>77</v>
      </c>
      <c r="C50" s="1" t="s">
        <v>39</v>
      </c>
      <c r="D50" s="1">
        <v>76.846153846153797</v>
      </c>
      <c r="E50" s="1" t="s">
        <v>5</v>
      </c>
      <c r="F50" s="4" t="s">
        <v>33</v>
      </c>
      <c r="G50" s="1" t="s">
        <v>23</v>
      </c>
      <c r="I50" s="1">
        <v>2</v>
      </c>
      <c r="J50" s="1" t="s">
        <v>71</v>
      </c>
      <c r="K50" s="1">
        <v>1.0986122886681098</v>
      </c>
      <c r="L50" s="1">
        <v>0.92281206220477863</v>
      </c>
    </row>
    <row r="51" spans="1:14" x14ac:dyDescent="0.25">
      <c r="A51" s="1" t="s">
        <v>52</v>
      </c>
      <c r="B51" s="1" t="s">
        <v>53</v>
      </c>
      <c r="C51" s="1" t="s">
        <v>25</v>
      </c>
      <c r="D51" s="1">
        <v>1.8443076923076909E-2</v>
      </c>
      <c r="E51" s="1" t="s">
        <v>5</v>
      </c>
      <c r="F51" s="1" t="s">
        <v>22</v>
      </c>
      <c r="G51" s="1" t="s">
        <v>23</v>
      </c>
      <c r="I51" s="1">
        <v>2</v>
      </c>
      <c r="J51" s="1" t="s">
        <v>71</v>
      </c>
      <c r="K51" s="1">
        <v>-7.2362593459541733</v>
      </c>
      <c r="L51" s="1">
        <v>0.92281206220477863</v>
      </c>
    </row>
    <row r="52" spans="1:14" x14ac:dyDescent="0.25">
      <c r="A52" s="1" t="s">
        <v>54</v>
      </c>
      <c r="B52" s="1" t="s">
        <v>55</v>
      </c>
      <c r="C52" s="1" t="s">
        <v>25</v>
      </c>
      <c r="D52" s="1">
        <v>9.2215384615384564E-3</v>
      </c>
      <c r="E52" s="1" t="s">
        <v>5</v>
      </c>
      <c r="F52" s="1" t="s">
        <v>22</v>
      </c>
      <c r="G52" s="1" t="s">
        <v>23</v>
      </c>
      <c r="I52" s="1">
        <v>2</v>
      </c>
      <c r="J52" s="1" t="s">
        <v>71</v>
      </c>
      <c r="K52" s="1">
        <v>-7.9294065265141187</v>
      </c>
      <c r="L52" s="1">
        <v>0.92281206220477863</v>
      </c>
    </row>
    <row r="53" spans="1:14" x14ac:dyDescent="0.25">
      <c r="A53" s="1" t="s">
        <v>56</v>
      </c>
      <c r="D53" s="1">
        <v>0.12449076923076914</v>
      </c>
      <c r="E53" s="1" t="s">
        <v>21</v>
      </c>
      <c r="F53" s="1" t="s">
        <v>28</v>
      </c>
      <c r="G53" s="1" t="s">
        <v>29</v>
      </c>
      <c r="H53" s="1" t="s">
        <v>32</v>
      </c>
      <c r="I53" s="1">
        <v>2</v>
      </c>
      <c r="J53" s="1" t="s">
        <v>71</v>
      </c>
      <c r="K53" s="1">
        <v>-5.3267168410697341</v>
      </c>
      <c r="L53" s="1">
        <v>0.92281206220477863</v>
      </c>
    </row>
    <row r="54" spans="1:14" x14ac:dyDescent="0.25">
      <c r="A54" s="1" t="s">
        <v>57</v>
      </c>
      <c r="D54" s="1">
        <v>1.7674615384615372E-2</v>
      </c>
      <c r="E54" s="1" t="s">
        <v>5</v>
      </c>
      <c r="F54" s="1" t="s">
        <v>28</v>
      </c>
      <c r="G54" s="1" t="s">
        <v>29</v>
      </c>
      <c r="H54" s="1" t="s">
        <v>31</v>
      </c>
      <c r="I54" s="1">
        <v>2</v>
      </c>
      <c r="J54" s="1" t="s">
        <v>71</v>
      </c>
      <c r="K54" s="1">
        <v>-7.2788189603729689</v>
      </c>
      <c r="L54" s="1">
        <v>0.92281206220477863</v>
      </c>
    </row>
    <row r="55" spans="1:14" x14ac:dyDescent="0.25">
      <c r="A55" s="1" t="s">
        <v>70</v>
      </c>
      <c r="D55" s="1">
        <v>5.3792307692307664E-3</v>
      </c>
      <c r="E55" s="1" t="s">
        <v>5</v>
      </c>
      <c r="F55" s="1" t="s">
        <v>28</v>
      </c>
      <c r="G55" s="1" t="s">
        <v>29</v>
      </c>
      <c r="H55" s="1" t="s">
        <v>31</v>
      </c>
      <c r="I55" s="1">
        <v>2</v>
      </c>
      <c r="J55" s="1" t="s">
        <v>71</v>
      </c>
      <c r="K55" s="1">
        <v>-8.4684030272468043</v>
      </c>
      <c r="L55" s="1">
        <v>0.92281206220477863</v>
      </c>
    </row>
    <row r="56" spans="1:14" x14ac:dyDescent="0.25">
      <c r="A56" s="1" t="s">
        <v>40</v>
      </c>
      <c r="B56" s="1" t="s">
        <v>41</v>
      </c>
      <c r="C56" s="1" t="s">
        <v>25</v>
      </c>
      <c r="D56" s="1">
        <v>3.027272727272726E-2</v>
      </c>
      <c r="E56" s="1" t="s">
        <v>24</v>
      </c>
      <c r="F56" s="1" t="s">
        <v>22</v>
      </c>
      <c r="G56" s="1" t="s">
        <v>23</v>
      </c>
      <c r="I56" s="1">
        <v>2</v>
      </c>
      <c r="J56" s="1" t="s">
        <v>68</v>
      </c>
      <c r="K56" s="1">
        <v>-6.7407011943189703</v>
      </c>
      <c r="L56" s="1">
        <v>0.905936770530121</v>
      </c>
    </row>
    <row r="57" spans="1:14" x14ac:dyDescent="0.25">
      <c r="A57" s="1" t="s">
        <v>91</v>
      </c>
      <c r="B57" s="1" t="s">
        <v>77</v>
      </c>
      <c r="C57" s="1" t="s">
        <v>39</v>
      </c>
      <c r="D57" s="1">
        <v>24.615384615384599</v>
      </c>
      <c r="E57" s="1" t="s">
        <v>5</v>
      </c>
      <c r="F57" s="4" t="s">
        <v>33</v>
      </c>
      <c r="G57" s="1" t="s">
        <v>23</v>
      </c>
      <c r="I57" s="1">
        <v>5</v>
      </c>
      <c r="K57" s="1">
        <v>0.96096096096096095</v>
      </c>
      <c r="M57" s="1">
        <v>0.67267267267267261</v>
      </c>
      <c r="N57" s="1">
        <v>1.2492492492492493</v>
      </c>
    </row>
    <row r="58" spans="1:14" x14ac:dyDescent="0.25">
      <c r="A58" s="1" t="s">
        <v>40</v>
      </c>
      <c r="B58" s="1" t="s">
        <v>51</v>
      </c>
      <c r="C58" s="1" t="s">
        <v>25</v>
      </c>
      <c r="D58" s="1">
        <v>0.67039999999999911</v>
      </c>
      <c r="E58" s="1" t="s">
        <v>21</v>
      </c>
      <c r="F58" s="1" t="s">
        <v>22</v>
      </c>
      <c r="G58" s="1" t="s">
        <v>23</v>
      </c>
      <c r="I58" s="1">
        <v>5</v>
      </c>
      <c r="K58" s="1">
        <v>6.7039999999999975E-2</v>
      </c>
      <c r="M58" s="1">
        <v>4.6927999999999977E-2</v>
      </c>
      <c r="N58" s="1">
        <v>8.7151999999999966E-2</v>
      </c>
    </row>
    <row r="59" spans="1:14" x14ac:dyDescent="0.25">
      <c r="A59" s="1" t="s">
        <v>40</v>
      </c>
      <c r="B59" s="1" t="s">
        <v>41</v>
      </c>
      <c r="C59" s="1" t="s">
        <v>25</v>
      </c>
      <c r="D59" s="1">
        <v>9.9999999999999908E-2</v>
      </c>
      <c r="E59" s="1" t="s">
        <v>24</v>
      </c>
      <c r="F59" s="1" t="s">
        <v>22</v>
      </c>
      <c r="G59" s="1" t="s">
        <v>23</v>
      </c>
      <c r="I59" s="1">
        <v>2</v>
      </c>
      <c r="J59" s="1" t="s">
        <v>68</v>
      </c>
      <c r="K59" s="1">
        <v>-4.6051701859880909</v>
      </c>
      <c r="L59" s="1">
        <v>0.905936770530121</v>
      </c>
    </row>
    <row r="60" spans="1:14" x14ac:dyDescent="0.25">
      <c r="A60" s="1" t="s">
        <v>40</v>
      </c>
      <c r="B60" s="1" t="s">
        <v>51</v>
      </c>
      <c r="C60" s="1" t="s">
        <v>25</v>
      </c>
      <c r="D60" s="1">
        <v>4.8530795239918172</v>
      </c>
      <c r="E60" s="1" t="s">
        <v>21</v>
      </c>
      <c r="F60" s="1" t="s">
        <v>22</v>
      </c>
      <c r="G60" s="1" t="s">
        <v>23</v>
      </c>
      <c r="I60" s="1">
        <v>5</v>
      </c>
      <c r="K60" s="1">
        <v>0.187316819693571</v>
      </c>
      <c r="M60" s="1">
        <v>0.13112177378549969</v>
      </c>
      <c r="N60" s="1">
        <v>0.24351186560164231</v>
      </c>
    </row>
    <row r="61" spans="1:14" x14ac:dyDescent="0.25">
      <c r="A61" s="1" t="s">
        <v>72</v>
      </c>
      <c r="B61" s="1" t="s">
        <v>73</v>
      </c>
      <c r="C61" s="1" t="s">
        <v>25</v>
      </c>
      <c r="D61" s="1">
        <v>1.5938236850969618</v>
      </c>
      <c r="E61" s="1" t="s">
        <v>5</v>
      </c>
      <c r="F61" s="1" t="s">
        <v>22</v>
      </c>
      <c r="G61" s="1" t="s">
        <v>23</v>
      </c>
      <c r="I61" s="1">
        <v>5</v>
      </c>
      <c r="K61" s="1">
        <v>6.1517636867216077E-2</v>
      </c>
      <c r="M61" s="1">
        <v>4.3062345807051254E-2</v>
      </c>
      <c r="N61" s="1">
        <v>7.9972927927380907E-2</v>
      </c>
    </row>
    <row r="62" spans="1:14" x14ac:dyDescent="0.25">
      <c r="A62" s="1" t="s">
        <v>91</v>
      </c>
      <c r="B62" s="1" t="s">
        <v>77</v>
      </c>
      <c r="C62" s="1" t="s">
        <v>39</v>
      </c>
      <c r="D62" s="1">
        <v>7.9691184254848082</v>
      </c>
      <c r="E62" s="1" t="s">
        <v>5</v>
      </c>
      <c r="F62" s="4" t="s">
        <v>33</v>
      </c>
      <c r="G62" s="1" t="s">
        <v>23</v>
      </c>
      <c r="I62" s="1">
        <v>5</v>
      </c>
      <c r="K62" s="1">
        <v>0.30758818433608037</v>
      </c>
      <c r="M62" s="1">
        <v>0.21531172903525625</v>
      </c>
      <c r="N62" s="1">
        <v>0.3998646396369045</v>
      </c>
    </row>
    <row r="63" spans="1:14" x14ac:dyDescent="0.25">
      <c r="A63" s="1" t="s">
        <v>40</v>
      </c>
      <c r="B63" s="1" t="s">
        <v>41</v>
      </c>
      <c r="C63" s="1" t="s">
        <v>25</v>
      </c>
      <c r="D63" s="1">
        <v>1.8395791172105071E-2</v>
      </c>
      <c r="E63" s="1" t="s">
        <v>24</v>
      </c>
      <c r="F63" s="1" t="s">
        <v>22</v>
      </c>
      <c r="G63" s="1" t="s">
        <v>23</v>
      </c>
      <c r="I63" s="1">
        <v>2</v>
      </c>
      <c r="J63" s="1" t="s">
        <v>68</v>
      </c>
      <c r="K63" s="1">
        <v>-6.8368374790856006</v>
      </c>
      <c r="L63" s="1">
        <v>0.905936770530121</v>
      </c>
    </row>
    <row r="64" spans="1:14" s="5" customFormat="1" x14ac:dyDescent="0.25"/>
    <row r="65" spans="1:14" x14ac:dyDescent="0.25">
      <c r="A65" s="2" t="s">
        <v>0</v>
      </c>
      <c r="B65" s="2" t="s">
        <v>91</v>
      </c>
    </row>
    <row r="66" spans="1:14" x14ac:dyDescent="0.25">
      <c r="A66" s="3" t="s">
        <v>1</v>
      </c>
      <c r="B66" s="1" t="s">
        <v>77</v>
      </c>
    </row>
    <row r="67" spans="1:14" x14ac:dyDescent="0.25">
      <c r="A67" s="3" t="s">
        <v>2</v>
      </c>
      <c r="B67" s="1" t="s">
        <v>39</v>
      </c>
    </row>
    <row r="68" spans="1:14" x14ac:dyDescent="0.25">
      <c r="A68" s="3" t="s">
        <v>3</v>
      </c>
      <c r="B68" s="1">
        <v>1</v>
      </c>
    </row>
    <row r="69" spans="1:14" x14ac:dyDescent="0.25">
      <c r="A69" s="3" t="s">
        <v>4</v>
      </c>
      <c r="B69" s="1" t="s">
        <v>5</v>
      </c>
    </row>
    <row r="70" spans="1:14" x14ac:dyDescent="0.25">
      <c r="A70" s="3" t="s">
        <v>6</v>
      </c>
      <c r="B70" s="1" t="s">
        <v>7</v>
      </c>
    </row>
    <row r="71" spans="1:14" x14ac:dyDescent="0.25">
      <c r="A71" s="3" t="s">
        <v>8</v>
      </c>
    </row>
    <row r="72" spans="1:14" x14ac:dyDescent="0.25">
      <c r="A72" s="2" t="s">
        <v>9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10</v>
      </c>
      <c r="G72" s="2" t="s">
        <v>11</v>
      </c>
      <c r="H72" s="2" t="s">
        <v>12</v>
      </c>
      <c r="I72" s="2" t="s">
        <v>13</v>
      </c>
      <c r="J72" s="2" t="s">
        <v>14</v>
      </c>
      <c r="K72" s="2" t="s">
        <v>15</v>
      </c>
      <c r="L72" s="2" t="s">
        <v>16</v>
      </c>
      <c r="M72" s="2" t="s">
        <v>17</v>
      </c>
      <c r="N72" s="2" t="s">
        <v>18</v>
      </c>
    </row>
    <row r="73" spans="1:14" x14ac:dyDescent="0.25">
      <c r="A73" s="1" t="str">
        <f>B65</f>
        <v>Water reverse osmosis (Salar de Olaroz)</v>
      </c>
      <c r="B73" s="1" t="str">
        <f>B66</f>
        <v>Water</v>
      </c>
      <c r="C73" s="1" t="str">
        <f>B67</f>
        <v>AR</v>
      </c>
      <c r="D73" s="1">
        <v>1</v>
      </c>
      <c r="E73" s="1" t="s">
        <v>5</v>
      </c>
      <c r="F73" s="4" t="str">
        <f>F27</f>
        <v>Lithium</v>
      </c>
      <c r="G73" s="1" t="s">
        <v>19</v>
      </c>
    </row>
    <row r="74" spans="1:14" x14ac:dyDescent="0.25">
      <c r="A74" s="1" t="s">
        <v>40</v>
      </c>
      <c r="B74" s="1" t="s">
        <v>41</v>
      </c>
      <c r="C74" s="1" t="s">
        <v>25</v>
      </c>
      <c r="D74" s="1">
        <v>3.6029999999999999E-3</v>
      </c>
      <c r="E74" s="1" t="s">
        <v>24</v>
      </c>
      <c r="F74" s="1" t="s">
        <v>22</v>
      </c>
      <c r="G74" s="1" t="s">
        <v>23</v>
      </c>
      <c r="I74" s="1">
        <v>2</v>
      </c>
      <c r="J74" s="1" t="s">
        <v>78</v>
      </c>
      <c r="K74" s="1">
        <v>-5.625988447216181</v>
      </c>
      <c r="L74" s="1">
        <v>0.52269439874826651</v>
      </c>
      <c r="M74" s="1">
        <v>0</v>
      </c>
      <c r="N74" s="1">
        <v>0</v>
      </c>
    </row>
    <row r="75" spans="1:14" x14ac:dyDescent="0.25">
      <c r="A75" s="1" t="s">
        <v>26</v>
      </c>
      <c r="D75" s="1">
        <v>1E-3</v>
      </c>
      <c r="E75" s="1" t="s">
        <v>27</v>
      </c>
      <c r="F75" s="1" t="s">
        <v>28</v>
      </c>
      <c r="G75" s="1" t="s">
        <v>29</v>
      </c>
      <c r="H75" s="1" t="s">
        <v>30</v>
      </c>
      <c r="I75" s="1">
        <v>2</v>
      </c>
      <c r="J75" s="1" t="s">
        <v>78</v>
      </c>
      <c r="K75" s="1">
        <v>-6.9077552789821368</v>
      </c>
      <c r="L75" s="1">
        <v>0.52269439874826651</v>
      </c>
      <c r="M75" s="1">
        <v>0</v>
      </c>
      <c r="N75" s="1">
        <v>0</v>
      </c>
    </row>
    <row r="76" spans="1:14" s="6" customFormat="1" x14ac:dyDescent="0.25"/>
    <row r="77" spans="1:14" x14ac:dyDescent="0.25">
      <c r="A77" s="2" t="s">
        <v>0</v>
      </c>
      <c r="B77" s="2" t="s">
        <v>74</v>
      </c>
    </row>
    <row r="78" spans="1:14" x14ac:dyDescent="0.25">
      <c r="A78" s="3" t="s">
        <v>1</v>
      </c>
      <c r="B78" s="1" t="s">
        <v>65</v>
      </c>
    </row>
    <row r="79" spans="1:14" x14ac:dyDescent="0.25">
      <c r="A79" s="3" t="s">
        <v>2</v>
      </c>
      <c r="B79" s="1" t="s">
        <v>39</v>
      </c>
    </row>
    <row r="80" spans="1:14" x14ac:dyDescent="0.25">
      <c r="A80" s="3" t="s">
        <v>3</v>
      </c>
      <c r="B80" s="1">
        <v>1</v>
      </c>
    </row>
    <row r="81" spans="1:14" x14ac:dyDescent="0.25">
      <c r="A81" s="3" t="s">
        <v>4</v>
      </c>
      <c r="B81" s="1" t="s">
        <v>5</v>
      </c>
    </row>
    <row r="82" spans="1:14" x14ac:dyDescent="0.25">
      <c r="A82" s="3" t="s">
        <v>6</v>
      </c>
      <c r="B82" s="1" t="s">
        <v>7</v>
      </c>
    </row>
    <row r="83" spans="1:14" x14ac:dyDescent="0.25">
      <c r="A83" s="3" t="s">
        <v>8</v>
      </c>
    </row>
    <row r="84" spans="1:14" x14ac:dyDescent="0.25">
      <c r="A84" s="2" t="s">
        <v>9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10</v>
      </c>
      <c r="G84" s="2" t="s">
        <v>11</v>
      </c>
      <c r="H84" s="2" t="s">
        <v>12</v>
      </c>
      <c r="I84" s="2" t="s">
        <v>13</v>
      </c>
      <c r="J84" s="2" t="s">
        <v>14</v>
      </c>
      <c r="K84" s="2" t="s">
        <v>15</v>
      </c>
      <c r="L84" s="2" t="s">
        <v>16</v>
      </c>
      <c r="M84" s="2" t="s">
        <v>17</v>
      </c>
      <c r="N84" s="2" t="s">
        <v>18</v>
      </c>
    </row>
    <row r="85" spans="1:14" x14ac:dyDescent="0.25">
      <c r="A85" s="1" t="str">
        <f>B77</f>
        <v xml:space="preserve">Li2CO3 production in Argentina/Salar de Olaroz </v>
      </c>
      <c r="B85" s="1" t="str">
        <f>B78</f>
        <v>Battery-grade Li2CO3</v>
      </c>
      <c r="C85" s="1" t="str">
        <f>B79</f>
        <v>AR</v>
      </c>
      <c r="D85" s="1">
        <v>1</v>
      </c>
      <c r="E85" s="1" t="s">
        <v>5</v>
      </c>
      <c r="F85" s="4" t="str">
        <f>F27</f>
        <v>Lithium</v>
      </c>
      <c r="G85" s="1" t="s">
        <v>19</v>
      </c>
    </row>
    <row r="86" spans="1:14" x14ac:dyDescent="0.25">
      <c r="A86" s="1" t="str">
        <f>A27</f>
        <v>[P] Battery-grade Li carbonate (Li2CO3) production (Salar de Olaroz)</v>
      </c>
      <c r="B86" s="1" t="str">
        <f>B27</f>
        <v>Battery-grade Li2CO3</v>
      </c>
      <c r="C86" s="1" t="str">
        <f>C27</f>
        <v>AR</v>
      </c>
      <c r="D86" s="1">
        <v>1</v>
      </c>
      <c r="E86" s="1" t="str">
        <f>E27</f>
        <v>kilogram</v>
      </c>
      <c r="F86" s="4" t="str">
        <f>F27</f>
        <v>Lithium</v>
      </c>
      <c r="G86" s="1" t="s">
        <v>23</v>
      </c>
    </row>
    <row r="87" spans="1:14" x14ac:dyDescent="0.25">
      <c r="A87" s="1" t="str">
        <f>A9</f>
        <v>[M+C] Lithium (Li) brine concentration (Salar de Olaroz)</v>
      </c>
      <c r="B87" s="1" t="str">
        <f>B9</f>
        <v>Li brine</v>
      </c>
      <c r="C87" s="1" t="str">
        <f>C9</f>
        <v>AR</v>
      </c>
      <c r="D87" s="1">
        <v>17.136387007245567</v>
      </c>
      <c r="E87" s="1" t="str">
        <f>E9</f>
        <v>kilogram</v>
      </c>
      <c r="F87" s="4" t="str">
        <f>F9</f>
        <v>Lithium</v>
      </c>
      <c r="G87" s="1" t="s">
        <v>23</v>
      </c>
    </row>
    <row r="88" spans="1:14" s="6" customFormat="1" x14ac:dyDescent="0.25"/>
    <row r="89" spans="1:14" x14ac:dyDescent="0.25">
      <c r="A89" s="2" t="s">
        <v>0</v>
      </c>
      <c r="B89" s="2" t="s">
        <v>75</v>
      </c>
    </row>
    <row r="90" spans="1:14" x14ac:dyDescent="0.25">
      <c r="A90" s="3" t="s">
        <v>1</v>
      </c>
      <c r="B90" s="1" t="s">
        <v>76</v>
      </c>
    </row>
    <row r="91" spans="1:14" x14ac:dyDescent="0.25">
      <c r="A91" s="3" t="s">
        <v>2</v>
      </c>
      <c r="B91" s="1" t="s">
        <v>39</v>
      </c>
    </row>
    <row r="92" spans="1:14" x14ac:dyDescent="0.25">
      <c r="A92" s="3" t="s">
        <v>3</v>
      </c>
      <c r="B92" s="1">
        <v>1</v>
      </c>
    </row>
    <row r="93" spans="1:14" x14ac:dyDescent="0.25">
      <c r="A93" s="3" t="s">
        <v>4</v>
      </c>
      <c r="B93" s="1" t="s">
        <v>5</v>
      </c>
    </row>
    <row r="94" spans="1:14" x14ac:dyDescent="0.25">
      <c r="A94" s="3" t="s">
        <v>6</v>
      </c>
      <c r="B94" s="1" t="s">
        <v>38</v>
      </c>
    </row>
    <row r="95" spans="1:14" x14ac:dyDescent="0.25">
      <c r="A95" s="3" t="s">
        <v>8</v>
      </c>
    </row>
    <row r="96" spans="1:14" x14ac:dyDescent="0.25">
      <c r="A96" s="2" t="s">
        <v>9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10</v>
      </c>
      <c r="G96" s="2" t="s">
        <v>11</v>
      </c>
      <c r="H96" s="2" t="s">
        <v>12</v>
      </c>
      <c r="I96" s="2" t="s">
        <v>13</v>
      </c>
      <c r="J96" s="2" t="s">
        <v>14</v>
      </c>
      <c r="K96" s="2" t="s">
        <v>15</v>
      </c>
      <c r="L96" s="2" t="s">
        <v>16</v>
      </c>
      <c r="M96" s="2" t="s">
        <v>17</v>
      </c>
      <c r="N96" s="2" t="s">
        <v>18</v>
      </c>
    </row>
    <row r="97" spans="1:7" x14ac:dyDescent="0.25">
      <c r="A97" s="1" t="str">
        <f>B89</f>
        <v>Li2CO3 production in Argentina/Salar de Olaroz (Li content)</v>
      </c>
      <c r="B97" s="1" t="str">
        <f>B90</f>
        <v>Battery-grade Li2CO3 (Li content)</v>
      </c>
      <c r="C97" s="1" t="str">
        <f>B91</f>
        <v>AR</v>
      </c>
      <c r="D97" s="1">
        <v>1</v>
      </c>
      <c r="E97" s="1" t="s">
        <v>5</v>
      </c>
      <c r="F97" s="4" t="str">
        <f>F85</f>
        <v>Lithium</v>
      </c>
      <c r="G97" s="1" t="s">
        <v>19</v>
      </c>
    </row>
    <row r="98" spans="1:7" x14ac:dyDescent="0.25">
      <c r="A98" s="1" t="str">
        <f>A86</f>
        <v>[P] Battery-grade Li carbonate (Li2CO3) production (Salar de Olaroz)</v>
      </c>
      <c r="B98" s="1" t="str">
        <f t="shared" ref="B98:F99" si="0">B86</f>
        <v>Battery-grade Li2CO3</v>
      </c>
      <c r="C98" s="1" t="str">
        <f t="shared" si="0"/>
        <v>AR</v>
      </c>
      <c r="D98" s="1">
        <v>5.3219797764768497</v>
      </c>
      <c r="E98" s="1" t="str">
        <f t="shared" si="0"/>
        <v>kilogram</v>
      </c>
      <c r="F98" s="4" t="str">
        <f t="shared" si="0"/>
        <v>Lithium</v>
      </c>
      <c r="G98" s="1" t="s">
        <v>23</v>
      </c>
    </row>
    <row r="99" spans="1:7" x14ac:dyDescent="0.25">
      <c r="A99" s="1" t="str">
        <f>A87</f>
        <v>[M+C] Lithium (Li) brine concentration (Salar de Olaroz)</v>
      </c>
      <c r="B99" s="1" t="str">
        <f t="shared" si="0"/>
        <v>Li brine</v>
      </c>
      <c r="C99" s="1" t="str">
        <f t="shared" si="0"/>
        <v>AR</v>
      </c>
      <c r="D99" s="1">
        <v>91.199505094441548</v>
      </c>
      <c r="E99" s="1" t="str">
        <f t="shared" si="0"/>
        <v>kilogram</v>
      </c>
      <c r="F99" s="4" t="str">
        <f t="shared" si="0"/>
        <v>Lithium</v>
      </c>
      <c r="G99" s="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BDAD-2C69-48A0-9D32-D8F69DB7B85A}">
  <sheetPr>
    <tabColor theme="8" tint="0.39997558519241921"/>
  </sheetPr>
  <dimension ref="A1:N83"/>
  <sheetViews>
    <sheetView zoomScaleNormal="100" workbookViewId="0">
      <selection activeCell="F18" sqref="F18"/>
    </sheetView>
  </sheetViews>
  <sheetFormatPr baseColWidth="10" defaultColWidth="11.42578125" defaultRowHeight="15" x14ac:dyDescent="0.25"/>
  <cols>
    <col min="1" max="1" width="60.85546875" style="1" bestFit="1" customWidth="1"/>
    <col min="2" max="2" width="60.7109375" style="1" bestFit="1" customWidth="1"/>
    <col min="3" max="3" width="8.8554687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84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purification and concentration (Chaerhan)</v>
      </c>
      <c r="B9" s="1" t="str">
        <f>B2</f>
        <v>Li brine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80</v>
      </c>
      <c r="B10" s="1" t="s">
        <v>41</v>
      </c>
      <c r="C10" s="1" t="s">
        <v>85</v>
      </c>
      <c r="D10" s="1">
        <v>0.54144160562658517</v>
      </c>
      <c r="E10" s="1" t="s">
        <v>24</v>
      </c>
      <c r="F10" s="1" t="s">
        <v>22</v>
      </c>
      <c r="G10" s="1" t="s">
        <v>23</v>
      </c>
      <c r="I10" s="1">
        <v>2</v>
      </c>
      <c r="J10" s="1" t="s">
        <v>87</v>
      </c>
      <c r="K10" s="1">
        <v>-0.61352005653409758</v>
      </c>
      <c r="L10" s="1">
        <v>0.21143713147359924</v>
      </c>
    </row>
    <row r="11" spans="1:14" x14ac:dyDescent="0.25">
      <c r="A11" s="1" t="s">
        <v>80</v>
      </c>
      <c r="B11" s="1" t="s">
        <v>41</v>
      </c>
      <c r="C11" s="1" t="s">
        <v>85</v>
      </c>
      <c r="D11" s="1">
        <v>0.35853651380453599</v>
      </c>
      <c r="E11" s="1" t="s">
        <v>24</v>
      </c>
      <c r="F11" s="1" t="s">
        <v>22</v>
      </c>
      <c r="G11" s="1" t="s">
        <v>23</v>
      </c>
      <c r="I11" s="1">
        <v>2</v>
      </c>
      <c r="J11" s="1" t="s">
        <v>87</v>
      </c>
      <c r="K11" s="1">
        <v>-1.0257247725124279</v>
      </c>
      <c r="L11" s="1">
        <v>0.21143713147359924</v>
      </c>
    </row>
    <row r="12" spans="1:14" x14ac:dyDescent="0.25">
      <c r="A12" s="1" t="s">
        <v>81</v>
      </c>
      <c r="B12" s="1" t="s">
        <v>51</v>
      </c>
      <c r="C12" s="1" t="s">
        <v>25</v>
      </c>
      <c r="D12" s="1">
        <v>10.906161299581091</v>
      </c>
      <c r="E12" s="1" t="s">
        <v>21</v>
      </c>
      <c r="F12" s="1" t="s">
        <v>22</v>
      </c>
      <c r="G12" s="1" t="s">
        <v>23</v>
      </c>
      <c r="I12" s="1">
        <v>2</v>
      </c>
      <c r="J12" s="1" t="s">
        <v>67</v>
      </c>
      <c r="K12" s="1">
        <v>-1.3820085349058404</v>
      </c>
      <c r="L12" s="1">
        <v>1.0034440819843768</v>
      </c>
    </row>
    <row r="13" spans="1:14" x14ac:dyDescent="0.25">
      <c r="A13" s="1" t="s">
        <v>80</v>
      </c>
      <c r="B13" s="1" t="s">
        <v>41</v>
      </c>
      <c r="C13" s="1" t="s">
        <v>85</v>
      </c>
      <c r="D13" s="1">
        <v>0.35136307802173478</v>
      </c>
      <c r="E13" s="1" t="s">
        <v>24</v>
      </c>
      <c r="F13" s="1" t="s">
        <v>22</v>
      </c>
      <c r="G13" s="1" t="s">
        <v>23</v>
      </c>
      <c r="I13" s="1">
        <v>2</v>
      </c>
      <c r="J13" s="1" t="s">
        <v>67</v>
      </c>
      <c r="K13" s="1">
        <v>-4.8172716011174055</v>
      </c>
      <c r="L13" s="1">
        <v>1.0034440819843768</v>
      </c>
    </row>
    <row r="14" spans="1:14" x14ac:dyDescent="0.25">
      <c r="A14" s="1" t="s">
        <v>52</v>
      </c>
      <c r="B14" s="1" t="s">
        <v>53</v>
      </c>
      <c r="C14" s="1" t="s">
        <v>25</v>
      </c>
      <c r="D14" s="1">
        <v>3.0342405797675324E-2</v>
      </c>
      <c r="E14" s="1" t="s">
        <v>5</v>
      </c>
      <c r="F14" s="1" t="s">
        <v>22</v>
      </c>
      <c r="G14" s="1" t="s">
        <v>23</v>
      </c>
      <c r="I14" s="1">
        <v>2</v>
      </c>
      <c r="J14" s="1" t="s">
        <v>67</v>
      </c>
      <c r="K14" s="1">
        <v>-7.2665454349072753</v>
      </c>
      <c r="L14" s="1">
        <v>1.0034440819843768</v>
      </c>
    </row>
    <row r="15" spans="1:14" x14ac:dyDescent="0.25">
      <c r="A15" s="1" t="s">
        <v>54</v>
      </c>
      <c r="B15" s="1" t="s">
        <v>55</v>
      </c>
      <c r="C15" s="1" t="s">
        <v>25</v>
      </c>
      <c r="D15" s="1">
        <v>1.5171202898837659E-2</v>
      </c>
      <c r="E15" s="1" t="s">
        <v>5</v>
      </c>
      <c r="F15" s="1" t="s">
        <v>22</v>
      </c>
      <c r="G15" s="1" t="s">
        <v>23</v>
      </c>
      <c r="I15" s="1">
        <v>2</v>
      </c>
      <c r="J15" s="1" t="s">
        <v>67</v>
      </c>
      <c r="K15" s="1">
        <v>-7.9596926154672207</v>
      </c>
      <c r="L15" s="1">
        <v>1.0034440819843768</v>
      </c>
    </row>
    <row r="16" spans="1:14" s="4" customFormat="1" x14ac:dyDescent="0.25">
      <c r="A16" s="1" t="s">
        <v>56</v>
      </c>
      <c r="B16" s="1"/>
      <c r="C16" s="1"/>
      <c r="D16" s="1">
        <v>0.20481123913430832</v>
      </c>
      <c r="E16" s="1" t="s">
        <v>21</v>
      </c>
      <c r="F16" s="1" t="s">
        <v>28</v>
      </c>
      <c r="G16" s="1" t="s">
        <v>29</v>
      </c>
      <c r="H16" s="1" t="s">
        <v>32</v>
      </c>
      <c r="I16" s="1">
        <v>2</v>
      </c>
      <c r="J16" s="1" t="s">
        <v>67</v>
      </c>
      <c r="K16" s="1">
        <v>-5.357002930022837</v>
      </c>
      <c r="L16" s="1">
        <v>1.0034440819843768</v>
      </c>
      <c r="M16" s="1"/>
      <c r="N16" s="1"/>
    </row>
    <row r="17" spans="1:14" x14ac:dyDescent="0.25">
      <c r="A17" s="1" t="s">
        <v>57</v>
      </c>
      <c r="D17" s="1">
        <v>2.9078138889438856E-2</v>
      </c>
      <c r="E17" s="1" t="s">
        <v>5</v>
      </c>
      <c r="F17" s="1" t="s">
        <v>28</v>
      </c>
      <c r="G17" s="1" t="s">
        <v>29</v>
      </c>
      <c r="H17" s="1" t="s">
        <v>31</v>
      </c>
      <c r="I17" s="1">
        <v>2</v>
      </c>
      <c r="J17" s="1" t="s">
        <v>67</v>
      </c>
      <c r="K17" s="1">
        <v>-7.3091050493260719</v>
      </c>
      <c r="L17" s="1">
        <v>1.0034440819843768</v>
      </c>
    </row>
    <row r="18" spans="1:14" x14ac:dyDescent="0.25">
      <c r="A18" s="1" t="s">
        <v>70</v>
      </c>
      <c r="D18" s="1">
        <v>8.8498683576552824E-3</v>
      </c>
      <c r="E18" s="1" t="s">
        <v>5</v>
      </c>
      <c r="F18" s="1" t="s">
        <v>28</v>
      </c>
      <c r="G18" s="1" t="s">
        <v>29</v>
      </c>
      <c r="H18" s="1" t="s">
        <v>31</v>
      </c>
      <c r="I18" s="1">
        <v>2</v>
      </c>
      <c r="J18" s="1" t="s">
        <v>67</v>
      </c>
      <c r="K18" s="1">
        <v>-8.498689116199909</v>
      </c>
      <c r="L18" s="1">
        <v>1.0034440819843768</v>
      </c>
    </row>
    <row r="19" spans="1:14" x14ac:dyDescent="0.25">
      <c r="A19" s="1" t="s">
        <v>33</v>
      </c>
      <c r="D19" s="1">
        <v>4.3573629081947021E-2</v>
      </c>
      <c r="E19" s="1" t="s">
        <v>5</v>
      </c>
      <c r="F19" s="1" t="s">
        <v>28</v>
      </c>
      <c r="G19" s="1" t="s">
        <v>29</v>
      </c>
      <c r="H19" s="1" t="s">
        <v>30</v>
      </c>
      <c r="I19" s="1">
        <v>2</v>
      </c>
      <c r="J19" s="1" t="s">
        <v>86</v>
      </c>
      <c r="K19" s="1">
        <v>-7.2798185896260339</v>
      </c>
      <c r="L19" s="1">
        <v>0.27989096928158774</v>
      </c>
    </row>
    <row r="20" spans="1:14" x14ac:dyDescent="0.25">
      <c r="A20" s="1" t="s">
        <v>80</v>
      </c>
      <c r="B20" s="1" t="s">
        <v>41</v>
      </c>
      <c r="C20" s="1" t="s">
        <v>85</v>
      </c>
      <c r="D20" s="1">
        <v>0.33155623879916324</v>
      </c>
      <c r="E20" s="1" t="s">
        <v>24</v>
      </c>
      <c r="F20" s="1" t="s">
        <v>22</v>
      </c>
      <c r="G20" s="1" t="s">
        <v>23</v>
      </c>
      <c r="I20" s="1">
        <v>2</v>
      </c>
      <c r="J20" s="1" t="s">
        <v>67</v>
      </c>
      <c r="K20" s="1">
        <v>-5.2504732747163221</v>
      </c>
      <c r="L20" s="1">
        <v>1.0034440819843768</v>
      </c>
    </row>
    <row r="21" spans="1:14" x14ac:dyDescent="0.25">
      <c r="A21" s="1" t="s">
        <v>81</v>
      </c>
      <c r="B21" s="1" t="s">
        <v>51</v>
      </c>
      <c r="C21" s="1" t="s">
        <v>25</v>
      </c>
      <c r="D21" s="1">
        <v>6.0891883715506721</v>
      </c>
      <c r="E21" s="1" t="s">
        <v>21</v>
      </c>
      <c r="F21" s="1" t="s">
        <v>22</v>
      </c>
      <c r="G21" s="1" t="s">
        <v>23</v>
      </c>
      <c r="I21" s="1">
        <v>2</v>
      </c>
      <c r="J21" s="1" t="s">
        <v>67</v>
      </c>
      <c r="K21" s="1">
        <v>-2.3400006399239408</v>
      </c>
      <c r="L21" s="1">
        <v>1.0034440819843768</v>
      </c>
    </row>
    <row r="22" spans="1:14" x14ac:dyDescent="0.25">
      <c r="A22" s="1" t="s">
        <v>92</v>
      </c>
      <c r="B22" s="1" t="s">
        <v>77</v>
      </c>
      <c r="C22" s="1" t="s">
        <v>79</v>
      </c>
      <c r="D22" s="1">
        <v>26.78081306431897</v>
      </c>
      <c r="E22" s="1" t="s">
        <v>5</v>
      </c>
      <c r="F22" s="4" t="s">
        <v>33</v>
      </c>
      <c r="G22" s="1" t="s">
        <v>23</v>
      </c>
      <c r="I22" s="1">
        <v>2</v>
      </c>
      <c r="J22" s="1" t="s">
        <v>86</v>
      </c>
      <c r="K22" s="1">
        <v>-0.85882973976045751</v>
      </c>
      <c r="L22" s="1">
        <v>0.27989096928158774</v>
      </c>
    </row>
    <row r="23" spans="1:14" ht="14.1" customHeight="1" x14ac:dyDescent="0.25">
      <c r="A23" s="1" t="s">
        <v>82</v>
      </c>
      <c r="B23" s="1" t="s">
        <v>83</v>
      </c>
      <c r="C23" s="1" t="s">
        <v>20</v>
      </c>
      <c r="D23" s="1">
        <v>3.7928007247094157E-2</v>
      </c>
      <c r="E23" s="1" t="s">
        <v>5</v>
      </c>
      <c r="F23" s="1" t="s">
        <v>22</v>
      </c>
      <c r="G23" s="1" t="s">
        <v>23</v>
      </c>
      <c r="I23" s="1">
        <v>2</v>
      </c>
      <c r="J23" s="1" t="s">
        <v>86</v>
      </c>
      <c r="K23" s="1">
        <v>-7.4185809027481282</v>
      </c>
      <c r="L23" s="1">
        <v>0.27989096928158774</v>
      </c>
    </row>
    <row r="24" spans="1:14" s="5" customFormat="1" x14ac:dyDescent="0.25"/>
    <row r="25" spans="1:14" x14ac:dyDescent="0.25">
      <c r="A25" s="2" t="s">
        <v>0</v>
      </c>
      <c r="B25" s="2" t="s">
        <v>88</v>
      </c>
    </row>
    <row r="26" spans="1:14" x14ac:dyDescent="0.25">
      <c r="A26" s="3" t="s">
        <v>1</v>
      </c>
      <c r="B26" s="1" t="s">
        <v>65</v>
      </c>
    </row>
    <row r="27" spans="1:14" x14ac:dyDescent="0.25">
      <c r="A27" s="3" t="s">
        <v>2</v>
      </c>
      <c r="B27" s="1" t="s">
        <v>79</v>
      </c>
    </row>
    <row r="28" spans="1:14" x14ac:dyDescent="0.25">
      <c r="A28" s="3" t="s">
        <v>3</v>
      </c>
      <c r="B28" s="1">
        <v>1</v>
      </c>
    </row>
    <row r="29" spans="1:14" x14ac:dyDescent="0.25">
      <c r="A29" s="3" t="s">
        <v>4</v>
      </c>
      <c r="B29" s="1" t="s">
        <v>5</v>
      </c>
    </row>
    <row r="30" spans="1:14" x14ac:dyDescent="0.25">
      <c r="A30" s="3" t="s">
        <v>6</v>
      </c>
      <c r="B30" s="1" t="s">
        <v>7</v>
      </c>
    </row>
    <row r="31" spans="1:14" x14ac:dyDescent="0.25">
      <c r="A31" s="3" t="s">
        <v>8</v>
      </c>
    </row>
    <row r="32" spans="1:14" x14ac:dyDescent="0.25">
      <c r="A32" s="2" t="s">
        <v>9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10</v>
      </c>
      <c r="G32" s="2" t="s">
        <v>11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16</v>
      </c>
      <c r="M32" s="2" t="s">
        <v>17</v>
      </c>
      <c r="N32" s="2" t="s">
        <v>18</v>
      </c>
    </row>
    <row r="33" spans="1:14" x14ac:dyDescent="0.25">
      <c r="A33" s="1" t="str">
        <f>B25</f>
        <v>[P] Battery-grade Li carbonate (Li2CO3) production (Chaerhan)</v>
      </c>
      <c r="B33" s="1" t="str">
        <f>B26</f>
        <v>Battery-grade Li2CO3</v>
      </c>
      <c r="C33" s="1" t="str">
        <f>B27</f>
        <v>CN</v>
      </c>
      <c r="D33" s="1">
        <v>1</v>
      </c>
      <c r="E33" s="1" t="s">
        <v>5</v>
      </c>
      <c r="F33" s="4" t="str">
        <f>F9</f>
        <v>Lithium</v>
      </c>
      <c r="G33" s="1" t="s">
        <v>19</v>
      </c>
    </row>
    <row r="34" spans="1:14" x14ac:dyDescent="0.25">
      <c r="A34" s="1" t="s">
        <v>81</v>
      </c>
      <c r="B34" s="1" t="s">
        <v>51</v>
      </c>
      <c r="C34" s="1" t="s">
        <v>25</v>
      </c>
      <c r="D34" s="1">
        <v>2.4705882352941182</v>
      </c>
      <c r="E34" s="1" t="s">
        <v>21</v>
      </c>
      <c r="F34" s="1" t="s">
        <v>22</v>
      </c>
      <c r="G34" s="1" t="s">
        <v>23</v>
      </c>
      <c r="I34" s="1">
        <v>2</v>
      </c>
      <c r="J34" s="1" t="s">
        <v>67</v>
      </c>
      <c r="K34" s="1">
        <v>0.90445627422715247</v>
      </c>
      <c r="L34" s="1">
        <v>0.90664754423415661</v>
      </c>
    </row>
    <row r="35" spans="1:14" x14ac:dyDescent="0.25">
      <c r="A35" s="1" t="s">
        <v>80</v>
      </c>
      <c r="B35" s="1" t="s">
        <v>41</v>
      </c>
      <c r="C35" s="1" t="s">
        <v>85</v>
      </c>
      <c r="D35" s="1">
        <v>0.3</v>
      </c>
      <c r="E35" s="1" t="s">
        <v>24</v>
      </c>
      <c r="F35" s="1" t="s">
        <v>22</v>
      </c>
      <c r="G35" s="1" t="s">
        <v>23</v>
      </c>
      <c r="I35" s="1">
        <v>2</v>
      </c>
      <c r="J35" s="1" t="s">
        <v>67</v>
      </c>
      <c r="K35" s="1">
        <v>-1.2039728043259361</v>
      </c>
      <c r="L35" s="1">
        <v>0.90664754423415661</v>
      </c>
    </row>
    <row r="36" spans="1:14" x14ac:dyDescent="0.25">
      <c r="A36" s="1" t="s">
        <v>80</v>
      </c>
      <c r="B36" s="1" t="s">
        <v>41</v>
      </c>
      <c r="C36" s="1" t="s">
        <v>85</v>
      </c>
      <c r="D36" s="1">
        <v>3.5000000000000001E-3</v>
      </c>
      <c r="E36" s="1" t="s">
        <v>24</v>
      </c>
      <c r="F36" s="1" t="s">
        <v>22</v>
      </c>
      <c r="G36" s="1" t="s">
        <v>23</v>
      </c>
      <c r="I36" s="1">
        <v>2</v>
      </c>
      <c r="J36" s="1" t="s">
        <v>89</v>
      </c>
      <c r="K36" s="1">
        <v>-6.185620561548939</v>
      </c>
      <c r="L36" s="1">
        <v>0.59670428095441808</v>
      </c>
    </row>
    <row r="37" spans="1:14" x14ac:dyDescent="0.25">
      <c r="A37" s="1" t="s">
        <v>92</v>
      </c>
      <c r="B37" s="1" t="s">
        <v>77</v>
      </c>
      <c r="C37" s="1" t="s">
        <v>79</v>
      </c>
      <c r="D37" s="1">
        <v>1.9999999999999991</v>
      </c>
      <c r="E37" s="1" t="s">
        <v>5</v>
      </c>
      <c r="F37" s="4" t="s">
        <v>33</v>
      </c>
      <c r="G37" s="1" t="s">
        <v>23</v>
      </c>
      <c r="I37" s="1">
        <v>2</v>
      </c>
      <c r="J37" s="1" t="s">
        <v>69</v>
      </c>
      <c r="K37" s="1">
        <v>-0.55961578793542277</v>
      </c>
      <c r="L37" s="1">
        <v>0.60952541561469464</v>
      </c>
    </row>
    <row r="38" spans="1:14" x14ac:dyDescent="0.25">
      <c r="A38" s="1" t="s">
        <v>81</v>
      </c>
      <c r="B38" s="1" t="s">
        <v>51</v>
      </c>
      <c r="C38" s="1" t="s">
        <v>25</v>
      </c>
      <c r="D38" s="1">
        <v>0.8429294117647057</v>
      </c>
      <c r="E38" s="1" t="s">
        <v>21</v>
      </c>
      <c r="F38" s="1" t="s">
        <v>22</v>
      </c>
      <c r="G38" s="1" t="s">
        <v>23</v>
      </c>
      <c r="I38" s="1">
        <v>5</v>
      </c>
      <c r="K38" s="1">
        <v>0.240836974789916</v>
      </c>
      <c r="M38" s="1">
        <v>0.1685858823529412</v>
      </c>
      <c r="N38" s="1">
        <v>0.31308806722689081</v>
      </c>
    </row>
    <row r="39" spans="1:14" x14ac:dyDescent="0.25">
      <c r="A39" s="1" t="s">
        <v>80</v>
      </c>
      <c r="B39" s="1" t="s">
        <v>41</v>
      </c>
      <c r="C39" s="1" t="s">
        <v>85</v>
      </c>
      <c r="D39" s="1">
        <v>2.722871250933993E-2</v>
      </c>
      <c r="E39" s="1" t="s">
        <v>24</v>
      </c>
      <c r="F39" s="1" t="s">
        <v>22</v>
      </c>
      <c r="G39" s="1" t="s">
        <v>23</v>
      </c>
      <c r="I39" s="1">
        <v>2</v>
      </c>
      <c r="J39" s="1" t="s">
        <v>89</v>
      </c>
      <c r="K39" s="1">
        <v>-4.008948363588571</v>
      </c>
      <c r="L39" s="1">
        <v>0.61115429177263814</v>
      </c>
    </row>
    <row r="40" spans="1:14" x14ac:dyDescent="0.25">
      <c r="A40" s="1" t="s">
        <v>81</v>
      </c>
      <c r="B40" s="1" t="s">
        <v>51</v>
      </c>
      <c r="C40" s="1" t="s">
        <v>25</v>
      </c>
      <c r="D40" s="1">
        <v>11.98344606942136</v>
      </c>
      <c r="E40" s="1" t="s">
        <v>21</v>
      </c>
      <c r="F40" s="1" t="s">
        <v>22</v>
      </c>
      <c r="G40" s="1" t="s">
        <v>23</v>
      </c>
      <c r="I40" s="1">
        <v>5</v>
      </c>
      <c r="K40" s="1">
        <v>0.44010329409849352</v>
      </c>
      <c r="M40" s="1">
        <v>0.30807230586894546</v>
      </c>
      <c r="N40" s="1">
        <v>0.57213428232804164</v>
      </c>
    </row>
    <row r="41" spans="1:14" x14ac:dyDescent="0.25">
      <c r="A41" s="1" t="s">
        <v>92</v>
      </c>
      <c r="B41" s="1" t="s">
        <v>77</v>
      </c>
      <c r="C41" s="1" t="s">
        <v>79</v>
      </c>
      <c r="D41" s="1">
        <v>27.472527472527464</v>
      </c>
      <c r="E41" s="1" t="s">
        <v>5</v>
      </c>
      <c r="F41" s="4" t="s">
        <v>33</v>
      </c>
      <c r="G41" s="1" t="s">
        <v>23</v>
      </c>
      <c r="I41" s="1">
        <v>5</v>
      </c>
      <c r="K41" s="1">
        <v>0.96487842531840984</v>
      </c>
      <c r="M41" s="1">
        <v>0.67541489772288688</v>
      </c>
      <c r="N41" s="1">
        <v>1.2543419529139328</v>
      </c>
    </row>
    <row r="42" spans="1:14" x14ac:dyDescent="0.25">
      <c r="A42" s="1" t="s">
        <v>92</v>
      </c>
      <c r="B42" s="1" t="s">
        <v>77</v>
      </c>
      <c r="C42" s="1" t="s">
        <v>79</v>
      </c>
      <c r="D42" s="1">
        <v>1.9999999999999989</v>
      </c>
      <c r="E42" s="1" t="s">
        <v>5</v>
      </c>
      <c r="F42" s="4" t="s">
        <v>33</v>
      </c>
      <c r="G42" s="1" t="s">
        <v>23</v>
      </c>
      <c r="I42" s="1">
        <v>2</v>
      </c>
      <c r="J42" s="1" t="s">
        <v>90</v>
      </c>
      <c r="K42" s="1">
        <v>-0.55961578793542277</v>
      </c>
      <c r="L42" s="1">
        <v>0.57755074930753147</v>
      </c>
    </row>
    <row r="43" spans="1:14" x14ac:dyDescent="0.25">
      <c r="A43" s="1" t="s">
        <v>81</v>
      </c>
      <c r="B43" s="1" t="s">
        <v>51</v>
      </c>
      <c r="C43" s="1" t="s">
        <v>25</v>
      </c>
      <c r="D43" s="1">
        <v>0.84292941176470559</v>
      </c>
      <c r="E43" s="1" t="s">
        <v>21</v>
      </c>
      <c r="F43" s="1" t="s">
        <v>22</v>
      </c>
      <c r="G43" s="1" t="s">
        <v>23</v>
      </c>
      <c r="I43" s="1">
        <v>5</v>
      </c>
      <c r="K43" s="1">
        <v>0.240836974789916</v>
      </c>
      <c r="M43" s="1">
        <v>0.1685858823529412</v>
      </c>
      <c r="N43" s="1">
        <v>0.31308806722689081</v>
      </c>
    </row>
    <row r="44" spans="1:14" x14ac:dyDescent="0.25">
      <c r="A44" s="1" t="s">
        <v>80</v>
      </c>
      <c r="B44" s="1" t="s">
        <v>41</v>
      </c>
      <c r="C44" s="1" t="s">
        <v>85</v>
      </c>
      <c r="D44" s="1">
        <v>2.5792942110581758E-2</v>
      </c>
      <c r="E44" s="1" t="s">
        <v>24</v>
      </c>
      <c r="F44" s="1" t="s">
        <v>22</v>
      </c>
      <c r="G44" s="1" t="s">
        <v>23</v>
      </c>
      <c r="I44" s="1">
        <v>2</v>
      </c>
      <c r="J44" s="1" t="s">
        <v>89</v>
      </c>
      <c r="K44" s="1">
        <v>-4.0631194941928888</v>
      </c>
      <c r="L44" s="1">
        <v>0.61115429177263814</v>
      </c>
    </row>
    <row r="45" spans="1:14" x14ac:dyDescent="0.25">
      <c r="A45" s="1" t="s">
        <v>81</v>
      </c>
      <c r="B45" s="1" t="s">
        <v>51</v>
      </c>
      <c r="C45" s="1" t="s">
        <v>25</v>
      </c>
      <c r="D45" s="1">
        <v>6.216338223529406</v>
      </c>
      <c r="E45" s="1" t="s">
        <v>21</v>
      </c>
      <c r="F45" s="1" t="s">
        <v>22</v>
      </c>
      <c r="G45" s="1" t="s">
        <v>23</v>
      </c>
      <c r="I45" s="1">
        <v>5</v>
      </c>
      <c r="K45" s="1">
        <v>0.2410092728808593</v>
      </c>
      <c r="M45" s="1">
        <v>0.16870649101660151</v>
      </c>
      <c r="N45" s="1">
        <v>0.31331205474511709</v>
      </c>
    </row>
    <row r="46" spans="1:14" x14ac:dyDescent="0.25">
      <c r="A46" s="1" t="s">
        <v>72</v>
      </c>
      <c r="B46" s="1" t="s">
        <v>73</v>
      </c>
      <c r="C46" s="1" t="s">
        <v>25</v>
      </c>
      <c r="D46" s="1">
        <v>1.593823685096962</v>
      </c>
      <c r="E46" s="1" t="s">
        <v>5</v>
      </c>
      <c r="F46" s="1" t="s">
        <v>22</v>
      </c>
      <c r="G46" s="1" t="s">
        <v>23</v>
      </c>
      <c r="I46" s="1">
        <v>5</v>
      </c>
      <c r="K46" s="1">
        <v>6.1793016022126578E-2</v>
      </c>
      <c r="M46" s="1">
        <v>4.3255111215488605E-2</v>
      </c>
      <c r="N46" s="1">
        <v>8.0330920828764557E-2</v>
      </c>
    </row>
    <row r="47" spans="1:14" x14ac:dyDescent="0.25">
      <c r="A47" s="1" t="s">
        <v>92</v>
      </c>
      <c r="B47" s="1" t="s">
        <v>77</v>
      </c>
      <c r="C47" s="1" t="s">
        <v>79</v>
      </c>
      <c r="D47" s="1">
        <v>7.9691184254848073</v>
      </c>
      <c r="E47" s="1" t="s">
        <v>5</v>
      </c>
      <c r="F47" s="4" t="s">
        <v>33</v>
      </c>
      <c r="G47" s="1" t="s">
        <v>23</v>
      </c>
      <c r="I47" s="1">
        <v>5</v>
      </c>
      <c r="K47" s="1">
        <v>0.30896508011063278</v>
      </c>
      <c r="M47" s="1">
        <v>0.21627555607744295</v>
      </c>
      <c r="N47" s="1">
        <v>0.40165460414382265</v>
      </c>
    </row>
    <row r="48" spans="1:14" s="5" customFormat="1" x14ac:dyDescent="0.25"/>
    <row r="49" spans="1:14" x14ac:dyDescent="0.25">
      <c r="A49" s="2" t="s">
        <v>0</v>
      </c>
      <c r="B49" s="2" t="s">
        <v>92</v>
      </c>
    </row>
    <row r="50" spans="1:14" x14ac:dyDescent="0.25">
      <c r="A50" s="3" t="s">
        <v>1</v>
      </c>
      <c r="B50" s="1" t="s">
        <v>77</v>
      </c>
    </row>
    <row r="51" spans="1:14" x14ac:dyDescent="0.25">
      <c r="A51" s="3" t="s">
        <v>2</v>
      </c>
      <c r="B51" s="1" t="s">
        <v>79</v>
      </c>
    </row>
    <row r="52" spans="1:14" x14ac:dyDescent="0.25">
      <c r="A52" s="3" t="s">
        <v>3</v>
      </c>
      <c r="B52" s="1">
        <v>1</v>
      </c>
    </row>
    <row r="53" spans="1:14" x14ac:dyDescent="0.25">
      <c r="A53" s="3" t="s">
        <v>4</v>
      </c>
      <c r="B53" s="1" t="s">
        <v>5</v>
      </c>
    </row>
    <row r="54" spans="1:14" x14ac:dyDescent="0.25">
      <c r="A54" s="3" t="s">
        <v>6</v>
      </c>
      <c r="B54" s="1" t="s">
        <v>7</v>
      </c>
    </row>
    <row r="55" spans="1:14" x14ac:dyDescent="0.25">
      <c r="A55" s="3" t="s">
        <v>8</v>
      </c>
    </row>
    <row r="56" spans="1:14" x14ac:dyDescent="0.25">
      <c r="A56" s="2" t="s">
        <v>9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10</v>
      </c>
      <c r="G56" s="2" t="s">
        <v>11</v>
      </c>
      <c r="H56" s="2" t="s">
        <v>12</v>
      </c>
      <c r="I56" s="2" t="s">
        <v>13</v>
      </c>
      <c r="J56" s="2" t="s">
        <v>14</v>
      </c>
      <c r="K56" s="2" t="s">
        <v>15</v>
      </c>
      <c r="L56" s="2" t="s">
        <v>16</v>
      </c>
      <c r="M56" s="2" t="s">
        <v>17</v>
      </c>
      <c r="N56" s="2" t="s">
        <v>18</v>
      </c>
    </row>
    <row r="57" spans="1:14" x14ac:dyDescent="0.25">
      <c r="A57" s="1" t="str">
        <f>B49</f>
        <v>Water reverse osmosis (Chaerhan)</v>
      </c>
      <c r="B57" s="1" t="str">
        <f>B50</f>
        <v>Water</v>
      </c>
      <c r="C57" s="1" t="str">
        <f>B51</f>
        <v>CN</v>
      </c>
      <c r="D57" s="1">
        <v>1</v>
      </c>
      <c r="E57" s="1" t="s">
        <v>5</v>
      </c>
      <c r="F57" s="4" t="str">
        <f>F33</f>
        <v>Lithium</v>
      </c>
      <c r="G57" s="1" t="s">
        <v>19</v>
      </c>
    </row>
    <row r="58" spans="1:14" x14ac:dyDescent="0.25">
      <c r="A58" s="1" t="s">
        <v>80</v>
      </c>
      <c r="B58" s="1" t="s">
        <v>41</v>
      </c>
      <c r="C58" s="1" t="s">
        <v>85</v>
      </c>
      <c r="D58" s="1">
        <v>3.6029999999999999E-3</v>
      </c>
      <c r="E58" s="1" t="s">
        <v>24</v>
      </c>
      <c r="F58" s="1" t="s">
        <v>22</v>
      </c>
      <c r="G58" s="1" t="s">
        <v>23</v>
      </c>
      <c r="I58" s="1">
        <v>2</v>
      </c>
      <c r="J58" s="1" t="s">
        <v>78</v>
      </c>
      <c r="K58" s="1">
        <v>-5.625988447216181</v>
      </c>
      <c r="L58" s="1">
        <v>0.52269439874826651</v>
      </c>
    </row>
    <row r="59" spans="1:14" x14ac:dyDescent="0.25">
      <c r="A59" s="1" t="s">
        <v>26</v>
      </c>
      <c r="D59" s="1">
        <v>1E-3</v>
      </c>
      <c r="E59" s="1" t="s">
        <v>27</v>
      </c>
      <c r="F59" s="1" t="s">
        <v>28</v>
      </c>
      <c r="G59" s="1" t="s">
        <v>29</v>
      </c>
      <c r="H59" s="1" t="s">
        <v>30</v>
      </c>
      <c r="I59" s="1">
        <v>2</v>
      </c>
      <c r="J59" s="1" t="s">
        <v>78</v>
      </c>
      <c r="K59" s="1">
        <v>-6.9077552789821368</v>
      </c>
      <c r="L59" s="1">
        <v>0.52269439874826651</v>
      </c>
    </row>
    <row r="60" spans="1:14" s="6" customFormat="1" x14ac:dyDescent="0.25"/>
    <row r="61" spans="1:14" x14ac:dyDescent="0.25">
      <c r="A61" s="2" t="s">
        <v>0</v>
      </c>
      <c r="B61" s="2" t="s">
        <v>93</v>
      </c>
    </row>
    <row r="62" spans="1:14" x14ac:dyDescent="0.25">
      <c r="A62" s="3" t="s">
        <v>1</v>
      </c>
      <c r="B62" s="1" t="s">
        <v>65</v>
      </c>
    </row>
    <row r="63" spans="1:14" x14ac:dyDescent="0.25">
      <c r="A63" s="3" t="s">
        <v>2</v>
      </c>
      <c r="B63" s="1" t="s">
        <v>79</v>
      </c>
    </row>
    <row r="64" spans="1:14" x14ac:dyDescent="0.25">
      <c r="A64" s="3" t="s">
        <v>3</v>
      </c>
      <c r="B64" s="1">
        <v>1</v>
      </c>
    </row>
    <row r="65" spans="1:14" x14ac:dyDescent="0.25">
      <c r="A65" s="3" t="s">
        <v>4</v>
      </c>
      <c r="B65" s="1" t="s">
        <v>5</v>
      </c>
    </row>
    <row r="66" spans="1:14" x14ac:dyDescent="0.25">
      <c r="A66" s="3" t="s">
        <v>6</v>
      </c>
      <c r="B66" s="1" t="s">
        <v>7</v>
      </c>
    </row>
    <row r="67" spans="1:14" x14ac:dyDescent="0.25">
      <c r="A67" s="3" t="s">
        <v>8</v>
      </c>
    </row>
    <row r="68" spans="1:14" x14ac:dyDescent="0.25">
      <c r="A68" s="2" t="s">
        <v>9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10</v>
      </c>
      <c r="G68" s="2" t="s">
        <v>11</v>
      </c>
      <c r="H68" s="2" t="s">
        <v>12</v>
      </c>
      <c r="I68" s="2" t="s">
        <v>13</v>
      </c>
      <c r="J68" s="2" t="s">
        <v>14</v>
      </c>
      <c r="K68" s="2" t="s">
        <v>15</v>
      </c>
      <c r="L68" s="2" t="s">
        <v>16</v>
      </c>
      <c r="M68" s="2" t="s">
        <v>17</v>
      </c>
      <c r="N68" s="2" t="s">
        <v>18</v>
      </c>
    </row>
    <row r="69" spans="1:14" x14ac:dyDescent="0.25">
      <c r="A69" s="1" t="str">
        <f>B61</f>
        <v xml:space="preserve">Li2CO3 production in China/Chaerhan Salt Lake </v>
      </c>
      <c r="B69" s="1" t="str">
        <f>B62</f>
        <v>Battery-grade Li2CO3</v>
      </c>
      <c r="C69" s="1" t="str">
        <f>B63</f>
        <v>CN</v>
      </c>
      <c r="D69" s="1">
        <v>1</v>
      </c>
      <c r="E69" s="1" t="s">
        <v>5</v>
      </c>
      <c r="F69" s="4" t="str">
        <f>F33</f>
        <v>Lithium</v>
      </c>
      <c r="G69" s="1" t="s">
        <v>19</v>
      </c>
    </row>
    <row r="70" spans="1:14" x14ac:dyDescent="0.25">
      <c r="A70" s="1" t="str">
        <f>A33</f>
        <v>[P] Battery-grade Li carbonate (Li2CO3) production (Chaerhan)</v>
      </c>
      <c r="B70" s="1" t="str">
        <f>B33</f>
        <v>Battery-grade Li2CO3</v>
      </c>
      <c r="C70" s="1" t="str">
        <f>C33</f>
        <v>CN</v>
      </c>
      <c r="D70" s="1">
        <v>1</v>
      </c>
      <c r="E70" s="1" t="str">
        <f>E33</f>
        <v>kilogram</v>
      </c>
      <c r="F70" s="4" t="str">
        <f>F33</f>
        <v>Lithium</v>
      </c>
      <c r="G70" s="1" t="s">
        <v>23</v>
      </c>
    </row>
    <row r="71" spans="1:14" x14ac:dyDescent="0.25">
      <c r="A71" s="1" t="str">
        <f>A9</f>
        <v>[M+C] Lithium (Li) brine purification and concentration (Chaerhan)</v>
      </c>
      <c r="B71" s="1" t="str">
        <f>B9</f>
        <v>Li brine</v>
      </c>
      <c r="C71" s="1" t="str">
        <f>C9</f>
        <v>CN</v>
      </c>
      <c r="D71" s="1">
        <v>16.229999999999986</v>
      </c>
      <c r="E71" s="1" t="str">
        <f>E9</f>
        <v>kilogram</v>
      </c>
      <c r="F71" s="4" t="str">
        <f>F9</f>
        <v>Lithium</v>
      </c>
      <c r="G71" s="1" t="s">
        <v>23</v>
      </c>
    </row>
    <row r="72" spans="1:14" s="6" customFormat="1" x14ac:dyDescent="0.25"/>
    <row r="73" spans="1:14" x14ac:dyDescent="0.25">
      <c r="A73" s="2" t="s">
        <v>0</v>
      </c>
      <c r="B73" s="2" t="s">
        <v>94</v>
      </c>
    </row>
    <row r="74" spans="1:14" x14ac:dyDescent="0.25">
      <c r="A74" s="3" t="s">
        <v>1</v>
      </c>
      <c r="B74" s="1" t="s">
        <v>76</v>
      </c>
    </row>
    <row r="75" spans="1:14" x14ac:dyDescent="0.25">
      <c r="A75" s="3" t="s">
        <v>2</v>
      </c>
      <c r="B75" s="1" t="s">
        <v>79</v>
      </c>
    </row>
    <row r="76" spans="1:14" x14ac:dyDescent="0.25">
      <c r="A76" s="3" t="s">
        <v>3</v>
      </c>
      <c r="B76" s="1">
        <v>1</v>
      </c>
    </row>
    <row r="77" spans="1:14" x14ac:dyDescent="0.25">
      <c r="A77" s="3" t="s">
        <v>4</v>
      </c>
      <c r="B77" s="1" t="s">
        <v>5</v>
      </c>
    </row>
    <row r="78" spans="1:14" x14ac:dyDescent="0.25">
      <c r="A78" s="3" t="s">
        <v>6</v>
      </c>
      <c r="B78" s="1" t="s">
        <v>38</v>
      </c>
    </row>
    <row r="79" spans="1:14" x14ac:dyDescent="0.25">
      <c r="A79" s="3" t="s">
        <v>8</v>
      </c>
    </row>
    <row r="80" spans="1:14" x14ac:dyDescent="0.25">
      <c r="A80" s="2" t="s">
        <v>9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10</v>
      </c>
      <c r="G80" s="2" t="s">
        <v>11</v>
      </c>
      <c r="H80" s="2" t="s">
        <v>12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17</v>
      </c>
      <c r="N80" s="2" t="s">
        <v>18</v>
      </c>
    </row>
    <row r="81" spans="1:7" x14ac:dyDescent="0.25">
      <c r="A81" s="1" t="str">
        <f>B73</f>
        <v>Li2CO3 production in China/Chaerhan Salt Lake (Li content)</v>
      </c>
      <c r="B81" s="1" t="str">
        <f>B74</f>
        <v>Battery-grade Li2CO3 (Li content)</v>
      </c>
      <c r="C81" s="1" t="str">
        <f>B75</f>
        <v>CN</v>
      </c>
      <c r="D81" s="1">
        <v>1</v>
      </c>
      <c r="E81" s="1" t="s">
        <v>5</v>
      </c>
      <c r="F81" s="4" t="str">
        <f>F69</f>
        <v>Lithium</v>
      </c>
      <c r="G81" s="1" t="s">
        <v>19</v>
      </c>
    </row>
    <row r="82" spans="1:7" x14ac:dyDescent="0.25">
      <c r="A82" s="1" t="str">
        <f>A70</f>
        <v>[P] Battery-grade Li carbonate (Li2CO3) production (Chaerhan)</v>
      </c>
      <c r="B82" s="1" t="str">
        <f t="shared" ref="B82:F83" si="0">B70</f>
        <v>Battery-grade Li2CO3</v>
      </c>
      <c r="C82" s="1" t="str">
        <f t="shared" si="0"/>
        <v>CN</v>
      </c>
      <c r="D82" s="1">
        <v>5.3219797764768497</v>
      </c>
      <c r="E82" s="1" t="str">
        <f t="shared" si="0"/>
        <v>kilogram</v>
      </c>
      <c r="F82" s="4" t="str">
        <f t="shared" si="0"/>
        <v>Lithium</v>
      </c>
      <c r="G82" s="1" t="s">
        <v>23</v>
      </c>
    </row>
    <row r="83" spans="1:7" x14ac:dyDescent="0.25">
      <c r="A83" s="1" t="str">
        <f>A71</f>
        <v>[M+C] Lithium (Li) brine purification and concentration (Chaerhan)</v>
      </c>
      <c r="B83" s="1" t="str">
        <f t="shared" si="0"/>
        <v>Li brine</v>
      </c>
      <c r="C83" s="1" t="str">
        <f t="shared" si="0"/>
        <v>CN</v>
      </c>
      <c r="D83" s="1">
        <v>86.375731772219197</v>
      </c>
      <c r="E83" s="1" t="str">
        <f t="shared" si="0"/>
        <v>kilogram</v>
      </c>
      <c r="F83" s="4" t="str">
        <f t="shared" si="0"/>
        <v>Lithium</v>
      </c>
      <c r="G83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7BEB-E3BE-42EF-B9DA-6CA454B48179}">
  <sheetPr>
    <tabColor theme="8" tint="0.39997558519241921"/>
  </sheetPr>
  <dimension ref="A1:N97"/>
  <sheetViews>
    <sheetView zoomScaleNormal="100" workbookViewId="0">
      <selection activeCell="B11" sqref="B11"/>
    </sheetView>
  </sheetViews>
  <sheetFormatPr baseColWidth="10" defaultColWidth="11.42578125" defaultRowHeight="15" x14ac:dyDescent="0.25"/>
  <cols>
    <col min="1" max="1" width="70.85546875" style="1" bestFit="1" customWidth="1"/>
    <col min="2" max="2" width="71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101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concentration (Salar del Hombre Muerto)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33</v>
      </c>
      <c r="D10" s="1">
        <v>2.1369181440740272E-2</v>
      </c>
      <c r="E10" s="1" t="s">
        <v>5</v>
      </c>
      <c r="F10" s="1" t="s">
        <v>28</v>
      </c>
      <c r="G10" s="1" t="s">
        <v>29</v>
      </c>
      <c r="H10" s="1" t="s">
        <v>30</v>
      </c>
      <c r="I10" s="1">
        <v>5</v>
      </c>
      <c r="K10" s="1">
        <v>2.1369181440740272E-2</v>
      </c>
      <c r="M10" s="1">
        <v>1.4958427008518189E-2</v>
      </c>
      <c r="N10" s="1">
        <v>2.7779935872962354E-2</v>
      </c>
    </row>
    <row r="11" spans="1:14" x14ac:dyDescent="0.25">
      <c r="A11" s="1" t="s">
        <v>95</v>
      </c>
      <c r="B11" s="1" t="s">
        <v>41</v>
      </c>
      <c r="C11" s="1" t="s">
        <v>39</v>
      </c>
      <c r="D11" s="1">
        <v>5.2753186487926717E-3</v>
      </c>
      <c r="E11" s="1" t="s">
        <v>24</v>
      </c>
      <c r="F11" s="1" t="s">
        <v>22</v>
      </c>
      <c r="G11" s="1" t="s">
        <v>23</v>
      </c>
      <c r="I11" s="1">
        <v>5</v>
      </c>
      <c r="K11" s="1">
        <v>5.2753186487926717E-3</v>
      </c>
      <c r="M11" s="1">
        <v>4.4840208514737709E-3</v>
      </c>
      <c r="N11" s="1">
        <v>6.0666164461115717E-3</v>
      </c>
    </row>
    <row r="12" spans="1:14" x14ac:dyDescent="0.25">
      <c r="A12" s="1" t="s">
        <v>42</v>
      </c>
      <c r="B12" s="1" t="s">
        <v>42</v>
      </c>
      <c r="C12" s="1" t="s">
        <v>20</v>
      </c>
      <c r="D12" s="1">
        <v>7.2549759976893482E-5</v>
      </c>
      <c r="E12" s="1" t="s">
        <v>43</v>
      </c>
      <c r="F12" s="1" t="s">
        <v>22</v>
      </c>
      <c r="G12" s="1" t="s">
        <v>23</v>
      </c>
      <c r="I12" s="1">
        <v>2</v>
      </c>
      <c r="J12" s="1" t="s">
        <v>60</v>
      </c>
      <c r="K12" s="1">
        <v>-9.5312378870214456</v>
      </c>
      <c r="L12" s="1">
        <v>0.74909590556190686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0.1347141132054436</v>
      </c>
      <c r="E13" s="1" t="s">
        <v>5</v>
      </c>
      <c r="F13" s="1" t="s">
        <v>22</v>
      </c>
      <c r="G13" s="1" t="s">
        <v>23</v>
      </c>
      <c r="I13" s="1">
        <v>5</v>
      </c>
      <c r="K13" s="1">
        <v>0.1347141132054436</v>
      </c>
      <c r="M13" s="1">
        <v>0.12124270188489925</v>
      </c>
      <c r="N13" s="1">
        <v>0.14818552452598799</v>
      </c>
    </row>
    <row r="14" spans="1:14" x14ac:dyDescent="0.25">
      <c r="A14" s="1" t="s">
        <v>103</v>
      </c>
      <c r="B14" s="1" t="s">
        <v>77</v>
      </c>
      <c r="C14" s="1" t="s">
        <v>39</v>
      </c>
      <c r="D14" s="1">
        <v>0.1287314802939144</v>
      </c>
      <c r="E14" s="1" t="s">
        <v>5</v>
      </c>
      <c r="F14" s="4" t="s">
        <v>33</v>
      </c>
      <c r="G14" s="1" t="s">
        <v>23</v>
      </c>
      <c r="I14" s="1">
        <v>2</v>
      </c>
      <c r="J14" s="1" t="s">
        <v>63</v>
      </c>
      <c r="K14" s="1">
        <v>-2.0500265921619625</v>
      </c>
      <c r="L14" s="1">
        <v>0.51431269492042531</v>
      </c>
    </row>
    <row r="15" spans="1:14" x14ac:dyDescent="0.25">
      <c r="A15" s="1" t="s">
        <v>46</v>
      </c>
      <c r="D15" s="1">
        <v>2.5497580994949042E-10</v>
      </c>
      <c r="E15" s="1" t="s">
        <v>47</v>
      </c>
      <c r="F15" s="1" t="s">
        <v>28</v>
      </c>
      <c r="G15" s="1" t="s">
        <v>29</v>
      </c>
      <c r="H15" s="1" t="s">
        <v>48</v>
      </c>
      <c r="I15" s="1">
        <v>2</v>
      </c>
      <c r="J15" s="1" t="s">
        <v>61</v>
      </c>
      <c r="K15" s="1">
        <v>-22.089852438213072</v>
      </c>
      <c r="L15" s="1">
        <v>0.18977295444631392</v>
      </c>
    </row>
    <row r="16" spans="1:14" x14ac:dyDescent="0.25">
      <c r="A16" s="1" t="s">
        <v>64</v>
      </c>
      <c r="D16" s="1">
        <v>8.4991936649830144E-12</v>
      </c>
      <c r="E16" s="1" t="s">
        <v>49</v>
      </c>
      <c r="F16" s="1" t="s">
        <v>28</v>
      </c>
      <c r="G16" s="1" t="s">
        <v>29</v>
      </c>
      <c r="H16" s="1" t="s">
        <v>48</v>
      </c>
      <c r="I16" s="1">
        <v>2</v>
      </c>
      <c r="J16" s="1" t="s">
        <v>62</v>
      </c>
      <c r="K16" s="1">
        <v>-25.491049819875226</v>
      </c>
      <c r="L16" s="1">
        <v>5.2655713531501343E-2</v>
      </c>
    </row>
    <row r="17" spans="1:14" ht="14.1" customHeight="1" x14ac:dyDescent="0.25">
      <c r="A17" s="1" t="s">
        <v>50</v>
      </c>
      <c r="D17" s="1">
        <v>8.4991936649830144E-12</v>
      </c>
      <c r="E17" s="1" t="s">
        <v>49</v>
      </c>
      <c r="F17" s="1" t="s">
        <v>28</v>
      </c>
      <c r="G17" s="1" t="s">
        <v>29</v>
      </c>
      <c r="H17" s="1" t="s">
        <v>48</v>
      </c>
      <c r="I17" s="1">
        <v>2</v>
      </c>
      <c r="J17" s="1" t="s">
        <v>62</v>
      </c>
      <c r="K17" s="1">
        <v>-25.491049819875226</v>
      </c>
      <c r="L17" s="1">
        <v>5.2655713531501343E-2</v>
      </c>
    </row>
    <row r="18" spans="1:14" s="5" customFormat="1" x14ac:dyDescent="0.25"/>
    <row r="19" spans="1:14" x14ac:dyDescent="0.25">
      <c r="A19" s="2" t="s">
        <v>0</v>
      </c>
      <c r="B19" s="2" t="s">
        <v>102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39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2" t="s">
        <v>9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10</v>
      </c>
      <c r="G26" s="2" t="s">
        <v>11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16</v>
      </c>
      <c r="M26" s="2" t="s">
        <v>17</v>
      </c>
      <c r="N26" s="2" t="s">
        <v>18</v>
      </c>
    </row>
    <row r="27" spans="1:14" x14ac:dyDescent="0.25">
      <c r="A27" s="1" t="str">
        <f>B19</f>
        <v>[P] Battery-grade Li carbonate (Li2CO3) production (Salar del Hombre Muerto)</v>
      </c>
      <c r="B27" s="1" t="str">
        <f>B20</f>
        <v>Battery-grade Li2CO3</v>
      </c>
      <c r="C27" s="1" t="str">
        <f>B21</f>
        <v>AR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81</v>
      </c>
      <c r="B28" s="1" t="s">
        <v>51</v>
      </c>
      <c r="C28" s="1" t="s">
        <v>25</v>
      </c>
      <c r="D28" s="1">
        <v>2.4705882352941182</v>
      </c>
      <c r="E28" s="1" t="s">
        <v>21</v>
      </c>
      <c r="F28" s="1" t="s">
        <v>22</v>
      </c>
      <c r="G28" s="1" t="s">
        <v>23</v>
      </c>
      <c r="I28" s="1">
        <v>2</v>
      </c>
      <c r="J28" s="1" t="s">
        <v>67</v>
      </c>
      <c r="K28" s="1">
        <v>0.90445627422715247</v>
      </c>
      <c r="L28" s="1">
        <v>0.90664754423415661</v>
      </c>
    </row>
    <row r="29" spans="1:14" x14ac:dyDescent="0.25">
      <c r="A29" s="1" t="s">
        <v>95</v>
      </c>
      <c r="B29" s="1" t="s">
        <v>41</v>
      </c>
      <c r="C29" s="1" t="s">
        <v>39</v>
      </c>
      <c r="D29" s="1">
        <v>0.3</v>
      </c>
      <c r="E29" s="1" t="s">
        <v>24</v>
      </c>
      <c r="F29" s="1" t="s">
        <v>22</v>
      </c>
      <c r="G29" s="1" t="s">
        <v>23</v>
      </c>
      <c r="I29" s="1">
        <v>2</v>
      </c>
      <c r="J29" s="1" t="s">
        <v>67</v>
      </c>
      <c r="K29" s="1">
        <v>-1.2039728043259361</v>
      </c>
      <c r="L29" s="1">
        <v>0.90664754423415661</v>
      </c>
    </row>
    <row r="30" spans="1:14" x14ac:dyDescent="0.25">
      <c r="A30" s="1" t="s">
        <v>95</v>
      </c>
      <c r="B30" s="1" t="s">
        <v>41</v>
      </c>
      <c r="C30" s="1" t="s">
        <v>39</v>
      </c>
      <c r="D30" s="1">
        <v>1.4999999999999999E-2</v>
      </c>
      <c r="E30" s="1" t="s">
        <v>24</v>
      </c>
      <c r="F30" s="1" t="s">
        <v>22</v>
      </c>
      <c r="G30" s="1" t="s">
        <v>23</v>
      </c>
      <c r="I30" s="1">
        <v>2</v>
      </c>
      <c r="J30" s="1" t="s">
        <v>89</v>
      </c>
      <c r="K30" s="1">
        <v>-4.6051701859880909</v>
      </c>
      <c r="L30" s="1">
        <v>0.59670428095441808</v>
      </c>
    </row>
    <row r="31" spans="1:14" x14ac:dyDescent="0.25">
      <c r="A31" s="1" t="s">
        <v>103</v>
      </c>
      <c r="B31" s="1" t="s">
        <v>77</v>
      </c>
      <c r="C31" s="1" t="s">
        <v>39</v>
      </c>
      <c r="D31" s="1">
        <v>1.9999999999999996</v>
      </c>
      <c r="E31" s="1" t="s">
        <v>5</v>
      </c>
      <c r="F31" s="4" t="s">
        <v>33</v>
      </c>
      <c r="G31" s="1" t="s">
        <v>23</v>
      </c>
      <c r="I31" s="1">
        <v>2</v>
      </c>
      <c r="J31" s="1" t="s">
        <v>90</v>
      </c>
      <c r="K31" s="1">
        <v>-0.55961578793542277</v>
      </c>
      <c r="L31" s="1">
        <v>0.57755074930753147</v>
      </c>
    </row>
    <row r="32" spans="1:14" x14ac:dyDescent="0.25">
      <c r="A32" s="1" t="s">
        <v>81</v>
      </c>
      <c r="B32" s="1" t="s">
        <v>51</v>
      </c>
      <c r="C32" s="1" t="s">
        <v>25</v>
      </c>
      <c r="D32" s="1">
        <v>0.80053647058823507</v>
      </c>
      <c r="E32" s="1" t="s">
        <v>21</v>
      </c>
      <c r="F32" s="1" t="s">
        <v>22</v>
      </c>
      <c r="G32" s="1" t="s">
        <v>23</v>
      </c>
      <c r="I32" s="1">
        <v>5</v>
      </c>
      <c r="K32" s="1">
        <v>0.22872470588235291</v>
      </c>
      <c r="M32" s="1">
        <v>0.16010729411764704</v>
      </c>
      <c r="N32" s="1">
        <v>0.29734211764705881</v>
      </c>
    </row>
    <row r="33" spans="1:14" x14ac:dyDescent="0.25">
      <c r="A33" s="1" t="s">
        <v>95</v>
      </c>
      <c r="B33" s="1" t="s">
        <v>41</v>
      </c>
      <c r="C33" s="1" t="s">
        <v>39</v>
      </c>
      <c r="D33" s="1">
        <v>1.4999999999999996E-2</v>
      </c>
      <c r="E33" s="1" t="s">
        <v>24</v>
      </c>
      <c r="F33" s="1" t="s">
        <v>22</v>
      </c>
      <c r="G33" s="1" t="s">
        <v>23</v>
      </c>
      <c r="I33" s="1">
        <v>2</v>
      </c>
      <c r="J33" s="1" t="s">
        <v>89</v>
      </c>
      <c r="K33" s="1">
        <v>-4.6051701859880909</v>
      </c>
      <c r="L33" s="1">
        <v>0.59670428095441808</v>
      </c>
    </row>
    <row r="34" spans="1:14" x14ac:dyDescent="0.25">
      <c r="A34" s="1" t="s">
        <v>81</v>
      </c>
      <c r="B34" s="1" t="s">
        <v>51</v>
      </c>
      <c r="C34" s="1" t="s">
        <v>25</v>
      </c>
      <c r="D34" s="1">
        <v>11.474813809336585</v>
      </c>
      <c r="E34" s="1" t="s">
        <v>21</v>
      </c>
      <c r="F34" s="1" t="s">
        <v>22</v>
      </c>
      <c r="G34" s="1" t="s">
        <v>23</v>
      </c>
      <c r="I34" s="1">
        <v>5</v>
      </c>
      <c r="K34" s="1">
        <v>0.42142329738875889</v>
      </c>
      <c r="M34" s="1">
        <v>0.29499630817213118</v>
      </c>
      <c r="N34" s="1">
        <v>0.54785028660538659</v>
      </c>
    </row>
    <row r="35" spans="1:14" x14ac:dyDescent="0.25">
      <c r="A35" s="1" t="s">
        <v>103</v>
      </c>
      <c r="B35" s="1" t="s">
        <v>77</v>
      </c>
      <c r="C35" s="1" t="s">
        <v>39</v>
      </c>
      <c r="D35" s="1">
        <v>27.472527472527474</v>
      </c>
      <c r="E35" s="1" t="s">
        <v>5</v>
      </c>
      <c r="F35" s="4" t="s">
        <v>33</v>
      </c>
      <c r="G35" s="1" t="s">
        <v>23</v>
      </c>
      <c r="I35" s="1">
        <v>5</v>
      </c>
      <c r="K35" s="1">
        <v>0.96487842531840984</v>
      </c>
      <c r="M35" s="1">
        <v>0.67541489772288688</v>
      </c>
      <c r="N35" s="1">
        <v>1.2543419529139328</v>
      </c>
    </row>
    <row r="36" spans="1:14" x14ac:dyDescent="0.25">
      <c r="A36" s="1" t="s">
        <v>103</v>
      </c>
      <c r="B36" s="1" t="s">
        <v>77</v>
      </c>
      <c r="C36" s="1" t="s">
        <v>39</v>
      </c>
      <c r="D36" s="1">
        <v>1.9999999999999996</v>
      </c>
      <c r="E36" s="1" t="s">
        <v>5</v>
      </c>
      <c r="F36" s="4" t="s">
        <v>33</v>
      </c>
      <c r="G36" s="1" t="s">
        <v>23</v>
      </c>
      <c r="I36" s="1">
        <v>2</v>
      </c>
      <c r="J36" s="1" t="s">
        <v>90</v>
      </c>
      <c r="K36" s="1">
        <v>-0.55961578793542277</v>
      </c>
      <c r="L36" s="1">
        <v>0.57755074930753147</v>
      </c>
    </row>
    <row r="37" spans="1:14" x14ac:dyDescent="0.25">
      <c r="A37" s="1" t="s">
        <v>81</v>
      </c>
      <c r="B37" s="1" t="s">
        <v>51</v>
      </c>
      <c r="C37" s="1" t="s">
        <v>25</v>
      </c>
      <c r="D37" s="1">
        <v>0.80053647058823507</v>
      </c>
      <c r="E37" s="1" t="s">
        <v>21</v>
      </c>
      <c r="F37" s="1" t="s">
        <v>22</v>
      </c>
      <c r="G37" s="1" t="s">
        <v>23</v>
      </c>
      <c r="I37" s="1">
        <v>5</v>
      </c>
      <c r="K37" s="1">
        <v>0.22872470588235291</v>
      </c>
      <c r="M37" s="1">
        <v>0.16010729411764704</v>
      </c>
      <c r="N37" s="1">
        <v>0.29734211764705881</v>
      </c>
    </row>
    <row r="38" spans="1:14" x14ac:dyDescent="0.25">
      <c r="A38" s="1" t="s">
        <v>95</v>
      </c>
      <c r="B38" s="1" t="s">
        <v>41</v>
      </c>
      <c r="C38" s="1" t="s">
        <v>39</v>
      </c>
      <c r="D38" s="1">
        <v>0.15275386771789601</v>
      </c>
      <c r="E38" s="1" t="s">
        <v>24</v>
      </c>
      <c r="F38" s="1" t="s">
        <v>22</v>
      </c>
      <c r="G38" s="1" t="s">
        <v>23</v>
      </c>
      <c r="I38" s="1">
        <v>2</v>
      </c>
      <c r="J38" s="1" t="s">
        <v>89</v>
      </c>
      <c r="K38" s="1">
        <v>-2.2843924687837327</v>
      </c>
      <c r="L38" s="1">
        <v>0.59670428095441808</v>
      </c>
    </row>
    <row r="39" spans="1:14" x14ac:dyDescent="0.25">
      <c r="A39" s="1" t="s">
        <v>81</v>
      </c>
      <c r="B39" s="1" t="s">
        <v>51</v>
      </c>
      <c r="C39" s="1" t="s">
        <v>25</v>
      </c>
      <c r="D39" s="1">
        <v>2.6392634490571907</v>
      </c>
      <c r="E39" s="1" t="s">
        <v>21</v>
      </c>
      <c r="F39" s="1" t="s">
        <v>22</v>
      </c>
      <c r="G39" s="1" t="s">
        <v>23</v>
      </c>
      <c r="I39" s="1">
        <v>5</v>
      </c>
      <c r="K39" s="1">
        <v>8.2346326071306916E-2</v>
      </c>
      <c r="M39" s="1">
        <v>5.7642428249914834E-2</v>
      </c>
      <c r="N39" s="1">
        <v>0.107050223892699</v>
      </c>
    </row>
    <row r="40" spans="1:14" x14ac:dyDescent="0.25">
      <c r="A40" s="1" t="s">
        <v>72</v>
      </c>
      <c r="B40" s="1" t="s">
        <v>73</v>
      </c>
      <c r="C40" s="1" t="s">
        <v>25</v>
      </c>
      <c r="D40" s="1">
        <v>1.5938236850969627</v>
      </c>
      <c r="E40" s="1" t="s">
        <v>5</v>
      </c>
      <c r="F40" s="1" t="s">
        <v>22</v>
      </c>
      <c r="G40" s="1" t="s">
        <v>23</v>
      </c>
      <c r="I40" s="1">
        <v>5</v>
      </c>
      <c r="K40" s="1">
        <v>4.9728087933036992E-2</v>
      </c>
      <c r="M40" s="1">
        <v>3.4809661553125891E-2</v>
      </c>
      <c r="N40" s="1">
        <v>6.4646514312948086E-2</v>
      </c>
    </row>
    <row r="41" spans="1:14" x14ac:dyDescent="0.25">
      <c r="A41" s="1" t="s">
        <v>103</v>
      </c>
      <c r="B41" s="1" t="s">
        <v>77</v>
      </c>
      <c r="C41" s="1" t="s">
        <v>39</v>
      </c>
      <c r="D41" s="1">
        <v>7.9691184254848144</v>
      </c>
      <c r="E41" s="1" t="s">
        <v>5</v>
      </c>
      <c r="F41" s="4" t="s">
        <v>33</v>
      </c>
      <c r="G41" s="1" t="s">
        <v>23</v>
      </c>
      <c r="I41" s="1">
        <v>5</v>
      </c>
      <c r="K41" s="1">
        <v>0.24864043966518501</v>
      </c>
      <c r="M41" s="1">
        <v>0.17404830776562949</v>
      </c>
      <c r="N41" s="1">
        <v>0.3232325715647405</v>
      </c>
    </row>
    <row r="42" spans="1:14" x14ac:dyDescent="0.25">
      <c r="A42" s="1" t="s">
        <v>95</v>
      </c>
      <c r="B42" s="1" t="s">
        <v>41</v>
      </c>
      <c r="C42" s="1" t="s">
        <v>39</v>
      </c>
      <c r="D42" s="1">
        <v>6.8110982589043129E-4</v>
      </c>
      <c r="E42" s="1" t="s">
        <v>24</v>
      </c>
      <c r="F42" s="1" t="s">
        <v>22</v>
      </c>
      <c r="G42" s="1" t="s">
        <v>23</v>
      </c>
      <c r="I42" s="1">
        <v>2</v>
      </c>
      <c r="J42" s="1" t="s">
        <v>89</v>
      </c>
      <c r="K42" s="1">
        <v>-10.439328274602543</v>
      </c>
      <c r="L42" s="1">
        <v>0.59670428095441808</v>
      </c>
    </row>
    <row r="43" spans="1:14" x14ac:dyDescent="0.25">
      <c r="A43" s="1" t="s">
        <v>72</v>
      </c>
      <c r="B43" s="1" t="s">
        <v>73</v>
      </c>
      <c r="C43" s="1" t="s">
        <v>25</v>
      </c>
      <c r="D43" s="1">
        <v>3.9467795429935948E-2</v>
      </c>
      <c r="E43" s="1" t="s">
        <v>5</v>
      </c>
      <c r="F43" s="1" t="s">
        <v>22</v>
      </c>
      <c r="G43" s="1" t="s">
        <v>23</v>
      </c>
      <c r="I43" s="1">
        <v>5</v>
      </c>
      <c r="K43" s="1">
        <v>1.69049627389967E-3</v>
      </c>
      <c r="M43" s="1">
        <v>1.5214466465097031E-3</v>
      </c>
      <c r="N43" s="1">
        <v>1.8595459012896371E-3</v>
      </c>
    </row>
    <row r="44" spans="1:14" x14ac:dyDescent="0.25">
      <c r="A44" s="1" t="s">
        <v>103</v>
      </c>
      <c r="B44" s="1" t="s">
        <v>77</v>
      </c>
      <c r="C44" s="1" t="s">
        <v>39</v>
      </c>
      <c r="D44" s="1">
        <v>0.15787118171974374</v>
      </c>
      <c r="E44" s="1" t="s">
        <v>5</v>
      </c>
      <c r="F44" s="4" t="s">
        <v>33</v>
      </c>
      <c r="G44" s="1" t="s">
        <v>23</v>
      </c>
      <c r="I44" s="1">
        <v>5</v>
      </c>
      <c r="K44" s="1">
        <v>6.7619850955986781E-3</v>
      </c>
      <c r="M44" s="1">
        <v>6.0857865860388105E-3</v>
      </c>
      <c r="N44" s="1">
        <v>7.4381836051585467E-3</v>
      </c>
    </row>
    <row r="45" spans="1:14" x14ac:dyDescent="0.25">
      <c r="A45" s="1" t="s">
        <v>95</v>
      </c>
      <c r="B45" s="1" t="s">
        <v>41</v>
      </c>
      <c r="C45" s="1" t="s">
        <v>39</v>
      </c>
      <c r="D45" s="1">
        <v>2.499643238359155E-2</v>
      </c>
      <c r="E45" s="1" t="s">
        <v>24</v>
      </c>
      <c r="F45" s="1" t="s">
        <v>22</v>
      </c>
      <c r="G45" s="1" t="s">
        <v>23</v>
      </c>
      <c r="I45" s="1">
        <v>2</v>
      </c>
      <c r="J45" s="1" t="s">
        <v>89</v>
      </c>
      <c r="K45" s="1">
        <v>-6.8327001128196398</v>
      </c>
      <c r="L45" s="1">
        <v>0.59670428095441808</v>
      </c>
    </row>
    <row r="46" spans="1:14" x14ac:dyDescent="0.25">
      <c r="A46" s="1" t="s">
        <v>52</v>
      </c>
      <c r="B46" s="1" t="s">
        <v>53</v>
      </c>
      <c r="C46" s="1" t="s">
        <v>25</v>
      </c>
      <c r="D46" s="1">
        <v>0.87203274210725013</v>
      </c>
      <c r="E46" s="1" t="s">
        <v>5</v>
      </c>
      <c r="F46" s="1" t="s">
        <v>22</v>
      </c>
      <c r="G46" s="1" t="s">
        <v>23</v>
      </c>
      <c r="I46" s="1">
        <v>5</v>
      </c>
      <c r="K46" s="1">
        <v>3.7605451539022561E-2</v>
      </c>
      <c r="M46" s="1">
        <v>1.880272576951128E-2</v>
      </c>
      <c r="N46" s="1">
        <v>5.6408177308533841E-2</v>
      </c>
    </row>
    <row r="47" spans="1:14" x14ac:dyDescent="0.25">
      <c r="A47" s="1" t="s">
        <v>96</v>
      </c>
      <c r="B47" s="1" t="s">
        <v>104</v>
      </c>
      <c r="C47" s="1" t="s">
        <v>39</v>
      </c>
      <c r="D47" s="1">
        <v>0.69057309475906592</v>
      </c>
      <c r="E47" s="1" t="s">
        <v>5</v>
      </c>
      <c r="F47" s="4" t="s">
        <v>33</v>
      </c>
      <c r="G47" s="1" t="s">
        <v>23</v>
      </c>
      <c r="I47" s="1">
        <v>5</v>
      </c>
      <c r="K47" s="1">
        <v>2.9780204108346382E-2</v>
      </c>
      <c r="M47" s="1">
        <v>1.4890102054173191E-2</v>
      </c>
      <c r="N47" s="1">
        <v>4.4670306162519574E-2</v>
      </c>
    </row>
    <row r="48" spans="1:14" x14ac:dyDescent="0.25">
      <c r="A48" s="1" t="s">
        <v>97</v>
      </c>
      <c r="B48" s="1" t="s">
        <v>98</v>
      </c>
      <c r="C48" s="1" t="s">
        <v>25</v>
      </c>
      <c r="D48" s="1">
        <v>7.7044449060938838E-2</v>
      </c>
      <c r="E48" s="1" t="s">
        <v>5</v>
      </c>
      <c r="F48" s="1" t="s">
        <v>22</v>
      </c>
      <c r="G48" s="1" t="s">
        <v>23</v>
      </c>
      <c r="I48" s="1">
        <v>5</v>
      </c>
      <c r="K48" s="1">
        <v>3.322457008335008E-3</v>
      </c>
      <c r="M48" s="1">
        <v>1.661228504167504E-3</v>
      </c>
      <c r="N48" s="1">
        <v>4.9836855125025125E-3</v>
      </c>
    </row>
    <row r="49" spans="1:14" x14ac:dyDescent="0.25">
      <c r="A49" s="1" t="s">
        <v>103</v>
      </c>
      <c r="B49" s="1" t="s">
        <v>77</v>
      </c>
      <c r="C49" s="1" t="s">
        <v>39</v>
      </c>
      <c r="D49" s="1">
        <v>0.53822195928180339</v>
      </c>
      <c r="E49" s="1" t="s">
        <v>5</v>
      </c>
      <c r="F49" s="4" t="s">
        <v>33</v>
      </c>
      <c r="G49" s="1" t="s">
        <v>23</v>
      </c>
      <c r="I49" s="1">
        <v>5</v>
      </c>
      <c r="K49" s="1">
        <v>2.321022919173869E-2</v>
      </c>
      <c r="M49" s="1">
        <v>1.1605114595869345E-2</v>
      </c>
      <c r="N49" s="1">
        <v>3.4815343787608033E-2</v>
      </c>
    </row>
    <row r="50" spans="1:14" x14ac:dyDescent="0.25">
      <c r="A50" s="1" t="s">
        <v>95</v>
      </c>
      <c r="B50" s="1" t="s">
        <v>41</v>
      </c>
      <c r="C50" s="1" t="s">
        <v>39</v>
      </c>
      <c r="D50" s="1">
        <v>2.5041324044108432E-2</v>
      </c>
      <c r="E50" s="1" t="s">
        <v>24</v>
      </c>
      <c r="F50" s="1" t="s">
        <v>22</v>
      </c>
      <c r="G50" s="1" t="s">
        <v>23</v>
      </c>
      <c r="I50" s="1">
        <v>2</v>
      </c>
      <c r="J50" s="1" t="s">
        <v>89</v>
      </c>
      <c r="K50" s="1">
        <v>-6.8327001128196398</v>
      </c>
      <c r="L50" s="1">
        <v>0.905936770530121</v>
      </c>
    </row>
    <row r="51" spans="1:14" s="5" customFormat="1" x14ac:dyDescent="0.25"/>
    <row r="52" spans="1:14" x14ac:dyDescent="0.25">
      <c r="A52" s="2" t="s">
        <v>0</v>
      </c>
      <c r="B52" s="2" t="s">
        <v>103</v>
      </c>
    </row>
    <row r="53" spans="1:14" x14ac:dyDescent="0.25">
      <c r="A53" s="3" t="s">
        <v>1</v>
      </c>
      <c r="B53" s="1" t="s">
        <v>77</v>
      </c>
    </row>
    <row r="54" spans="1:14" x14ac:dyDescent="0.25">
      <c r="A54" s="3" t="s">
        <v>2</v>
      </c>
      <c r="B54" s="1" t="s">
        <v>39</v>
      </c>
    </row>
    <row r="55" spans="1:14" x14ac:dyDescent="0.25">
      <c r="A55" s="3" t="s">
        <v>3</v>
      </c>
      <c r="B55" s="1">
        <v>1</v>
      </c>
    </row>
    <row r="56" spans="1:14" x14ac:dyDescent="0.25">
      <c r="A56" s="3" t="s">
        <v>4</v>
      </c>
      <c r="B56" s="1" t="s">
        <v>5</v>
      </c>
    </row>
    <row r="57" spans="1:14" x14ac:dyDescent="0.25">
      <c r="A57" s="3" t="s">
        <v>6</v>
      </c>
      <c r="B57" s="1" t="s">
        <v>7</v>
      </c>
    </row>
    <row r="58" spans="1:14" x14ac:dyDescent="0.25">
      <c r="A58" s="3" t="s">
        <v>8</v>
      </c>
    </row>
    <row r="59" spans="1:14" x14ac:dyDescent="0.25">
      <c r="A59" s="2" t="s">
        <v>9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10</v>
      </c>
      <c r="G59" s="2" t="s">
        <v>11</v>
      </c>
      <c r="H59" s="2" t="s">
        <v>12</v>
      </c>
      <c r="I59" s="2" t="s">
        <v>13</v>
      </c>
      <c r="J59" s="2" t="s">
        <v>14</v>
      </c>
      <c r="K59" s="2" t="s">
        <v>15</v>
      </c>
      <c r="L59" s="2" t="s">
        <v>16</v>
      </c>
      <c r="M59" s="2" t="s">
        <v>17</v>
      </c>
      <c r="N59" s="2" t="s">
        <v>18</v>
      </c>
    </row>
    <row r="60" spans="1:14" x14ac:dyDescent="0.25">
      <c r="A60" s="1" t="str">
        <f>B52</f>
        <v>Water reverse osmosis (Salar del Hombre Muerto)</v>
      </c>
      <c r="B60" s="1" t="str">
        <f>B53</f>
        <v>Water</v>
      </c>
      <c r="C60" s="1" t="str">
        <f>B54</f>
        <v>AR</v>
      </c>
      <c r="D60" s="1">
        <v>1</v>
      </c>
      <c r="E60" s="1" t="s">
        <v>5</v>
      </c>
      <c r="F60" s="4" t="str">
        <f>F27</f>
        <v>Lithium</v>
      </c>
      <c r="G60" s="1" t="s">
        <v>19</v>
      </c>
    </row>
    <row r="61" spans="1:14" x14ac:dyDescent="0.25">
      <c r="A61" s="1" t="s">
        <v>95</v>
      </c>
      <c r="B61" s="1" t="s">
        <v>41</v>
      </c>
      <c r="C61" s="1" t="s">
        <v>39</v>
      </c>
      <c r="D61" s="1">
        <v>3.6029999999999999E-3</v>
      </c>
      <c r="E61" s="1" t="s">
        <v>24</v>
      </c>
      <c r="F61" s="1" t="s">
        <v>22</v>
      </c>
      <c r="G61" s="1" t="s">
        <v>23</v>
      </c>
      <c r="I61" s="1">
        <v>2</v>
      </c>
      <c r="J61" s="1" t="s">
        <v>78</v>
      </c>
      <c r="K61" s="1">
        <v>-5.625988447216181</v>
      </c>
      <c r="L61" s="1">
        <v>0.52269439874826651</v>
      </c>
    </row>
    <row r="62" spans="1:14" x14ac:dyDescent="0.25">
      <c r="A62" s="1" t="s">
        <v>26</v>
      </c>
      <c r="D62" s="1">
        <v>1E-3</v>
      </c>
      <c r="E62" s="1" t="s">
        <v>27</v>
      </c>
      <c r="F62" s="1" t="s">
        <v>28</v>
      </c>
      <c r="G62" s="1" t="s">
        <v>29</v>
      </c>
      <c r="H62" s="1" t="s">
        <v>30</v>
      </c>
      <c r="I62" s="1">
        <v>2</v>
      </c>
      <c r="J62" s="1" t="s">
        <v>78</v>
      </c>
      <c r="K62" s="1">
        <v>-6.9077552789821368</v>
      </c>
      <c r="L62" s="1">
        <v>0.52269439874826651</v>
      </c>
    </row>
    <row r="63" spans="1:14" s="5" customFormat="1" x14ac:dyDescent="0.25"/>
    <row r="64" spans="1:14" x14ac:dyDescent="0.25">
      <c r="A64" s="2" t="s">
        <v>0</v>
      </c>
      <c r="B64" s="2" t="s">
        <v>96</v>
      </c>
    </row>
    <row r="65" spans="1:14" x14ac:dyDescent="0.25">
      <c r="A65" s="3" t="s">
        <v>1</v>
      </c>
      <c r="B65" s="1" t="s">
        <v>104</v>
      </c>
    </row>
    <row r="66" spans="1:14" x14ac:dyDescent="0.25">
      <c r="A66" s="3" t="s">
        <v>2</v>
      </c>
      <c r="B66" s="1" t="s">
        <v>39</v>
      </c>
    </row>
    <row r="67" spans="1:14" x14ac:dyDescent="0.25">
      <c r="A67" s="3" t="s">
        <v>3</v>
      </c>
      <c r="B67" s="1">
        <v>1</v>
      </c>
    </row>
    <row r="68" spans="1:14" x14ac:dyDescent="0.25">
      <c r="A68" s="3" t="s">
        <v>4</v>
      </c>
      <c r="B68" s="1" t="s">
        <v>5</v>
      </c>
    </row>
    <row r="69" spans="1:14" x14ac:dyDescent="0.25">
      <c r="A69" s="3" t="s">
        <v>6</v>
      </c>
      <c r="B69" s="1" t="s">
        <v>7</v>
      </c>
    </row>
    <row r="70" spans="1:14" x14ac:dyDescent="0.25">
      <c r="A70" s="3" t="s">
        <v>8</v>
      </c>
    </row>
    <row r="71" spans="1:14" x14ac:dyDescent="0.25">
      <c r="A71" s="2" t="s">
        <v>9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10</v>
      </c>
      <c r="G71" s="2" t="s">
        <v>11</v>
      </c>
      <c r="H71" s="2" t="s">
        <v>12</v>
      </c>
      <c r="I71" s="2" t="s">
        <v>13</v>
      </c>
      <c r="J71" s="2" t="s">
        <v>14</v>
      </c>
      <c r="K71" s="2" t="s">
        <v>15</v>
      </c>
      <c r="L71" s="2" t="s">
        <v>16</v>
      </c>
      <c r="M71" s="2" t="s">
        <v>17</v>
      </c>
      <c r="N71" s="2" t="s">
        <v>18</v>
      </c>
    </row>
    <row r="72" spans="1:14" x14ac:dyDescent="0.25">
      <c r="A72" s="1" t="str">
        <f>B64</f>
        <v>ESCAID</v>
      </c>
      <c r="B72" s="1" t="str">
        <f>B65</f>
        <v>Organic solvent</v>
      </c>
      <c r="C72" s="1" t="str">
        <f>B66</f>
        <v>AR</v>
      </c>
      <c r="D72" s="1">
        <v>1</v>
      </c>
      <c r="E72" s="1" t="s">
        <v>5</v>
      </c>
      <c r="F72" s="4" t="str">
        <f>F60</f>
        <v>Lithium</v>
      </c>
      <c r="G72" s="1" t="s">
        <v>19</v>
      </c>
    </row>
    <row r="73" spans="1:14" x14ac:dyDescent="0.25">
      <c r="A73" s="1" t="s">
        <v>99</v>
      </c>
      <c r="B73" s="1" t="s">
        <v>100</v>
      </c>
      <c r="C73" s="1" t="s">
        <v>25</v>
      </c>
      <c r="D73" s="1">
        <v>2</v>
      </c>
      <c r="E73" s="1" t="s">
        <v>5</v>
      </c>
      <c r="F73" s="1" t="s">
        <v>22</v>
      </c>
      <c r="G73" s="1" t="s">
        <v>23</v>
      </c>
      <c r="I73" s="1">
        <v>2</v>
      </c>
      <c r="J73" s="1" t="s">
        <v>67</v>
      </c>
      <c r="K73" s="1">
        <v>0.69314718055994529</v>
      </c>
      <c r="L73" s="1">
        <v>0.92281206220477863</v>
      </c>
    </row>
    <row r="74" spans="1:14" s="6" customFormat="1" x14ac:dyDescent="0.25"/>
    <row r="75" spans="1:14" x14ac:dyDescent="0.25">
      <c r="A75" s="2" t="s">
        <v>0</v>
      </c>
      <c r="B75" s="2" t="s">
        <v>105</v>
      </c>
    </row>
    <row r="76" spans="1:14" x14ac:dyDescent="0.25">
      <c r="A76" s="3" t="s">
        <v>1</v>
      </c>
      <c r="B76" s="1" t="s">
        <v>65</v>
      </c>
    </row>
    <row r="77" spans="1:14" x14ac:dyDescent="0.25">
      <c r="A77" s="3" t="s">
        <v>2</v>
      </c>
      <c r="B77" s="1" t="s">
        <v>39</v>
      </c>
    </row>
    <row r="78" spans="1:14" x14ac:dyDescent="0.25">
      <c r="A78" s="3" t="s">
        <v>3</v>
      </c>
      <c r="B78" s="1">
        <v>1</v>
      </c>
    </row>
    <row r="79" spans="1:14" x14ac:dyDescent="0.25">
      <c r="A79" s="3" t="s">
        <v>4</v>
      </c>
      <c r="B79" s="1" t="s">
        <v>5</v>
      </c>
    </row>
    <row r="80" spans="1:14" x14ac:dyDescent="0.25">
      <c r="A80" s="3" t="s">
        <v>6</v>
      </c>
      <c r="B80" s="1" t="s">
        <v>7</v>
      </c>
    </row>
    <row r="81" spans="1:14" x14ac:dyDescent="0.25">
      <c r="A81" s="3" t="s">
        <v>8</v>
      </c>
    </row>
    <row r="82" spans="1:14" x14ac:dyDescent="0.25">
      <c r="A82" s="2" t="s">
        <v>9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  <c r="N82" s="2" t="s">
        <v>18</v>
      </c>
    </row>
    <row r="83" spans="1:14" x14ac:dyDescent="0.25">
      <c r="A83" s="1" t="str">
        <f>B75</f>
        <v>Li2CO3 production in Argentina/Salar del Hombre Muerto</v>
      </c>
      <c r="B83" s="1" t="str">
        <f>B76</f>
        <v>Battery-grade Li2CO3</v>
      </c>
      <c r="C83" s="1" t="str">
        <f>B77</f>
        <v>AR</v>
      </c>
      <c r="D83" s="1">
        <v>1</v>
      </c>
      <c r="E83" s="1" t="s">
        <v>5</v>
      </c>
      <c r="F83" s="4" t="str">
        <f>F27</f>
        <v>Lithium</v>
      </c>
      <c r="G83" s="1" t="s">
        <v>19</v>
      </c>
    </row>
    <row r="84" spans="1:14" x14ac:dyDescent="0.25">
      <c r="A84" s="1" t="str">
        <f>A27</f>
        <v>[P] Battery-grade Li carbonate (Li2CO3) production (Salar del Hombre Muerto)</v>
      </c>
      <c r="B84" s="1" t="str">
        <f>B27</f>
        <v>Battery-grade Li2CO3</v>
      </c>
      <c r="C84" s="1" t="str">
        <f>C27</f>
        <v>AR</v>
      </c>
      <c r="D84" s="1">
        <v>1</v>
      </c>
      <c r="E84" s="1" t="str">
        <f>E27</f>
        <v>kilogram</v>
      </c>
      <c r="F84" s="4" t="str">
        <f>F27</f>
        <v>Lithium</v>
      </c>
      <c r="G84" s="1" t="s">
        <v>23</v>
      </c>
    </row>
    <row r="85" spans="1:14" x14ac:dyDescent="0.25">
      <c r="A85" s="1" t="str">
        <f>A9</f>
        <v>[M+C] Lithium (Li) brine concentration (Salar del Hombre Muerto)</v>
      </c>
      <c r="B85" s="1" t="str">
        <f>B9</f>
        <v>Li brine</v>
      </c>
      <c r="C85" s="1" t="str">
        <f>C9</f>
        <v>AR</v>
      </c>
      <c r="D85" s="1">
        <v>23.230643690149822</v>
      </c>
      <c r="E85" s="1" t="str">
        <f>E9</f>
        <v>kilogram</v>
      </c>
      <c r="F85" s="4" t="str">
        <f>F9</f>
        <v>Lithium</v>
      </c>
      <c r="G85" s="1" t="s">
        <v>23</v>
      </c>
    </row>
    <row r="86" spans="1:14" s="6" customFormat="1" x14ac:dyDescent="0.25"/>
    <row r="87" spans="1:14" x14ac:dyDescent="0.25">
      <c r="A87" s="2" t="s">
        <v>0</v>
      </c>
      <c r="B87" s="2" t="s">
        <v>106</v>
      </c>
    </row>
    <row r="88" spans="1:14" x14ac:dyDescent="0.25">
      <c r="A88" s="3" t="s">
        <v>1</v>
      </c>
      <c r="B88" s="1" t="s">
        <v>76</v>
      </c>
    </row>
    <row r="89" spans="1:14" x14ac:dyDescent="0.25">
      <c r="A89" s="3" t="s">
        <v>2</v>
      </c>
      <c r="B89" s="1" t="s">
        <v>39</v>
      </c>
    </row>
    <row r="90" spans="1:14" x14ac:dyDescent="0.25">
      <c r="A90" s="3" t="s">
        <v>3</v>
      </c>
      <c r="B90" s="1">
        <v>1</v>
      </c>
    </row>
    <row r="91" spans="1:14" x14ac:dyDescent="0.25">
      <c r="A91" s="3" t="s">
        <v>4</v>
      </c>
      <c r="B91" s="1" t="s">
        <v>5</v>
      </c>
    </row>
    <row r="92" spans="1:14" x14ac:dyDescent="0.25">
      <c r="A92" s="3" t="s">
        <v>6</v>
      </c>
      <c r="B92" s="1" t="s">
        <v>38</v>
      </c>
    </row>
    <row r="93" spans="1:14" x14ac:dyDescent="0.25">
      <c r="A93" s="3" t="s">
        <v>8</v>
      </c>
    </row>
    <row r="94" spans="1:14" x14ac:dyDescent="0.25">
      <c r="A94" s="2" t="s">
        <v>9</v>
      </c>
      <c r="B94" s="2" t="s">
        <v>1</v>
      </c>
      <c r="C94" s="2" t="s">
        <v>2</v>
      </c>
      <c r="D94" s="2" t="s">
        <v>3</v>
      </c>
      <c r="E94" s="2" t="s">
        <v>4</v>
      </c>
      <c r="F94" s="2" t="s">
        <v>10</v>
      </c>
      <c r="G94" s="2" t="s">
        <v>11</v>
      </c>
      <c r="H94" s="2" t="s">
        <v>12</v>
      </c>
      <c r="I94" s="2" t="s">
        <v>13</v>
      </c>
      <c r="J94" s="2" t="s">
        <v>14</v>
      </c>
      <c r="K94" s="2" t="s">
        <v>15</v>
      </c>
      <c r="L94" s="2" t="s">
        <v>16</v>
      </c>
      <c r="M94" s="2" t="s">
        <v>17</v>
      </c>
      <c r="N94" s="2" t="s">
        <v>18</v>
      </c>
    </row>
    <row r="95" spans="1:14" x14ac:dyDescent="0.25">
      <c r="A95" s="1" t="str">
        <f>B87</f>
        <v>Li2CO3 production in Argentina/Salar del Hombre Muerto (Li content)</v>
      </c>
      <c r="B95" s="1" t="str">
        <f>B88</f>
        <v>Battery-grade Li2CO3 (Li content)</v>
      </c>
      <c r="C95" s="1" t="str">
        <f>B89</f>
        <v>AR</v>
      </c>
      <c r="D95" s="1">
        <v>1</v>
      </c>
      <c r="E95" s="1" t="s">
        <v>5</v>
      </c>
      <c r="F95" s="4" t="str">
        <f>F83</f>
        <v>Lithium</v>
      </c>
      <c r="G95" s="1" t="s">
        <v>19</v>
      </c>
    </row>
    <row r="96" spans="1:14" x14ac:dyDescent="0.25">
      <c r="A96" s="1" t="str">
        <f>A84</f>
        <v>[P] Battery-grade Li carbonate (Li2CO3) production (Salar del Hombre Muerto)</v>
      </c>
      <c r="B96" s="1" t="str">
        <f t="shared" ref="B96:F97" si="0">B84</f>
        <v>Battery-grade Li2CO3</v>
      </c>
      <c r="C96" s="1" t="str">
        <f t="shared" si="0"/>
        <v>AR</v>
      </c>
      <c r="D96" s="1">
        <v>5.3219797764768497</v>
      </c>
      <c r="E96" s="1" t="str">
        <f t="shared" si="0"/>
        <v>kilogram</v>
      </c>
      <c r="F96" s="4" t="str">
        <f t="shared" si="0"/>
        <v>Lithium</v>
      </c>
      <c r="G96" s="1" t="s">
        <v>23</v>
      </c>
    </row>
    <row r="97" spans="1:7" x14ac:dyDescent="0.25">
      <c r="A97" s="1" t="str">
        <f>A85</f>
        <v>[M+C] Lithium (Li) brine concentration (Salar del Hombre Muerto)</v>
      </c>
      <c r="B97" s="1" t="str">
        <f t="shared" si="0"/>
        <v>Li brine</v>
      </c>
      <c r="C97" s="1" t="str">
        <f t="shared" si="0"/>
        <v>AR</v>
      </c>
      <c r="D97" s="1">
        <v>123.63301591351689</v>
      </c>
      <c r="E97" s="1" t="str">
        <f t="shared" si="0"/>
        <v>kilogram</v>
      </c>
      <c r="F97" s="4" t="str">
        <f t="shared" si="0"/>
        <v>Lithium</v>
      </c>
      <c r="G97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D1F781-2DAC-4C03-B127-AE9F76DA1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49650B-771C-479B-A626-56D20740AF7D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384B8E01-8C38-4B5E-84E8-911B9D5614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Note</vt:lpstr>
      <vt:lpstr>Li_Market_GLO</vt:lpstr>
      <vt:lpstr>PR1_Li2CO3_AR_Cauchari_Brines</vt:lpstr>
      <vt:lpstr>PR2_Li2CO3_CL_Atacama_Brines</vt:lpstr>
      <vt:lpstr>PR3_LiOH_CL_Atacama_Brines</vt:lpstr>
      <vt:lpstr>PR4_Li2CO3_AU_CN_She_Spodumene</vt:lpstr>
      <vt:lpstr>PR5_LiOH_AU_CN_She_Spodumene</vt:lpstr>
      <vt:lpstr>PR6_Li2CO3_CN_Zha</vt:lpstr>
      <vt:lpstr>PR7_Li2CO3_AR_Olaroz_Brines</vt:lpstr>
      <vt:lpstr>PR8_Li2CO3_CN_Chaerhan_Brines</vt:lpstr>
      <vt:lpstr>PR9_Li2CO3_AR_HombreM_Brines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2025-08-19T14:02:43Z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