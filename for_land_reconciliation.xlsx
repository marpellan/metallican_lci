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"/>
    </mc:Choice>
  </mc:AlternateContent>
  <xr:revisionPtr revIDLastSave="33" documentId="8_{51949126-79AD-41FF-882E-1720BEE22D0B}" xr6:coauthVersionLast="47" xr6:coauthVersionMax="47" xr10:uidLastSave="{22CD6B77-691F-4C6E-A778-40D28479D702}"/>
  <bookViews>
    <workbookView xWindow="-28920" yWindow="-705" windowWidth="29040" windowHeight="15720" xr2:uid="{F400EBD0-C473-469A-89A3-A2BDF9B20ED5}"/>
  </bookViews>
  <sheets>
    <sheet name="Feuil1" sheetId="1" r:id="rId1"/>
  </sheets>
  <definedNames>
    <definedName name="_xlnm._FilterDatabase" localSheetId="0" hidden="1">Feuil1!$A$1:$Z$1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" i="1"/>
</calcChain>
</file>

<file path=xl/sharedStrings.xml><?xml version="1.0" encoding="utf-8"?>
<sst xmlns="http://schemas.openxmlformats.org/spreadsheetml/2006/main" count="565" uniqueCount="156">
  <si>
    <t>env_id</t>
  </si>
  <si>
    <t>year</t>
  </si>
  <si>
    <t>compartment_name</t>
  </si>
  <si>
    <t>substance_id</t>
  </si>
  <si>
    <t>flow_direction</t>
  </si>
  <si>
    <t>release_pathway</t>
  </si>
  <si>
    <t>unit</t>
  </si>
  <si>
    <t>value</t>
  </si>
  <si>
    <t>comment</t>
  </si>
  <si>
    <t>main_id</t>
  </si>
  <si>
    <t>facility_group_id</t>
  </si>
  <si>
    <t>company_id</t>
  </si>
  <si>
    <t>source_id</t>
  </si>
  <si>
    <t>value_tonnes_main</t>
  </si>
  <si>
    <t>value_tonnes_group</t>
  </si>
  <si>
    <t>value_tonnes_match</t>
  </si>
  <si>
    <t>value_normalized</t>
  </si>
  <si>
    <t>normalization_key</t>
  </si>
  <si>
    <t>unit_normalized</t>
  </si>
  <si>
    <t>facility_name</t>
  </si>
  <si>
    <t>facility_group_name</t>
  </si>
  <si>
    <t>mining_processing_type</t>
  </si>
  <si>
    <t>commodities</t>
  </si>
  <si>
    <t>ENV-e7e6a960-2023-7</t>
  </si>
  <si>
    <t>Land</t>
  </si>
  <si>
    <t>Occupation and transformation</t>
  </si>
  <si>
    <t>ha</t>
  </si>
  <si>
    <t>Total area of site</t>
  </si>
  <si>
    <t>QC-MAIN-e7e6a960</t>
  </si>
  <si>
    <t>CMP-6265c407</t>
  </si>
  <si>
    <t>SRC_AgnicoEagleMinesLimited_2023-Sustainability-Performance_data</t>
  </si>
  <si>
    <t>ha/t</t>
  </si>
  <si>
    <t>Canadian Malartic</t>
  </si>
  <si>
    <t>Open-pit, concentrator</t>
  </si>
  <si>
    <t>Gold, silver</t>
  </si>
  <si>
    <t>ENV-e7e6a960-2023-8</t>
  </si>
  <si>
    <t>Site area physically disturbed by mine-related activity</t>
  </si>
  <si>
    <t>ENV-e7e6a960-2023-9</t>
  </si>
  <si>
    <t>Site area currently undisturbed</t>
  </si>
  <si>
    <t>ENV-aeafbb59-2023-7</t>
  </si>
  <si>
    <t>ON-MAIN-aeafbb59</t>
  </si>
  <si>
    <t>Detour Lake</t>
  </si>
  <si>
    <t>Gold</t>
  </si>
  <si>
    <t>ENV-aeafbb59-2023-8</t>
  </si>
  <si>
    <t>ENV-aeafbb59-2023-9</t>
  </si>
  <si>
    <t>ENV-c0660aec-2023-7</t>
  </si>
  <si>
    <t>QC-MAIN-c0660aec</t>
  </si>
  <si>
    <t>Goldex</t>
  </si>
  <si>
    <t>Underground, concentrator</t>
  </si>
  <si>
    <t>ENV-c0660aec-2023-8</t>
  </si>
  <si>
    <t>ENV-c0660aec-2023-9</t>
  </si>
  <si>
    <t>ENV-e51eda66-2023-7</t>
  </si>
  <si>
    <t>QC-MAIN-e51eda66</t>
  </si>
  <si>
    <t>LaRonde</t>
  </si>
  <si>
    <t>Gold, zinc, copper, silver, cadmium</t>
  </si>
  <si>
    <t>ENV-e51eda66-2023-8</t>
  </si>
  <si>
    <t>ENV-e51eda66-2023-9</t>
  </si>
  <si>
    <t>ENV-1f126a43-2023-7</t>
  </si>
  <si>
    <t>ON-MAIN-1f126a43</t>
  </si>
  <si>
    <t>Macassa</t>
  </si>
  <si>
    <t>ENV-1f126a43-2023-8</t>
  </si>
  <si>
    <t>ENV-1f126a43-2023-9</t>
  </si>
  <si>
    <t>ENV-GRP-0a2c0d69-2023-7</t>
  </si>
  <si>
    <t>GRP-0a2c0d69</t>
  </si>
  <si>
    <t>Meadowbank</t>
  </si>
  <si>
    <t>Meadowbank complex</t>
  </si>
  <si>
    <t>Concentrator</t>
  </si>
  <si>
    <t>ENV-GRP-0a2c0d69-2023-8</t>
  </si>
  <si>
    <t>ENV-GRP-0a2c0d69-2023-9</t>
  </si>
  <si>
    <t>ENV-8b0264c9-2023-7</t>
  </si>
  <si>
    <t>NU-MAIN-8b0264c9</t>
  </si>
  <si>
    <t>Meliadine</t>
  </si>
  <si>
    <t>Open-pit, underground, concentrator</t>
  </si>
  <si>
    <t>ENV-8b0264c9-2023-8</t>
  </si>
  <si>
    <t>ENV-8b0264c9-2023-9</t>
  </si>
  <si>
    <t>ENV-687b8c8d-2023-21</t>
  </si>
  <si>
    <t>Size of operation</t>
  </si>
  <si>
    <t>ON-MAIN-687b8c8d</t>
  </si>
  <si>
    <t>CMP-3a4ccc7f</t>
  </si>
  <si>
    <t>SRC_AlamosGoldInc_Data_2023</t>
  </si>
  <si>
    <t>Island</t>
  </si>
  <si>
    <t>ENV-687b8c8d-2023-22</t>
  </si>
  <si>
    <t>Total disturbed land not rehabilitated</t>
  </si>
  <si>
    <t>ENV-7607a50e-2023-18</t>
  </si>
  <si>
    <t>ON-MAIN-7607a50e</t>
  </si>
  <si>
    <t>Young-Davidson</t>
  </si>
  <si>
    <t>ENV-7607a50e-2023-19</t>
  </si>
  <si>
    <t>ENV-5154702a-2023-4</t>
  </si>
  <si>
    <t>Total footprint</t>
  </si>
  <si>
    <t>NU-MAIN-5154702a</t>
  </si>
  <si>
    <t>CMP-84fc7d46</t>
  </si>
  <si>
    <t>SRC_BaffinlandIronMinesCorporation_AR_2023</t>
  </si>
  <si>
    <t>Mary River</t>
  </si>
  <si>
    <t>Open-pit</t>
  </si>
  <si>
    <t>Iron</t>
  </si>
  <si>
    <t>ENV-f9e41c2a-2023-6</t>
  </si>
  <si>
    <t>Total land disturbed and not yet rehabilitated</t>
  </si>
  <si>
    <t>QC-MAIN-f9e41c2a</t>
  </si>
  <si>
    <t>CMP-64d60fd7</t>
  </si>
  <si>
    <t>SRC_EldoradoGold_ESG_2023</t>
  </si>
  <si>
    <t>Lamaque</t>
  </si>
  <si>
    <t>ENV-GRP-a13779f8-2023-4</t>
  </si>
  <si>
    <t>Land use|mineral tenure</t>
  </si>
  <si>
    <t>GRP-a13779f8</t>
  </si>
  <si>
    <t>CMP-12afc634</t>
  </si>
  <si>
    <t>SRC_HudbayMineralsInc_Hudbay-2023-Integrated-Annual-Report-Performance-Data</t>
  </si>
  <si>
    <t>Stall Lake</t>
  </si>
  <si>
    <t>Snow Lake</t>
  </si>
  <si>
    <t>Gold, zinc</t>
  </si>
  <si>
    <t>ENV-GRP-a13779f8-2023-5</t>
  </si>
  <si>
    <t>Land use|surface rights</t>
  </si>
  <si>
    <t>ENV-GRP-a13779f8-2023-6</t>
  </si>
  <si>
    <t>Land use|disturbed land</t>
  </si>
  <si>
    <t>ENV-02884fb5-2023-12</t>
  </si>
  <si>
    <t>QC-MAIN-02884fb5</t>
  </si>
  <si>
    <t>CMP-3d0a95b7</t>
  </si>
  <si>
    <t>SRC_IAMGOLDCorporation_2023_iamgold-esg-performance-data-final_protected</t>
  </si>
  <si>
    <t>Westwood-Doyon</t>
  </si>
  <si>
    <t>ENV-a3c56a83-2023-6</t>
  </si>
  <si>
    <t>mining right</t>
  </si>
  <si>
    <t>ON-MAIN-a3c56a83</t>
  </si>
  <si>
    <t>CMP-967076a1</t>
  </si>
  <si>
    <t>SRC_ImpalaCanadaLtd_ESG_2024</t>
  </si>
  <si>
    <t>Lac des Iles</t>
  </si>
  <si>
    <t>Platinum group metals, gold, nickel, copper, cobalt</t>
  </si>
  <si>
    <t>ENV-aa76f6f2-2023-6</t>
  </si>
  <si>
    <t>BC-MAIN-aa76f6f2</t>
  </si>
  <si>
    <t>CMP-d94be190</t>
  </si>
  <si>
    <t>SRC_NewGoldInc_2023-New-Gold-ESG-Data-Factbook</t>
  </si>
  <si>
    <t>New Afton</t>
  </si>
  <si>
    <t>Gold, copper, silver</t>
  </si>
  <si>
    <t>ENV-0aadf28f-2023-6</t>
  </si>
  <si>
    <t>ON-MAIN-0aadf28f</t>
  </si>
  <si>
    <t>Rainy River</t>
  </si>
  <si>
    <t>ENV-6dc537e6-2023-14</t>
  </si>
  <si>
    <t>Total land footprint</t>
  </si>
  <si>
    <t>QC-MAIN-6dc537e6</t>
  </si>
  <si>
    <t>CMP-4a434d72</t>
  </si>
  <si>
    <t>SRC_NewmontCorporation_Newmont-2023-Performance-Data-Tables-V4-locked</t>
  </si>
  <si>
    <t>Éléonore</t>
  </si>
  <si>
    <t>ENV-fefeaee4-2023-17</t>
  </si>
  <si>
    <t>ON-MAIN-fefeaee4</t>
  </si>
  <si>
    <t>Musselwhite</t>
  </si>
  <si>
    <t>ENV-GRP-0d911886-2023-15</t>
  </si>
  <si>
    <t>GRP-0d911886</t>
  </si>
  <si>
    <t>Hoyle Pond</t>
  </si>
  <si>
    <t>Porcupine complex</t>
  </si>
  <si>
    <t>Underground</t>
  </si>
  <si>
    <t>ENV-GRP-147b3123-2023-11</t>
  </si>
  <si>
    <t>GRP-147b3123</t>
  </si>
  <si>
    <t>CMP-48a36546</t>
  </si>
  <si>
    <t>SRC_PanAmericanSilverCorp_PAS-2023-Sustainability-Performance-Data-Book</t>
  </si>
  <si>
    <t>Timmins West</t>
  </si>
  <si>
    <t>Timmins Operation</t>
  </si>
  <si>
    <t>value_km2</t>
  </si>
  <si>
    <t>valeur_satellite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</si>
</sst>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D6B6-909B-4735-99F8-3E1C60887F61}">
  <dimension ref="A1:Z39"/>
  <sheetViews>
    <sheetView tabSelected="1" topLeftCell="B1" workbookViewId="0">
      <selection activeCell="J33" activeCellId="3" sqref="J15:K15 J20:K20 J24:K24 J33:K33"/>
    </sheetView>
  </sheetViews>
  <sheetFormatPr baseColWidth="10" defaultRowHeight="14.5" x14ac:dyDescent="0.35"/>
  <cols>
    <col min="1" max="1" width="24.36328125" bestFit="1" customWidth="1"/>
    <col min="2" max="2" width="9.08984375" bestFit="1" customWidth="1"/>
    <col min="3" max="3" width="22.7265625" bestFit="1" customWidth="1"/>
    <col min="4" max="4" width="16.7265625" bestFit="1" customWidth="1"/>
    <col min="5" max="5" width="27.90625" bestFit="1" customWidth="1"/>
    <col min="6" max="6" width="19.90625" bestFit="1" customWidth="1"/>
    <col min="7" max="7" width="8.81640625" customWidth="1"/>
    <col min="8" max="8" width="10.08984375" bestFit="1" customWidth="1"/>
    <col min="9" max="9" width="16.6328125" bestFit="1" customWidth="1"/>
    <col min="10" max="11" width="16.6328125" customWidth="1"/>
    <col min="12" max="12" width="46.1796875" bestFit="1" customWidth="1"/>
    <col min="13" max="13" width="17.54296875" bestFit="1" customWidth="1"/>
    <col min="14" max="14" width="19.453125" bestFit="1" customWidth="1"/>
    <col min="15" max="15" width="15.6328125" bestFit="1" customWidth="1"/>
    <col min="16" max="16" width="72.6328125" bestFit="1" customWidth="1"/>
    <col min="17" max="17" width="22.08984375" bestFit="1" customWidth="1"/>
    <col min="18" max="18" width="22.7265625" bestFit="1" customWidth="1"/>
    <col min="19" max="19" width="23.1796875" bestFit="1" customWidth="1"/>
    <col min="20" max="20" width="20.54296875" bestFit="1" customWidth="1"/>
    <col min="21" max="21" width="21.08984375" bestFit="1" customWidth="1"/>
    <col min="22" max="22" width="19.1796875" bestFit="1" customWidth="1"/>
    <col min="23" max="23" width="16.90625" bestFit="1" customWidth="1"/>
    <col min="24" max="24" width="22.7265625" bestFit="1" customWidth="1"/>
    <col min="25" max="25" width="32.453125" bestFit="1" customWidth="1"/>
    <col min="26" max="26" width="44.5429687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154</v>
      </c>
      <c r="K1" s="1" t="s">
        <v>155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s="2" customFormat="1" x14ac:dyDescent="0.35">
      <c r="A2" s="2" t="s">
        <v>23</v>
      </c>
      <c r="B2" s="2">
        <v>2023</v>
      </c>
      <c r="C2" s="2" t="s">
        <v>24</v>
      </c>
      <c r="E2" s="2" t="s">
        <v>25</v>
      </c>
      <c r="G2" s="2" t="s">
        <v>26</v>
      </c>
      <c r="H2" s="2">
        <v>2445</v>
      </c>
      <c r="I2" s="2" t="s">
        <v>32</v>
      </c>
      <c r="J2" s="3">
        <f>H2*0.01</f>
        <v>24.45</v>
      </c>
      <c r="K2">
        <v>19.028718451565801</v>
      </c>
      <c r="L2" s="2" t="s">
        <v>27</v>
      </c>
      <c r="M2" s="2" t="s">
        <v>28</v>
      </c>
      <c r="O2" s="2" t="s">
        <v>29</v>
      </c>
      <c r="P2" s="2" t="s">
        <v>30</v>
      </c>
      <c r="Q2" s="2">
        <v>19594928</v>
      </c>
      <c r="S2" s="2">
        <v>19594928</v>
      </c>
      <c r="T2" s="2">
        <v>1.247771872394734E-4</v>
      </c>
      <c r="U2" s="2" t="s">
        <v>9</v>
      </c>
      <c r="V2" s="2" t="s">
        <v>31</v>
      </c>
      <c r="W2" s="2" t="s">
        <v>32</v>
      </c>
      <c r="Y2" s="2" t="s">
        <v>33</v>
      </c>
      <c r="Z2" s="2" t="s">
        <v>34</v>
      </c>
    </row>
    <row r="3" spans="1:26" x14ac:dyDescent="0.35">
      <c r="A3" t="s">
        <v>35</v>
      </c>
      <c r="B3">
        <v>2023</v>
      </c>
      <c r="C3" t="s">
        <v>24</v>
      </c>
      <c r="E3" t="s">
        <v>25</v>
      </c>
      <c r="G3" t="s">
        <v>26</v>
      </c>
      <c r="H3">
        <v>2074</v>
      </c>
      <c r="I3" t="s">
        <v>32</v>
      </c>
      <c r="J3" s="3">
        <f t="shared" ref="J3:J39" si="0">H3*0.01</f>
        <v>20.740000000000002</v>
      </c>
      <c r="L3" t="s">
        <v>36</v>
      </c>
      <c r="M3" t="s">
        <v>28</v>
      </c>
      <c r="O3" t="s">
        <v>29</v>
      </c>
      <c r="P3" t="s">
        <v>30</v>
      </c>
      <c r="Q3">
        <v>19594928</v>
      </c>
      <c r="S3">
        <v>19594928</v>
      </c>
      <c r="T3">
        <v>1.058437162922977E-4</v>
      </c>
      <c r="U3" t="s">
        <v>9</v>
      </c>
      <c r="V3" t="s">
        <v>31</v>
      </c>
      <c r="W3" t="s">
        <v>32</v>
      </c>
      <c r="Y3" t="s">
        <v>33</v>
      </c>
      <c r="Z3" t="s">
        <v>34</v>
      </c>
    </row>
    <row r="4" spans="1:26" x14ac:dyDescent="0.35">
      <c r="A4" t="s">
        <v>37</v>
      </c>
      <c r="B4">
        <v>2023</v>
      </c>
      <c r="C4" t="s">
        <v>24</v>
      </c>
      <c r="E4" t="s">
        <v>25</v>
      </c>
      <c r="G4" t="s">
        <v>26</v>
      </c>
      <c r="H4">
        <v>371</v>
      </c>
      <c r="I4" t="s">
        <v>32</v>
      </c>
      <c r="J4" s="3">
        <f t="shared" si="0"/>
        <v>3.71</v>
      </c>
      <c r="L4" t="s">
        <v>38</v>
      </c>
      <c r="M4" t="s">
        <v>28</v>
      </c>
      <c r="O4" t="s">
        <v>29</v>
      </c>
      <c r="P4" t="s">
        <v>30</v>
      </c>
      <c r="Q4">
        <v>19594928</v>
      </c>
      <c r="S4">
        <v>19594928</v>
      </c>
      <c r="T4">
        <v>1.893347094717572E-5</v>
      </c>
      <c r="U4" t="s">
        <v>9</v>
      </c>
      <c r="V4" t="s">
        <v>31</v>
      </c>
      <c r="W4" t="s">
        <v>32</v>
      </c>
      <c r="Y4" t="s">
        <v>33</v>
      </c>
      <c r="Z4" t="s">
        <v>34</v>
      </c>
    </row>
    <row r="5" spans="1:26" s="2" customFormat="1" x14ac:dyDescent="0.35">
      <c r="A5" s="2" t="s">
        <v>39</v>
      </c>
      <c r="B5" s="2">
        <v>2023</v>
      </c>
      <c r="C5" s="2" t="s">
        <v>24</v>
      </c>
      <c r="E5" s="2" t="s">
        <v>25</v>
      </c>
      <c r="G5" s="2" t="s">
        <v>26</v>
      </c>
      <c r="H5" s="2">
        <v>64093</v>
      </c>
      <c r="I5" s="2" t="s">
        <v>41</v>
      </c>
      <c r="J5" s="4">
        <f t="shared" si="0"/>
        <v>640.93000000000006</v>
      </c>
      <c r="K5" s="5">
        <v>10.276967100669291</v>
      </c>
      <c r="L5" s="2" t="s">
        <v>27</v>
      </c>
      <c r="M5" s="2" t="s">
        <v>40</v>
      </c>
      <c r="O5" s="2" t="s">
        <v>29</v>
      </c>
      <c r="P5" s="2" t="s">
        <v>30</v>
      </c>
      <c r="Q5" s="2">
        <v>25434853.502416398</v>
      </c>
      <c r="S5" s="2">
        <v>25434853.502416398</v>
      </c>
      <c r="T5" s="2">
        <v>2.519888702874225E-3</v>
      </c>
      <c r="U5" s="2" t="s">
        <v>9</v>
      </c>
      <c r="V5" s="2" t="s">
        <v>31</v>
      </c>
      <c r="W5" s="2" t="s">
        <v>41</v>
      </c>
      <c r="Y5" s="2" t="s">
        <v>33</v>
      </c>
      <c r="Z5" s="2" t="s">
        <v>42</v>
      </c>
    </row>
    <row r="6" spans="1:26" x14ac:dyDescent="0.35">
      <c r="A6" t="s">
        <v>43</v>
      </c>
      <c r="B6">
        <v>2023</v>
      </c>
      <c r="C6" t="s">
        <v>24</v>
      </c>
      <c r="E6" t="s">
        <v>25</v>
      </c>
      <c r="G6" t="s">
        <v>26</v>
      </c>
      <c r="H6">
        <v>3399</v>
      </c>
      <c r="I6" t="s">
        <v>41</v>
      </c>
      <c r="J6" s="3">
        <f t="shared" si="0"/>
        <v>33.99</v>
      </c>
      <c r="L6" t="s">
        <v>36</v>
      </c>
      <c r="M6" t="s">
        <v>40</v>
      </c>
      <c r="O6" t="s">
        <v>29</v>
      </c>
      <c r="P6" t="s">
        <v>30</v>
      </c>
      <c r="Q6">
        <v>25434853.502416398</v>
      </c>
      <c r="S6">
        <v>25434853.502416398</v>
      </c>
      <c r="T6">
        <v>1.3363552495700761E-4</v>
      </c>
      <c r="U6" t="s">
        <v>9</v>
      </c>
      <c r="V6" t="s">
        <v>31</v>
      </c>
      <c r="W6" t="s">
        <v>41</v>
      </c>
      <c r="Y6" t="s">
        <v>33</v>
      </c>
      <c r="Z6" t="s">
        <v>42</v>
      </c>
    </row>
    <row r="7" spans="1:26" x14ac:dyDescent="0.35">
      <c r="A7" t="s">
        <v>44</v>
      </c>
      <c r="B7">
        <v>2023</v>
      </c>
      <c r="C7" t="s">
        <v>24</v>
      </c>
      <c r="E7" t="s">
        <v>25</v>
      </c>
      <c r="G7" t="s">
        <v>26</v>
      </c>
      <c r="H7">
        <v>60694</v>
      </c>
      <c r="I7" t="s">
        <v>41</v>
      </c>
      <c r="J7" s="3">
        <f t="shared" si="0"/>
        <v>606.94000000000005</v>
      </c>
      <c r="L7" t="s">
        <v>38</v>
      </c>
      <c r="M7" t="s">
        <v>40</v>
      </c>
      <c r="O7" t="s">
        <v>29</v>
      </c>
      <c r="P7" t="s">
        <v>30</v>
      </c>
      <c r="Q7">
        <v>25434853.502416398</v>
      </c>
      <c r="S7">
        <v>25434853.502416398</v>
      </c>
      <c r="T7">
        <v>2.3862531779172171E-3</v>
      </c>
      <c r="U7" t="s">
        <v>9</v>
      </c>
      <c r="V7" t="s">
        <v>31</v>
      </c>
      <c r="W7" t="s">
        <v>41</v>
      </c>
      <c r="Y7" t="s">
        <v>33</v>
      </c>
      <c r="Z7" t="s">
        <v>42</v>
      </c>
    </row>
    <row r="8" spans="1:26" s="2" customFormat="1" x14ac:dyDescent="0.35">
      <c r="A8" s="2" t="s">
        <v>134</v>
      </c>
      <c r="B8" s="2">
        <v>2023</v>
      </c>
      <c r="C8" s="2" t="s">
        <v>24</v>
      </c>
      <c r="E8" s="2" t="s">
        <v>25</v>
      </c>
      <c r="G8" s="2" t="s">
        <v>26</v>
      </c>
      <c r="H8" s="2">
        <v>398.06040000000002</v>
      </c>
      <c r="I8" s="2" t="s">
        <v>139</v>
      </c>
      <c r="J8" s="3">
        <f t="shared" si="0"/>
        <v>3.980604</v>
      </c>
      <c r="K8">
        <v>1.4454919253398539</v>
      </c>
      <c r="L8" s="2" t="s">
        <v>135</v>
      </c>
      <c r="M8" s="2" t="s">
        <v>136</v>
      </c>
      <c r="O8" s="2" t="s">
        <v>137</v>
      </c>
      <c r="P8" s="2" t="s">
        <v>138</v>
      </c>
      <c r="Q8" s="2">
        <v>1661000</v>
      </c>
      <c r="S8" s="2">
        <v>1661000</v>
      </c>
      <c r="T8" s="2">
        <v>2.396510535821794E-4</v>
      </c>
      <c r="U8" s="2" t="s">
        <v>9</v>
      </c>
      <c r="V8" s="2" t="s">
        <v>31</v>
      </c>
      <c r="W8" s="2" t="s">
        <v>139</v>
      </c>
      <c r="Y8" s="2" t="s">
        <v>48</v>
      </c>
      <c r="Z8" s="2" t="s">
        <v>42</v>
      </c>
    </row>
    <row r="9" spans="1:26" x14ac:dyDescent="0.35">
      <c r="A9" s="2" t="s">
        <v>45</v>
      </c>
      <c r="B9" s="2">
        <v>2023</v>
      </c>
      <c r="C9" s="2" t="s">
        <v>24</v>
      </c>
      <c r="D9" s="2"/>
      <c r="E9" s="2" t="s">
        <v>25</v>
      </c>
      <c r="F9" s="2"/>
      <c r="G9" s="2" t="s">
        <v>26</v>
      </c>
      <c r="H9" s="2">
        <v>519</v>
      </c>
      <c r="I9" s="2" t="s">
        <v>47</v>
      </c>
      <c r="J9" s="3">
        <f t="shared" si="0"/>
        <v>5.19</v>
      </c>
      <c r="K9">
        <v>1.34183517078</v>
      </c>
      <c r="L9" s="2" t="s">
        <v>27</v>
      </c>
      <c r="M9" s="2" t="s">
        <v>46</v>
      </c>
      <c r="N9" s="2"/>
      <c r="O9" s="2" t="s">
        <v>29</v>
      </c>
      <c r="P9" s="2" t="s">
        <v>30</v>
      </c>
      <c r="Q9" s="2">
        <v>2886927.3287240001</v>
      </c>
      <c r="R9" s="2"/>
      <c r="S9" s="2">
        <v>2886927.3287240001</v>
      </c>
      <c r="T9" s="2">
        <v>1.7977591428648611E-4</v>
      </c>
      <c r="U9" s="2" t="s">
        <v>9</v>
      </c>
      <c r="V9" s="2" t="s">
        <v>31</v>
      </c>
      <c r="W9" s="2" t="s">
        <v>47</v>
      </c>
      <c r="X9" s="2"/>
      <c r="Y9" s="2" t="s">
        <v>48</v>
      </c>
      <c r="Z9" s="2" t="s">
        <v>34</v>
      </c>
    </row>
    <row r="10" spans="1:26" x14ac:dyDescent="0.35">
      <c r="A10" t="s">
        <v>49</v>
      </c>
      <c r="B10">
        <v>2023</v>
      </c>
      <c r="C10" t="s">
        <v>24</v>
      </c>
      <c r="E10" t="s">
        <v>25</v>
      </c>
      <c r="G10" t="s">
        <v>26</v>
      </c>
      <c r="H10">
        <v>330</v>
      </c>
      <c r="I10" t="s">
        <v>47</v>
      </c>
      <c r="J10" s="3">
        <f t="shared" si="0"/>
        <v>3.3000000000000003</v>
      </c>
      <c r="L10" t="s">
        <v>36</v>
      </c>
      <c r="M10" t="s">
        <v>46</v>
      </c>
      <c r="O10" t="s">
        <v>29</v>
      </c>
      <c r="P10" t="s">
        <v>30</v>
      </c>
      <c r="Q10">
        <v>2886927.3287240001</v>
      </c>
      <c r="S10">
        <v>2886927.3287240001</v>
      </c>
      <c r="T10">
        <v>1.143083848064362E-4</v>
      </c>
      <c r="U10" t="s">
        <v>9</v>
      </c>
      <c r="V10" t="s">
        <v>31</v>
      </c>
      <c r="W10" t="s">
        <v>47</v>
      </c>
      <c r="Y10" t="s">
        <v>48</v>
      </c>
      <c r="Z10" t="s">
        <v>34</v>
      </c>
    </row>
    <row r="11" spans="1:26" s="2" customFormat="1" x14ac:dyDescent="0.35">
      <c r="A11" t="s">
        <v>50</v>
      </c>
      <c r="B11">
        <v>2023</v>
      </c>
      <c r="C11" t="s">
        <v>24</v>
      </c>
      <c r="D11"/>
      <c r="E11" t="s">
        <v>25</v>
      </c>
      <c r="F11"/>
      <c r="G11" t="s">
        <v>26</v>
      </c>
      <c r="H11">
        <v>189</v>
      </c>
      <c r="I11" t="s">
        <v>47</v>
      </c>
      <c r="J11" s="3">
        <f t="shared" si="0"/>
        <v>1.8900000000000001</v>
      </c>
      <c r="K11"/>
      <c r="L11" t="s">
        <v>38</v>
      </c>
      <c r="M11" t="s">
        <v>46</v>
      </c>
      <c r="N11"/>
      <c r="O11" t="s">
        <v>29</v>
      </c>
      <c r="P11" t="s">
        <v>30</v>
      </c>
      <c r="Q11">
        <v>2886927.3287240001</v>
      </c>
      <c r="R11"/>
      <c r="S11">
        <v>2886927.3287240001</v>
      </c>
      <c r="T11">
        <v>6.546752948004984E-5</v>
      </c>
      <c r="U11" t="s">
        <v>9</v>
      </c>
      <c r="V11" t="s">
        <v>31</v>
      </c>
      <c r="W11" t="s">
        <v>47</v>
      </c>
      <c r="X11"/>
      <c r="Y11" t="s">
        <v>48</v>
      </c>
      <c r="Z11" t="s">
        <v>34</v>
      </c>
    </row>
    <row r="12" spans="1:26" x14ac:dyDescent="0.35">
      <c r="A12" s="2" t="s">
        <v>143</v>
      </c>
      <c r="B12" s="2">
        <v>2023</v>
      </c>
      <c r="C12" s="2" t="s">
        <v>24</v>
      </c>
      <c r="D12" s="2"/>
      <c r="E12" s="2" t="s">
        <v>25</v>
      </c>
      <c r="F12" s="2"/>
      <c r="G12" s="2" t="s">
        <v>26</v>
      </c>
      <c r="H12" s="2">
        <v>2784.23</v>
      </c>
      <c r="I12" s="2" t="s">
        <v>145</v>
      </c>
      <c r="J12" s="3">
        <f t="shared" si="0"/>
        <v>27.842300000000002</v>
      </c>
      <c r="K12">
        <v>15.42802065126922</v>
      </c>
      <c r="L12" s="2" t="s">
        <v>135</v>
      </c>
      <c r="M12" s="2"/>
      <c r="N12" s="2" t="s">
        <v>144</v>
      </c>
      <c r="O12" s="2" t="s">
        <v>137</v>
      </c>
      <c r="P12" s="2" t="s">
        <v>138</v>
      </c>
      <c r="Q12" s="2"/>
      <c r="R12" s="2">
        <v>2911000</v>
      </c>
      <c r="S12" s="2">
        <v>2911000</v>
      </c>
      <c r="T12" s="2">
        <v>9.5645139127447612E-4</v>
      </c>
      <c r="U12" s="2" t="s">
        <v>10</v>
      </c>
      <c r="V12" s="2" t="s">
        <v>31</v>
      </c>
      <c r="W12" s="2" t="s">
        <v>145</v>
      </c>
      <c r="X12" s="2" t="s">
        <v>146</v>
      </c>
      <c r="Y12" s="2" t="s">
        <v>147</v>
      </c>
      <c r="Z12" s="2" t="s">
        <v>42</v>
      </c>
    </row>
    <row r="13" spans="1:26" x14ac:dyDescent="0.35">
      <c r="A13" s="2" t="s">
        <v>75</v>
      </c>
      <c r="B13" s="2">
        <v>2023</v>
      </c>
      <c r="C13" s="2" t="s">
        <v>24</v>
      </c>
      <c r="D13" s="2"/>
      <c r="E13" s="2" t="s">
        <v>25</v>
      </c>
      <c r="F13" s="2"/>
      <c r="G13" s="2" t="s">
        <v>26</v>
      </c>
      <c r="H13" s="2">
        <v>1375</v>
      </c>
      <c r="I13" s="2" t="s">
        <v>80</v>
      </c>
      <c r="J13" s="3">
        <f t="shared" si="0"/>
        <v>13.75</v>
      </c>
      <c r="K13" s="2"/>
      <c r="L13" s="2" t="s">
        <v>76</v>
      </c>
      <c r="M13" s="2" t="s">
        <v>77</v>
      </c>
      <c r="N13" s="2"/>
      <c r="O13" s="2" t="s">
        <v>78</v>
      </c>
      <c r="P13" s="2" t="s">
        <v>79</v>
      </c>
      <c r="Q13" s="2">
        <v>439008</v>
      </c>
      <c r="R13" s="2"/>
      <c r="S13" s="2">
        <v>439008</v>
      </c>
      <c r="T13" s="2">
        <v>3.13206137473577E-3</v>
      </c>
      <c r="U13" s="2" t="s">
        <v>9</v>
      </c>
      <c r="V13" s="2" t="s">
        <v>31</v>
      </c>
      <c r="W13" s="2" t="s">
        <v>80</v>
      </c>
      <c r="X13" s="2"/>
      <c r="Y13" s="2" t="s">
        <v>48</v>
      </c>
      <c r="Z13" s="2" t="s">
        <v>42</v>
      </c>
    </row>
    <row r="14" spans="1:26" s="2" customFormat="1" x14ac:dyDescent="0.35">
      <c r="A14" t="s">
        <v>81</v>
      </c>
      <c r="B14">
        <v>2023</v>
      </c>
      <c r="C14" t="s">
        <v>24</v>
      </c>
      <c r="D14"/>
      <c r="E14" t="s">
        <v>25</v>
      </c>
      <c r="F14"/>
      <c r="G14" t="s">
        <v>26</v>
      </c>
      <c r="H14">
        <v>235</v>
      </c>
      <c r="I14" t="s">
        <v>80</v>
      </c>
      <c r="J14" s="3">
        <f t="shared" si="0"/>
        <v>2.35</v>
      </c>
      <c r="K14"/>
      <c r="L14" t="s">
        <v>82</v>
      </c>
      <c r="M14" t="s">
        <v>77</v>
      </c>
      <c r="N14"/>
      <c r="O14" t="s">
        <v>78</v>
      </c>
      <c r="P14" t="s">
        <v>79</v>
      </c>
      <c r="Q14">
        <v>439008</v>
      </c>
      <c r="R14"/>
      <c r="S14">
        <v>439008</v>
      </c>
      <c r="T14">
        <v>5.3529776222756764E-4</v>
      </c>
      <c r="U14" t="s">
        <v>9</v>
      </c>
      <c r="V14" t="s">
        <v>31</v>
      </c>
      <c r="W14" t="s">
        <v>80</v>
      </c>
      <c r="X14"/>
      <c r="Y14" t="s">
        <v>48</v>
      </c>
      <c r="Z14" t="s">
        <v>42</v>
      </c>
    </row>
    <row r="15" spans="1:26" x14ac:dyDescent="0.35">
      <c r="A15" s="2" t="s">
        <v>118</v>
      </c>
      <c r="B15" s="2">
        <v>2023</v>
      </c>
      <c r="C15" s="2" t="s">
        <v>24</v>
      </c>
      <c r="D15" s="2"/>
      <c r="E15" s="2" t="s">
        <v>25</v>
      </c>
      <c r="F15" s="2"/>
      <c r="G15" s="2" t="s">
        <v>26</v>
      </c>
      <c r="H15" s="2">
        <v>6070</v>
      </c>
      <c r="I15" s="2" t="s">
        <v>123</v>
      </c>
      <c r="J15" s="4">
        <f t="shared" si="0"/>
        <v>60.7</v>
      </c>
      <c r="K15" s="5">
        <v>8.4090931265900011</v>
      </c>
      <c r="L15" s="2" t="s">
        <v>119</v>
      </c>
      <c r="M15" s="2" t="s">
        <v>120</v>
      </c>
      <c r="N15" s="2"/>
      <c r="O15" s="2" t="s">
        <v>121</v>
      </c>
      <c r="P15" s="2" t="s">
        <v>122</v>
      </c>
      <c r="Q15" s="2">
        <v>10248000</v>
      </c>
      <c r="R15" s="2"/>
      <c r="S15" s="2">
        <v>10248000</v>
      </c>
      <c r="T15" s="2">
        <v>5.9231069476971114E-4</v>
      </c>
      <c r="U15" s="2" t="s">
        <v>9</v>
      </c>
      <c r="V15" s="2" t="s">
        <v>31</v>
      </c>
      <c r="W15" s="2" t="s">
        <v>123</v>
      </c>
      <c r="X15" s="2"/>
      <c r="Y15" s="2" t="s">
        <v>72</v>
      </c>
      <c r="Z15" s="2" t="s">
        <v>124</v>
      </c>
    </row>
    <row r="16" spans="1:26" x14ac:dyDescent="0.35">
      <c r="A16" t="s">
        <v>95</v>
      </c>
      <c r="B16">
        <v>2023</v>
      </c>
      <c r="C16" t="s">
        <v>24</v>
      </c>
      <c r="E16" t="s">
        <v>25</v>
      </c>
      <c r="G16" t="s">
        <v>26</v>
      </c>
      <c r="H16">
        <v>277.60000000000002</v>
      </c>
      <c r="I16" t="s">
        <v>100</v>
      </c>
      <c r="J16" s="3">
        <f t="shared" si="0"/>
        <v>2.7760000000000002</v>
      </c>
      <c r="K16">
        <v>11.90407993924279</v>
      </c>
      <c r="L16" t="s">
        <v>96</v>
      </c>
      <c r="M16" t="s">
        <v>97</v>
      </c>
      <c r="O16" t="s">
        <v>98</v>
      </c>
      <c r="P16" t="s">
        <v>99</v>
      </c>
      <c r="Q16">
        <v>838419</v>
      </c>
      <c r="S16">
        <v>838419</v>
      </c>
      <c r="T16">
        <v>3.3109936678438819E-4</v>
      </c>
      <c r="U16" t="s">
        <v>9</v>
      </c>
      <c r="V16" t="s">
        <v>31</v>
      </c>
      <c r="W16" t="s">
        <v>100</v>
      </c>
      <c r="Y16" t="s">
        <v>48</v>
      </c>
      <c r="Z16" t="s">
        <v>42</v>
      </c>
    </row>
    <row r="17" spans="1:26" s="2" customFormat="1" x14ac:dyDescent="0.35">
      <c r="A17" s="2" t="s">
        <v>51</v>
      </c>
      <c r="B17" s="2">
        <v>2023</v>
      </c>
      <c r="C17" s="2" t="s">
        <v>24</v>
      </c>
      <c r="E17" s="2" t="s">
        <v>25</v>
      </c>
      <c r="G17" s="2" t="s">
        <v>26</v>
      </c>
      <c r="H17" s="2">
        <v>1367</v>
      </c>
      <c r="I17" s="2" t="s">
        <v>53</v>
      </c>
      <c r="J17" s="3">
        <f t="shared" si="0"/>
        <v>13.67</v>
      </c>
      <c r="K17">
        <v>5.5744239812850003</v>
      </c>
      <c r="L17" s="2" t="s">
        <v>27</v>
      </c>
      <c r="M17" s="2" t="s">
        <v>52</v>
      </c>
      <c r="O17" s="2" t="s">
        <v>29</v>
      </c>
      <c r="P17" s="2" t="s">
        <v>30</v>
      </c>
      <c r="Q17" s="2">
        <v>2658395.96049</v>
      </c>
      <c r="S17" s="2">
        <v>2658395.96049</v>
      </c>
      <c r="T17" s="2">
        <v>5.1421986051620105E-4</v>
      </c>
      <c r="U17" s="2" t="s">
        <v>9</v>
      </c>
      <c r="V17" s="2" t="s">
        <v>31</v>
      </c>
      <c r="W17" s="2" t="s">
        <v>53</v>
      </c>
      <c r="Y17" s="2" t="s">
        <v>48</v>
      </c>
      <c r="Z17" s="2" t="s">
        <v>54</v>
      </c>
    </row>
    <row r="18" spans="1:26" x14ac:dyDescent="0.35">
      <c r="A18" t="s">
        <v>55</v>
      </c>
      <c r="B18">
        <v>2023</v>
      </c>
      <c r="C18" t="s">
        <v>24</v>
      </c>
      <c r="E18" t="s">
        <v>25</v>
      </c>
      <c r="G18" t="s">
        <v>26</v>
      </c>
      <c r="H18">
        <v>608</v>
      </c>
      <c r="I18" t="s">
        <v>53</v>
      </c>
      <c r="J18" s="3">
        <f t="shared" si="0"/>
        <v>6.08</v>
      </c>
      <c r="L18" t="s">
        <v>36</v>
      </c>
      <c r="M18" t="s">
        <v>52</v>
      </c>
      <c r="O18" t="s">
        <v>29</v>
      </c>
      <c r="P18" t="s">
        <v>30</v>
      </c>
      <c r="Q18">
        <v>2658395.96049</v>
      </c>
      <c r="S18">
        <v>2658395.96049</v>
      </c>
      <c r="T18">
        <v>2.2870934542344569E-4</v>
      </c>
      <c r="U18" t="s">
        <v>9</v>
      </c>
      <c r="V18" t="s">
        <v>31</v>
      </c>
      <c r="W18" t="s">
        <v>53</v>
      </c>
      <c r="Y18" t="s">
        <v>48</v>
      </c>
      <c r="Z18" t="s">
        <v>54</v>
      </c>
    </row>
    <row r="19" spans="1:26" x14ac:dyDescent="0.35">
      <c r="A19" t="s">
        <v>56</v>
      </c>
      <c r="B19">
        <v>2023</v>
      </c>
      <c r="C19" t="s">
        <v>24</v>
      </c>
      <c r="E19" t="s">
        <v>25</v>
      </c>
      <c r="G19" t="s">
        <v>26</v>
      </c>
      <c r="H19">
        <v>759</v>
      </c>
      <c r="I19" t="s">
        <v>53</v>
      </c>
      <c r="J19" s="3">
        <f t="shared" si="0"/>
        <v>7.59</v>
      </c>
      <c r="L19" t="s">
        <v>38</v>
      </c>
      <c r="M19" t="s">
        <v>52</v>
      </c>
      <c r="O19" t="s">
        <v>29</v>
      </c>
      <c r="P19" t="s">
        <v>30</v>
      </c>
      <c r="Q19">
        <v>2658395.96049</v>
      </c>
      <c r="S19">
        <v>2658395.96049</v>
      </c>
      <c r="T19">
        <v>2.8551051509275528E-4</v>
      </c>
      <c r="U19" t="s">
        <v>9</v>
      </c>
      <c r="V19" t="s">
        <v>31</v>
      </c>
      <c r="W19" t="s">
        <v>53</v>
      </c>
      <c r="Y19" t="s">
        <v>48</v>
      </c>
      <c r="Z19" t="s">
        <v>54</v>
      </c>
    </row>
    <row r="20" spans="1:26" s="2" customFormat="1" x14ac:dyDescent="0.35">
      <c r="A20" s="2" t="s">
        <v>57</v>
      </c>
      <c r="B20" s="2">
        <v>2023</v>
      </c>
      <c r="C20" s="2" t="s">
        <v>24</v>
      </c>
      <c r="E20" s="2" t="s">
        <v>25</v>
      </c>
      <c r="G20" s="2" t="s">
        <v>26</v>
      </c>
      <c r="H20" s="2">
        <v>4039</v>
      </c>
      <c r="I20" s="2" t="s">
        <v>59</v>
      </c>
      <c r="J20" s="4">
        <f t="shared" si="0"/>
        <v>40.39</v>
      </c>
      <c r="K20" s="5">
        <v>5.8048648944920016</v>
      </c>
      <c r="L20" s="2" t="s">
        <v>27</v>
      </c>
      <c r="M20" s="2" t="s">
        <v>58</v>
      </c>
      <c r="O20" s="2" t="s">
        <v>29</v>
      </c>
      <c r="P20" s="2" t="s">
        <v>30</v>
      </c>
      <c r="Q20" s="2">
        <v>441588</v>
      </c>
      <c r="S20" s="2">
        <v>441588</v>
      </c>
      <c r="T20" s="2">
        <v>9.1465347790247922E-3</v>
      </c>
      <c r="U20" s="2" t="s">
        <v>9</v>
      </c>
      <c r="V20" s="2" t="s">
        <v>31</v>
      </c>
      <c r="W20" s="2" t="s">
        <v>59</v>
      </c>
      <c r="Y20" s="2" t="s">
        <v>48</v>
      </c>
      <c r="Z20" s="2" t="s">
        <v>34</v>
      </c>
    </row>
    <row r="21" spans="1:26" x14ac:dyDescent="0.35">
      <c r="A21" t="s">
        <v>60</v>
      </c>
      <c r="B21">
        <v>2023</v>
      </c>
      <c r="C21" t="s">
        <v>24</v>
      </c>
      <c r="E21" t="s">
        <v>25</v>
      </c>
      <c r="G21" t="s">
        <v>26</v>
      </c>
      <c r="H21">
        <v>410</v>
      </c>
      <c r="I21" t="s">
        <v>59</v>
      </c>
      <c r="J21" s="3">
        <f t="shared" si="0"/>
        <v>4.0999999999999996</v>
      </c>
      <c r="L21" t="s">
        <v>36</v>
      </c>
      <c r="M21" t="s">
        <v>58</v>
      </c>
      <c r="O21" t="s">
        <v>29</v>
      </c>
      <c r="P21" t="s">
        <v>30</v>
      </c>
      <c r="Q21">
        <v>441588</v>
      </c>
      <c r="S21">
        <v>441588</v>
      </c>
      <c r="T21">
        <v>9.2846725907406904E-4</v>
      </c>
      <c r="U21" t="s">
        <v>9</v>
      </c>
      <c r="V21" t="s">
        <v>31</v>
      </c>
      <c r="W21" t="s">
        <v>59</v>
      </c>
      <c r="Y21" t="s">
        <v>48</v>
      </c>
      <c r="Z21" t="s">
        <v>34</v>
      </c>
    </row>
    <row r="22" spans="1:26" x14ac:dyDescent="0.35">
      <c r="A22" t="s">
        <v>61</v>
      </c>
      <c r="B22">
        <v>2023</v>
      </c>
      <c r="C22" t="s">
        <v>24</v>
      </c>
      <c r="E22" t="s">
        <v>25</v>
      </c>
      <c r="G22" t="s">
        <v>26</v>
      </c>
      <c r="H22">
        <v>3629</v>
      </c>
      <c r="I22" t="s">
        <v>59</v>
      </c>
      <c r="J22" s="3">
        <f t="shared" si="0"/>
        <v>36.29</v>
      </c>
      <c r="L22" t="s">
        <v>38</v>
      </c>
      <c r="M22" t="s">
        <v>58</v>
      </c>
      <c r="O22" t="s">
        <v>29</v>
      </c>
      <c r="P22" t="s">
        <v>30</v>
      </c>
      <c r="Q22">
        <v>441588</v>
      </c>
      <c r="S22">
        <v>441588</v>
      </c>
      <c r="T22">
        <v>8.2180675199507239E-3</v>
      </c>
      <c r="U22" t="s">
        <v>9</v>
      </c>
      <c r="V22" t="s">
        <v>31</v>
      </c>
      <c r="W22" t="s">
        <v>59</v>
      </c>
      <c r="Y22" t="s">
        <v>48</v>
      </c>
      <c r="Z22" t="s">
        <v>34</v>
      </c>
    </row>
    <row r="23" spans="1:26" s="2" customFormat="1" x14ac:dyDescent="0.35">
      <c r="A23" s="2" t="s">
        <v>87</v>
      </c>
      <c r="B23" s="2">
        <v>2023</v>
      </c>
      <c r="C23" s="2" t="s">
        <v>24</v>
      </c>
      <c r="E23" s="2" t="s">
        <v>25</v>
      </c>
      <c r="G23" s="2" t="s">
        <v>26</v>
      </c>
      <c r="H23" s="2">
        <v>613</v>
      </c>
      <c r="I23" s="2" t="s">
        <v>92</v>
      </c>
      <c r="J23" s="3">
        <f t="shared" si="0"/>
        <v>6.13</v>
      </c>
      <c r="L23" s="2" t="s">
        <v>88</v>
      </c>
      <c r="M23" s="2" t="s">
        <v>89</v>
      </c>
      <c r="O23" s="2" t="s">
        <v>90</v>
      </c>
      <c r="P23" s="2" t="s">
        <v>91</v>
      </c>
      <c r="Q23" s="2">
        <v>5600000</v>
      </c>
      <c r="S23" s="2">
        <v>5600000</v>
      </c>
      <c r="T23" s="2">
        <v>1.0946428571428569E-4</v>
      </c>
      <c r="U23" s="2" t="s">
        <v>9</v>
      </c>
      <c r="V23" s="2" t="s">
        <v>31</v>
      </c>
      <c r="W23" s="2" t="s">
        <v>92</v>
      </c>
      <c r="Y23" s="2" t="s">
        <v>93</v>
      </c>
      <c r="Z23" s="2" t="s">
        <v>94</v>
      </c>
    </row>
    <row r="24" spans="1:26" x14ac:dyDescent="0.35">
      <c r="A24" s="2" t="s">
        <v>62</v>
      </c>
      <c r="B24" s="2">
        <v>2023</v>
      </c>
      <c r="C24" s="2" t="s">
        <v>24</v>
      </c>
      <c r="D24" s="2"/>
      <c r="E24" s="2" t="s">
        <v>25</v>
      </c>
      <c r="F24" s="2"/>
      <c r="G24" s="2" t="s">
        <v>26</v>
      </c>
      <c r="H24" s="2">
        <v>3595.51</v>
      </c>
      <c r="I24" s="2" t="s">
        <v>64</v>
      </c>
      <c r="J24" s="4">
        <f t="shared" si="0"/>
        <v>35.955100000000002</v>
      </c>
      <c r="K24" s="5">
        <v>7.6442888516325542</v>
      </c>
      <c r="L24" s="2" t="s">
        <v>27</v>
      </c>
      <c r="M24" s="2"/>
      <c r="N24" s="2" t="s">
        <v>63</v>
      </c>
      <c r="O24" s="2" t="s">
        <v>29</v>
      </c>
      <c r="P24" s="2" t="s">
        <v>30</v>
      </c>
      <c r="Q24" s="2"/>
      <c r="R24" s="2">
        <v>3842649.0057279998</v>
      </c>
      <c r="S24" s="2">
        <v>3842649.0057279998</v>
      </c>
      <c r="T24" s="2">
        <v>9.3568525114846434E-4</v>
      </c>
      <c r="U24" s="2" t="s">
        <v>10</v>
      </c>
      <c r="V24" s="2" t="s">
        <v>31</v>
      </c>
      <c r="W24" s="2" t="s">
        <v>64</v>
      </c>
      <c r="X24" s="2" t="s">
        <v>65</v>
      </c>
      <c r="Y24" s="2" t="s">
        <v>66</v>
      </c>
      <c r="Z24" s="2" t="s">
        <v>42</v>
      </c>
    </row>
    <row r="25" spans="1:26" s="2" customFormat="1" x14ac:dyDescent="0.35">
      <c r="A25" t="s">
        <v>67</v>
      </c>
      <c r="B25">
        <v>2023</v>
      </c>
      <c r="C25" t="s">
        <v>24</v>
      </c>
      <c r="D25"/>
      <c r="E25" t="s">
        <v>25</v>
      </c>
      <c r="F25"/>
      <c r="G25" t="s">
        <v>26</v>
      </c>
      <c r="H25">
        <v>2252.0700000000002</v>
      </c>
      <c r="I25" t="s">
        <v>64</v>
      </c>
      <c r="J25" s="3">
        <f t="shared" si="0"/>
        <v>22.520700000000001</v>
      </c>
      <c r="K25"/>
      <c r="L25" t="s">
        <v>36</v>
      </c>
      <c r="M25"/>
      <c r="N25" t="s">
        <v>63</v>
      </c>
      <c r="O25" t="s">
        <v>29</v>
      </c>
      <c r="P25" t="s">
        <v>30</v>
      </c>
      <c r="Q25"/>
      <c r="R25">
        <v>3842649.0057279998</v>
      </c>
      <c r="S25">
        <v>3842649.0057279998</v>
      </c>
      <c r="T25">
        <v>5.8607226333786365E-4</v>
      </c>
      <c r="U25" t="s">
        <v>10</v>
      </c>
      <c r="V25" t="s">
        <v>31</v>
      </c>
      <c r="W25" t="s">
        <v>64</v>
      </c>
      <c r="X25" t="s">
        <v>65</v>
      </c>
      <c r="Y25" t="s">
        <v>66</v>
      </c>
      <c r="Z25" t="s">
        <v>42</v>
      </c>
    </row>
    <row r="26" spans="1:26" x14ac:dyDescent="0.35">
      <c r="A26" t="s">
        <v>68</v>
      </c>
      <c r="B26">
        <v>2023</v>
      </c>
      <c r="C26" t="s">
        <v>24</v>
      </c>
      <c r="E26" t="s">
        <v>25</v>
      </c>
      <c r="G26" t="s">
        <v>26</v>
      </c>
      <c r="H26">
        <v>1343.44</v>
      </c>
      <c r="I26" t="s">
        <v>64</v>
      </c>
      <c r="J26" s="3">
        <f t="shared" si="0"/>
        <v>13.4344</v>
      </c>
      <c r="L26" t="s">
        <v>38</v>
      </c>
      <c r="N26" t="s">
        <v>63</v>
      </c>
      <c r="O26" t="s">
        <v>29</v>
      </c>
      <c r="P26" t="s">
        <v>30</v>
      </c>
      <c r="R26">
        <v>3842649.0057279998</v>
      </c>
      <c r="S26">
        <v>3842649.0057279998</v>
      </c>
      <c r="T26">
        <v>3.4961298781060069E-4</v>
      </c>
      <c r="U26" t="s">
        <v>10</v>
      </c>
      <c r="V26" t="s">
        <v>31</v>
      </c>
      <c r="W26" t="s">
        <v>64</v>
      </c>
      <c r="X26" t="s">
        <v>65</v>
      </c>
      <c r="Y26" t="s">
        <v>66</v>
      </c>
      <c r="Z26" t="s">
        <v>42</v>
      </c>
    </row>
    <row r="27" spans="1:26" s="2" customFormat="1" x14ac:dyDescent="0.35">
      <c r="A27" s="2" t="s">
        <v>69</v>
      </c>
      <c r="B27" s="2">
        <v>2023</v>
      </c>
      <c r="C27" s="2" t="s">
        <v>24</v>
      </c>
      <c r="E27" s="2" t="s">
        <v>25</v>
      </c>
      <c r="G27" s="2" t="s">
        <v>26</v>
      </c>
      <c r="H27" s="2">
        <v>906.75</v>
      </c>
      <c r="I27" s="2" t="s">
        <v>71</v>
      </c>
      <c r="J27" s="3">
        <f t="shared" si="0"/>
        <v>9.0675000000000008</v>
      </c>
      <c r="L27" s="2" t="s">
        <v>27</v>
      </c>
      <c r="M27" s="2" t="s">
        <v>70</v>
      </c>
      <c r="O27" s="2" t="s">
        <v>29</v>
      </c>
      <c r="P27" s="2" t="s">
        <v>30</v>
      </c>
      <c r="Q27" s="2">
        <v>1918143</v>
      </c>
      <c r="S27" s="2">
        <v>1918143</v>
      </c>
      <c r="T27" s="2">
        <v>4.7272283661854199E-4</v>
      </c>
      <c r="U27" s="2" t="s">
        <v>9</v>
      </c>
      <c r="V27" s="2" t="s">
        <v>31</v>
      </c>
      <c r="W27" s="2" t="s">
        <v>71</v>
      </c>
      <c r="Y27" s="2" t="s">
        <v>72</v>
      </c>
      <c r="Z27" s="2" t="s">
        <v>42</v>
      </c>
    </row>
    <row r="28" spans="1:26" x14ac:dyDescent="0.35">
      <c r="A28" t="s">
        <v>73</v>
      </c>
      <c r="B28">
        <v>2023</v>
      </c>
      <c r="C28" t="s">
        <v>24</v>
      </c>
      <c r="E28" t="s">
        <v>25</v>
      </c>
      <c r="G28" t="s">
        <v>26</v>
      </c>
      <c r="H28">
        <v>633</v>
      </c>
      <c r="I28" t="s">
        <v>71</v>
      </c>
      <c r="J28" s="3">
        <f t="shared" si="0"/>
        <v>6.33</v>
      </c>
      <c r="L28" t="s">
        <v>36</v>
      </c>
      <c r="M28" t="s">
        <v>70</v>
      </c>
      <c r="O28" t="s">
        <v>29</v>
      </c>
      <c r="P28" t="s">
        <v>30</v>
      </c>
      <c r="Q28">
        <v>1918143</v>
      </c>
      <c r="S28">
        <v>1918143</v>
      </c>
      <c r="T28">
        <v>3.3000667833420129E-4</v>
      </c>
      <c r="U28" t="s">
        <v>9</v>
      </c>
      <c r="V28" t="s">
        <v>31</v>
      </c>
      <c r="W28" t="s">
        <v>71</v>
      </c>
      <c r="Y28" t="s">
        <v>72</v>
      </c>
      <c r="Z28" t="s">
        <v>42</v>
      </c>
    </row>
    <row r="29" spans="1:26" s="2" customFormat="1" x14ac:dyDescent="0.35">
      <c r="A29" t="s">
        <v>74</v>
      </c>
      <c r="B29">
        <v>2023</v>
      </c>
      <c r="C29" t="s">
        <v>24</v>
      </c>
      <c r="D29"/>
      <c r="E29" t="s">
        <v>25</v>
      </c>
      <c r="F29"/>
      <c r="G29" t="s">
        <v>26</v>
      </c>
      <c r="H29">
        <v>273.75</v>
      </c>
      <c r="I29" t="s">
        <v>71</v>
      </c>
      <c r="J29" s="3">
        <f t="shared" si="0"/>
        <v>2.7375000000000003</v>
      </c>
      <c r="K29"/>
      <c r="L29" t="s">
        <v>38</v>
      </c>
      <c r="M29" t="s">
        <v>70</v>
      </c>
      <c r="N29"/>
      <c r="O29" t="s">
        <v>29</v>
      </c>
      <c r="P29" t="s">
        <v>30</v>
      </c>
      <c r="Q29">
        <v>1918143</v>
      </c>
      <c r="R29"/>
      <c r="S29">
        <v>1918143</v>
      </c>
      <c r="T29">
        <v>1.4271615828434061E-4</v>
      </c>
      <c r="U29" t="s">
        <v>9</v>
      </c>
      <c r="V29" t="s">
        <v>31</v>
      </c>
      <c r="W29" t="s">
        <v>71</v>
      </c>
      <c r="X29"/>
      <c r="Y29" t="s">
        <v>72</v>
      </c>
      <c r="Z29" t="s">
        <v>42</v>
      </c>
    </row>
    <row r="30" spans="1:26" x14ac:dyDescent="0.35">
      <c r="A30" s="2" t="s">
        <v>140</v>
      </c>
      <c r="B30" s="2">
        <v>2023</v>
      </c>
      <c r="C30" s="2" t="s">
        <v>24</v>
      </c>
      <c r="D30" s="2"/>
      <c r="E30" s="2" t="s">
        <v>25</v>
      </c>
      <c r="F30" s="2"/>
      <c r="G30" s="2" t="s">
        <v>26</v>
      </c>
      <c r="H30" s="2">
        <v>701.81</v>
      </c>
      <c r="I30" s="2" t="s">
        <v>142</v>
      </c>
      <c r="J30" s="3">
        <f t="shared" si="0"/>
        <v>7.0180999999999996</v>
      </c>
      <c r="K30">
        <v>1.550354452950391</v>
      </c>
      <c r="L30" s="2" t="s">
        <v>135</v>
      </c>
      <c r="M30" s="2" t="s">
        <v>141</v>
      </c>
      <c r="N30" s="2"/>
      <c r="O30" s="2" t="s">
        <v>137</v>
      </c>
      <c r="P30" s="2" t="s">
        <v>138</v>
      </c>
      <c r="Q30" s="2">
        <v>1028000</v>
      </c>
      <c r="R30" s="2"/>
      <c r="S30" s="2">
        <v>1028000</v>
      </c>
      <c r="T30" s="2">
        <v>6.8269455252918285E-4</v>
      </c>
      <c r="U30" s="2" t="s">
        <v>9</v>
      </c>
      <c r="V30" s="2" t="s">
        <v>31</v>
      </c>
      <c r="W30" s="2" t="s">
        <v>142</v>
      </c>
      <c r="X30" s="2"/>
      <c r="Y30" s="2" t="s">
        <v>48</v>
      </c>
      <c r="Z30" s="2" t="s">
        <v>34</v>
      </c>
    </row>
    <row r="31" spans="1:26" x14ac:dyDescent="0.35">
      <c r="A31" s="2" t="s">
        <v>125</v>
      </c>
      <c r="B31" s="2">
        <v>2023</v>
      </c>
      <c r="C31" s="2" t="s">
        <v>24</v>
      </c>
      <c r="D31" s="2"/>
      <c r="E31" s="2" t="s">
        <v>25</v>
      </c>
      <c r="F31" s="2"/>
      <c r="G31" s="2" t="s">
        <v>26</v>
      </c>
      <c r="H31" s="2">
        <v>377.5</v>
      </c>
      <c r="I31" s="2" t="s">
        <v>129</v>
      </c>
      <c r="J31" s="3">
        <f t="shared" si="0"/>
        <v>3.7749999999999999</v>
      </c>
      <c r="K31">
        <v>4.9504599149299997</v>
      </c>
      <c r="L31" s="2" t="s">
        <v>96</v>
      </c>
      <c r="M31" s="2" t="s">
        <v>126</v>
      </c>
      <c r="N31" s="2"/>
      <c r="O31" s="2" t="s">
        <v>127</v>
      </c>
      <c r="P31" s="2" t="s">
        <v>128</v>
      </c>
      <c r="Q31" s="2">
        <v>3065000</v>
      </c>
      <c r="R31" s="2"/>
      <c r="S31" s="2">
        <v>3065000</v>
      </c>
      <c r="T31" s="2">
        <v>1.231647634584013E-4</v>
      </c>
      <c r="U31" s="2" t="s">
        <v>9</v>
      </c>
      <c r="V31" s="2" t="s">
        <v>31</v>
      </c>
      <c r="W31" s="2" t="s">
        <v>129</v>
      </c>
      <c r="X31" s="2"/>
      <c r="Y31" s="2" t="s">
        <v>48</v>
      </c>
      <c r="Z31" s="2" t="s">
        <v>130</v>
      </c>
    </row>
    <row r="32" spans="1:26" s="2" customFormat="1" x14ac:dyDescent="0.35">
      <c r="A32" s="2" t="s">
        <v>131</v>
      </c>
      <c r="B32" s="2">
        <v>2023</v>
      </c>
      <c r="C32" s="2" t="s">
        <v>24</v>
      </c>
      <c r="E32" s="2" t="s">
        <v>25</v>
      </c>
      <c r="G32" s="2" t="s">
        <v>26</v>
      </c>
      <c r="H32" s="2">
        <v>3019.4</v>
      </c>
      <c r="I32" s="2" t="s">
        <v>133</v>
      </c>
      <c r="J32" s="3">
        <f t="shared" si="0"/>
        <v>30.194000000000003</v>
      </c>
      <c r="K32">
        <v>22.78972343693621</v>
      </c>
      <c r="L32" s="2" t="s">
        <v>96</v>
      </c>
      <c r="M32" s="2" t="s">
        <v>132</v>
      </c>
      <c r="O32" s="2" t="s">
        <v>127</v>
      </c>
      <c r="P32" s="2" t="s">
        <v>128</v>
      </c>
      <c r="Q32" s="2">
        <v>8764000</v>
      </c>
      <c r="S32" s="2">
        <v>8764000</v>
      </c>
      <c r="T32" s="2">
        <v>3.4452304883614792E-4</v>
      </c>
      <c r="U32" s="2" t="s">
        <v>9</v>
      </c>
      <c r="V32" s="2" t="s">
        <v>31</v>
      </c>
      <c r="W32" s="2" t="s">
        <v>133</v>
      </c>
      <c r="Y32" s="2" t="s">
        <v>72</v>
      </c>
      <c r="Z32" s="2" t="s">
        <v>34</v>
      </c>
    </row>
    <row r="33" spans="1:26" s="2" customFormat="1" x14ac:dyDescent="0.35">
      <c r="A33" s="2" t="s">
        <v>101</v>
      </c>
      <c r="B33" s="2">
        <v>2023</v>
      </c>
      <c r="C33" s="2" t="s">
        <v>24</v>
      </c>
      <c r="E33" s="2" t="s">
        <v>25</v>
      </c>
      <c r="G33" s="2" t="s">
        <v>26</v>
      </c>
      <c r="H33" s="2">
        <v>594168</v>
      </c>
      <c r="I33" s="2" t="s">
        <v>106</v>
      </c>
      <c r="J33" s="4">
        <f t="shared" si="0"/>
        <v>5941.68</v>
      </c>
      <c r="K33" s="5">
        <v>0.33000333380554819</v>
      </c>
      <c r="L33" s="2" t="s">
        <v>102</v>
      </c>
      <c r="N33" s="2" t="s">
        <v>103</v>
      </c>
      <c r="O33" s="2" t="s">
        <v>104</v>
      </c>
      <c r="P33" s="2" t="s">
        <v>105</v>
      </c>
      <c r="R33" s="2">
        <v>3089208</v>
      </c>
      <c r="S33" s="2">
        <v>3089208</v>
      </c>
      <c r="T33" s="2">
        <v>0.19233667658506651</v>
      </c>
      <c r="U33" s="2" t="s">
        <v>10</v>
      </c>
      <c r="V33" s="2" t="s">
        <v>31</v>
      </c>
      <c r="W33" s="2" t="s">
        <v>106</v>
      </c>
      <c r="X33" s="2" t="s">
        <v>107</v>
      </c>
      <c r="Y33" s="2" t="s">
        <v>66</v>
      </c>
      <c r="Z33" s="2" t="s">
        <v>108</v>
      </c>
    </row>
    <row r="34" spans="1:26" s="2" customFormat="1" x14ac:dyDescent="0.35">
      <c r="A34" t="s">
        <v>109</v>
      </c>
      <c r="B34">
        <v>2023</v>
      </c>
      <c r="C34" t="s">
        <v>24</v>
      </c>
      <c r="D34"/>
      <c r="E34" t="s">
        <v>25</v>
      </c>
      <c r="F34"/>
      <c r="G34" t="s">
        <v>26</v>
      </c>
      <c r="H34">
        <v>7829</v>
      </c>
      <c r="I34" t="s">
        <v>106</v>
      </c>
      <c r="J34" s="3">
        <f t="shared" si="0"/>
        <v>78.290000000000006</v>
      </c>
      <c r="K34"/>
      <c r="L34" t="s">
        <v>110</v>
      </c>
      <c r="M34"/>
      <c r="N34" t="s">
        <v>103</v>
      </c>
      <c r="O34" t="s">
        <v>104</v>
      </c>
      <c r="P34" t="s">
        <v>105</v>
      </c>
      <c r="Q34"/>
      <c r="R34">
        <v>3089208</v>
      </c>
      <c r="S34">
        <v>3089208</v>
      </c>
      <c r="T34">
        <v>2.5343065277572759E-3</v>
      </c>
      <c r="U34" t="s">
        <v>10</v>
      </c>
      <c r="V34" t="s">
        <v>31</v>
      </c>
      <c r="W34" t="s">
        <v>106</v>
      </c>
      <c r="X34" t="s">
        <v>107</v>
      </c>
      <c r="Y34" t="s">
        <v>66</v>
      </c>
      <c r="Z34" t="s">
        <v>108</v>
      </c>
    </row>
    <row r="35" spans="1:26" s="2" customFormat="1" x14ac:dyDescent="0.35">
      <c r="A35" t="s">
        <v>111</v>
      </c>
      <c r="B35">
        <v>2023</v>
      </c>
      <c r="C35" t="s">
        <v>24</v>
      </c>
      <c r="D35"/>
      <c r="E35" t="s">
        <v>25</v>
      </c>
      <c r="F35"/>
      <c r="G35" t="s">
        <v>26</v>
      </c>
      <c r="H35">
        <v>1661</v>
      </c>
      <c r="I35" t="s">
        <v>106</v>
      </c>
      <c r="J35" s="3">
        <f t="shared" si="0"/>
        <v>16.61</v>
      </c>
      <c r="K35"/>
      <c r="L35" t="s">
        <v>112</v>
      </c>
      <c r="M35"/>
      <c r="N35" t="s">
        <v>103</v>
      </c>
      <c r="O35" t="s">
        <v>104</v>
      </c>
      <c r="P35" t="s">
        <v>105</v>
      </c>
      <c r="Q35"/>
      <c r="R35">
        <v>3089208</v>
      </c>
      <c r="S35">
        <v>3089208</v>
      </c>
      <c r="T35">
        <v>5.3767826575614201E-4</v>
      </c>
      <c r="U35" t="s">
        <v>10</v>
      </c>
      <c r="V35" t="s">
        <v>31</v>
      </c>
      <c r="W35" t="s">
        <v>106</v>
      </c>
      <c r="X35" t="s">
        <v>107</v>
      </c>
      <c r="Y35" t="s">
        <v>66</v>
      </c>
      <c r="Z35" t="s">
        <v>108</v>
      </c>
    </row>
    <row r="36" spans="1:26" s="2" customFormat="1" x14ac:dyDescent="0.35">
      <c r="A36" s="2" t="s">
        <v>148</v>
      </c>
      <c r="B36" s="2">
        <v>2023</v>
      </c>
      <c r="C36" s="2" t="s">
        <v>24</v>
      </c>
      <c r="E36" s="2" t="s">
        <v>25</v>
      </c>
      <c r="G36" s="2" t="s">
        <v>26</v>
      </c>
      <c r="H36" s="2">
        <v>370</v>
      </c>
      <c r="I36" s="2" t="s">
        <v>152</v>
      </c>
      <c r="J36" s="3">
        <f t="shared" si="0"/>
        <v>3.7</v>
      </c>
      <c r="K36">
        <v>1.4644855013698239</v>
      </c>
      <c r="L36" s="2" t="s">
        <v>82</v>
      </c>
      <c r="N36" s="2" t="s">
        <v>149</v>
      </c>
      <c r="O36" s="2" t="s">
        <v>150</v>
      </c>
      <c r="P36" s="2" t="s">
        <v>151</v>
      </c>
      <c r="R36" s="2">
        <v>1574000</v>
      </c>
      <c r="S36" s="2">
        <v>1574000</v>
      </c>
      <c r="T36" s="2">
        <v>2.3506988564167731E-4</v>
      </c>
      <c r="U36" s="2" t="s">
        <v>10</v>
      </c>
      <c r="V36" s="2" t="s">
        <v>31</v>
      </c>
      <c r="W36" s="2" t="s">
        <v>152</v>
      </c>
      <c r="X36" s="2" t="s">
        <v>153</v>
      </c>
      <c r="Y36" s="2" t="s">
        <v>147</v>
      </c>
      <c r="Z36" s="2" t="s">
        <v>42</v>
      </c>
    </row>
    <row r="37" spans="1:26" s="2" customFormat="1" x14ac:dyDescent="0.35">
      <c r="A37" s="2" t="s">
        <v>113</v>
      </c>
      <c r="B37" s="2">
        <v>2023</v>
      </c>
      <c r="C37" s="2" t="s">
        <v>24</v>
      </c>
      <c r="E37" s="2" t="s">
        <v>25</v>
      </c>
      <c r="G37" s="2" t="s">
        <v>26</v>
      </c>
      <c r="H37" s="2">
        <v>1014.81</v>
      </c>
      <c r="I37" s="2" t="s">
        <v>117</v>
      </c>
      <c r="J37" s="3">
        <f t="shared" si="0"/>
        <v>10.148099999999999</v>
      </c>
      <c r="K37">
        <v>7.2491471766700002</v>
      </c>
      <c r="L37" s="2" t="s">
        <v>96</v>
      </c>
      <c r="M37" s="2" t="s">
        <v>114</v>
      </c>
      <c r="O37" s="2" t="s">
        <v>115</v>
      </c>
      <c r="P37" s="2" t="s">
        <v>116</v>
      </c>
      <c r="Q37" s="2">
        <v>1034000</v>
      </c>
      <c r="S37" s="2">
        <v>1034000</v>
      </c>
      <c r="T37" s="2">
        <v>9.8144100580270792E-4</v>
      </c>
      <c r="U37" s="2" t="s">
        <v>9</v>
      </c>
      <c r="V37" s="2" t="s">
        <v>31</v>
      </c>
      <c r="W37" s="2" t="s">
        <v>117</v>
      </c>
      <c r="Y37" s="2" t="s">
        <v>48</v>
      </c>
      <c r="Z37" s="2" t="s">
        <v>34</v>
      </c>
    </row>
    <row r="38" spans="1:26" s="2" customFormat="1" x14ac:dyDescent="0.35">
      <c r="A38" s="2" t="s">
        <v>83</v>
      </c>
      <c r="B38" s="2">
        <v>2023</v>
      </c>
      <c r="C38" s="2" t="s">
        <v>24</v>
      </c>
      <c r="E38" s="2" t="s">
        <v>25</v>
      </c>
      <c r="G38" s="2" t="s">
        <v>26</v>
      </c>
      <c r="H38" s="2">
        <v>1413</v>
      </c>
      <c r="I38" s="2" t="s">
        <v>85</v>
      </c>
      <c r="J38" s="3">
        <f t="shared" si="0"/>
        <v>14.13</v>
      </c>
      <c r="K38">
        <v>1.8741904575772601</v>
      </c>
      <c r="L38" s="2" t="s">
        <v>76</v>
      </c>
      <c r="M38" s="2" t="s">
        <v>84</v>
      </c>
      <c r="O38" s="2" t="s">
        <v>78</v>
      </c>
      <c r="P38" s="2" t="s">
        <v>79</v>
      </c>
      <c r="Q38" s="2">
        <v>2878047</v>
      </c>
      <c r="S38" s="2">
        <v>2878047</v>
      </c>
      <c r="T38" s="2">
        <v>4.9095793084685552E-4</v>
      </c>
      <c r="U38" s="2" t="s">
        <v>9</v>
      </c>
      <c r="V38" s="2" t="s">
        <v>31</v>
      </c>
      <c r="W38" s="2" t="s">
        <v>85</v>
      </c>
      <c r="Y38" s="2" t="s">
        <v>48</v>
      </c>
      <c r="Z38" s="2" t="s">
        <v>42</v>
      </c>
    </row>
    <row r="39" spans="1:26" s="2" customFormat="1" x14ac:dyDescent="0.35">
      <c r="A39" t="s">
        <v>86</v>
      </c>
      <c r="B39">
        <v>2023</v>
      </c>
      <c r="C39" t="s">
        <v>24</v>
      </c>
      <c r="D39"/>
      <c r="E39" t="s">
        <v>25</v>
      </c>
      <c r="F39"/>
      <c r="G39" t="s">
        <v>26</v>
      </c>
      <c r="H39">
        <v>432</v>
      </c>
      <c r="I39" t="s">
        <v>85</v>
      </c>
      <c r="J39" s="3">
        <f t="shared" si="0"/>
        <v>4.32</v>
      </c>
      <c r="K39"/>
      <c r="L39" t="s">
        <v>82</v>
      </c>
      <c r="M39" t="s">
        <v>84</v>
      </c>
      <c r="N39"/>
      <c r="O39" t="s">
        <v>78</v>
      </c>
      <c r="P39" t="s">
        <v>79</v>
      </c>
      <c r="Q39">
        <v>2878047</v>
      </c>
      <c r="R39"/>
      <c r="S39">
        <v>2878047</v>
      </c>
      <c r="T39">
        <v>1.5010178777483479E-4</v>
      </c>
      <c r="U39" t="s">
        <v>9</v>
      </c>
      <c r="V39" t="s">
        <v>31</v>
      </c>
      <c r="W39" t="s">
        <v>85</v>
      </c>
      <c r="X39"/>
      <c r="Y39" t="s">
        <v>48</v>
      </c>
      <c r="Z39" t="s">
        <v>42</v>
      </c>
    </row>
  </sheetData>
  <autoFilter ref="A1:Z1" xr:uid="{06ECD6B6-909B-4735-99F8-3E1C60887F61}">
    <sortState xmlns:xlrd2="http://schemas.microsoft.com/office/spreadsheetml/2017/richdata2" ref="A2:Z39">
      <sortCondition ref="W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2025-10-20T21:09:01Z</dcterms:created>
  <dcterms:modified xsi:type="dcterms:W3CDTF">2025-10-20T21:29:21Z</dcterms:modified>
</cp:coreProperties>
</file>